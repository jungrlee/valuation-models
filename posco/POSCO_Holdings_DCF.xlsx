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Note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POSCO Holdings (KRX:005490) KRW 309,500, 8 Oct 2026 (Investing.com, delayed quote).</t>
        </r>
      </text>
    </comment>
    <comment ref="B10" authorId="0">
      <text>
        <r>
          <rPr>
            <sz val="10"/>
            <rFont val="Arial"/>
            <family val="2"/>
          </rPr>
          <t xml:space="preserve">Korea 10-yr KTB 4.41%, late Sep 2026 (Trading Economics) — same input as the portfolio workbook.</t>
        </r>
      </text>
    </comment>
    <comment ref="B11" authorId="0">
      <text>
        <r>
          <rPr>
            <sz val="10"/>
            <rFont val="Arial"/>
            <family val="2"/>
          </rPr>
          <t xml:space="preserve">Assumed Korea equity risk premium ~7%. Analyst assumption.</t>
        </r>
      </text>
    </comment>
    <comment ref="B12" authorId="0">
      <text>
        <r>
          <rPr>
            <sz val="10"/>
            <rFont val="Arial"/>
            <family val="2"/>
          </rPr>
          <t xml:space="preserve">POSCO is cyclical; beta assumed ~1.2. Verify vs a data provider.</t>
        </r>
      </text>
    </comment>
    <comment ref="B14" authorId="0">
      <text>
        <r>
          <rPr>
            <sz val="10"/>
            <rFont val="Arial"/>
            <family val="2"/>
          </rPr>
          <t xml:space="preserve">Assumed pre-tax cost of debt ~5%.</t>
        </r>
      </text>
    </comment>
    <comment ref="B15" authorId="0">
      <text>
        <r>
          <rPr>
            <sz val="10"/>
            <rFont val="Arial"/>
            <family val="2"/>
          </rPr>
          <t xml:space="preserve">Korea effective corporate tax rate assumed ~24%.</t>
        </r>
      </text>
    </comment>
    <comment ref="B17" authorId="0">
      <text>
        <r>
          <rPr>
            <sz val="10"/>
            <rFont val="Arial"/>
            <family val="2"/>
          </rPr>
          <t xml:space="preserve">= price × shares. Market capitalisation.</t>
        </r>
      </text>
    </comment>
    <comment ref="B18" authorId="0">
      <text>
        <r>
          <rPr>
            <sz val="10"/>
            <rFont val="Arial"/>
            <family val="2"/>
          </rPr>
          <t xml:space="preserve">POSCO Holdings total debt ~KRW 30,404 bn as of Jun-2026 (stockanalysis.com balance sheet).</t>
        </r>
      </text>
    </comment>
    <comment ref="B22" authorId="0">
      <text>
        <r>
          <rPr>
            <sz val="10"/>
            <rFont val="Arial"/>
            <family val="2"/>
          </rPr>
          <t xml:space="preserve">Long-run growth ~2%, near inflation/GDP. Key lever.</t>
        </r>
      </text>
    </comment>
    <comment ref="B23" authorId="0">
      <text>
        <r>
          <rPr>
            <sz val="10"/>
            <rFont val="Arial"/>
            <family val="2"/>
          </rPr>
          <t xml:space="preserve">Total debt 30,404 − cash 14,298 = net debt 16,106 KRW bn, Jun-2026 (stockanalysis.com).</t>
        </r>
      </text>
    </comment>
    <comment ref="B24" authorId="0">
      <text>
        <r>
          <rPr>
            <sz val="10"/>
            <rFont val="Arial"/>
            <family val="2"/>
          </rPr>
          <t xml:space="preserve">75.62mn shares outstanding excl. treasury shares (stockanalysis.com, Jun 2026). The 2024-26 programme cancelled 6% of issued shares; remaining treasury shares back exchangeable bonds, which sit in debt.</t>
        </r>
      </text>
    </comment>
    <comment ref="B25" authorId="0">
      <text>
        <r>
          <rPr>
            <sz val="10"/>
            <rFont val="Arial"/>
            <family val="2"/>
          </rPr>
          <t xml:space="preserve">Working-capital investment assumed 5% of revenue growth.</t>
        </r>
      </text>
    </comment>
    <comment ref="B26" authorId="0">
      <text>
        <r>
          <rPr>
            <sz val="10"/>
            <rFont val="Arial"/>
            <family val="2"/>
          </rPr>
          <t xml:space="preserve">Minority interest, 30 Jun 2026 balance sheet (stockanalysis.com): KRW 6,697.6bn.</t>
        </r>
      </text>
    </comment>
    <comment ref="B30" authorId="0">
      <text>
        <r>
          <rPr>
            <sz val="10"/>
            <rFont val="Arial"/>
            <family val="2"/>
          </rPr>
          <t xml:space="preserve">FY2025 revenue KRW 69,094.9 bn (stockanalysis.com / company FY2025 results).</t>
        </r>
      </text>
    </comment>
    <comment ref="B32" authorId="0">
      <text>
        <r>
          <rPr>
            <sz val="10"/>
            <rFont val="Arial"/>
            <family val="2"/>
          </rPr>
          <t xml:space="preserve">FY2025 operating income KRW 1,841.6 bn; 2.67% margin — a cyclical trough (stockanalysis.com).</t>
        </r>
      </text>
    </comment>
    <comment ref="B35" authorId="0">
      <text>
        <r>
          <rPr>
            <sz val="10"/>
            <rFont val="Arial"/>
            <family val="2"/>
          </rPr>
          <t xml:space="preserve">FY2025 D&amp;A KRW 4,173.8 bn (stockanalysis.com cash flow statement).</t>
        </r>
      </text>
    </comment>
    <comment ref="B37" authorId="0">
      <text>
        <r>
          <rPr>
            <sz val="10"/>
            <rFont val="Arial"/>
            <family val="2"/>
          </rPr>
          <t xml:space="preserve">FY2025 capex KRW 5,665.2 bn, elevated by battery-materials investment (stockanalysis.com). Shown as a positive magnitude; subtracted in the FCFF line.</t>
        </r>
      </text>
    </comment>
    <comment ref="B55" authorId="0">
      <text>
        <r>
          <rPr>
            <sz val="10"/>
            <rFont val="Arial"/>
            <family val="2"/>
          </rPr>
          <t xml:space="preserve">Terminal value ÷ 2030E EBITDA. Steel/materials peers typically trade nearer 5-6x.</t>
        </r>
      </text>
    </comment>
  </commentList>
</comments>
</file>

<file path=xl/sharedStrings.xml><?xml version="1.0" encoding="utf-8"?>
<sst xmlns="http://schemas.openxmlformats.org/spreadsheetml/2006/main" count="179" uniqueCount="173">
  <si>
    <t xml:space="preserve">POSCO Holdings (KRX: 005490) — DCF valuation</t>
  </si>
  <si>
    <t xml:space="preserve">Five-year FCFF DCF through the steel cycle, sensitivity and reverse DCF. Public information only. Not investment advice.</t>
  </si>
  <si>
    <t xml:space="preserve">Prepared by</t>
  </si>
  <si>
    <t xml:space="preserve">Jung Ryul Lee</t>
  </si>
  <si>
    <t xml:space="preserve">Data as of</t>
  </si>
  <si>
    <t xml:space="preserve">Share price 8 Oct 2026; balance sheet 30 Jun 2026; FY2025 actuals</t>
  </si>
  <si>
    <t xml:space="preserve">Units</t>
  </si>
  <si>
    <t xml:space="preserve">KRW billion unless noted</t>
  </si>
  <si>
    <t xml:space="preserve">What this model does</t>
  </si>
  <si>
    <t xml:space="preserve">Values POSCO Holdings at a cyclical trough: FY2025 operating margin was 2.7% against a mid-cycle 6-9%.</t>
  </si>
  <si>
    <t xml:space="preserve">Margins recover to 7% by 2030 while battery-materials capex fades from 8% to 6% of revenue.</t>
  </si>
  <si>
    <t xml:space="preserve">The question is how much of today's price already assumes that recovery (reverse DCF).</t>
  </si>
  <si>
    <t xml:space="preserve">Key outputs (live links)</t>
  </si>
  <si>
    <t xml:space="preserve">Implied value per share (KRW)</t>
  </si>
  <si>
    <t xml:space="preserve">Share price, 8 Oct 2026 (KRW)</t>
  </si>
  <si>
    <t xml:space="preserve">Upside / (downside)</t>
  </si>
  <si>
    <t xml:space="preserve">WACC</t>
  </si>
  <si>
    <t xml:space="preserve">Terminal value share of EV</t>
  </si>
  <si>
    <t xml:space="preserve">Implied terminal EV/EBITDA</t>
  </si>
  <si>
    <t xml:space="preserve">Market-implied perpetuity growth (reverse DCF)</t>
  </si>
  <si>
    <t xml:space="preserve">Sensitivity check (should read OK)</t>
  </si>
  <si>
    <t xml:space="preserve">Contents</t>
  </si>
  <si>
    <t xml:space="preserve">DCF</t>
  </si>
  <si>
    <t xml:space="preserve">Inputs, WACC, FCFF projection, valuation bridge, sensitivity, reverse DCF</t>
  </si>
  <si>
    <t xml:space="preserve">Notes &amp; Sources</t>
  </si>
  <si>
    <t xml:space="preserve">Base data, assumptions and sources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</si>
  <si>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</si>
  <si>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</si>
  <si>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</si>
  <si>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</si>
  <si>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</si>
  <si>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</si>
  <si>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</si>
  <si>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The terminal multiple (~7x EBITDA) is above the ~5-6x steel peers trade on: the 7% terminal margin is the key lever.</t>
  </si>
  <si>
    <t xml:space="preserve">• WACC uses total debt at book value against market equity; POSCO's equity weight is below 50%, so the WACC is relatively insensitive to the cost of equity.</t>
  </si>
  <si>
    <t xml:space="preserve">• End-of-year discounting; FY2026 treated as a full forecast year.</t>
  </si>
  <si>
    <t xml:space="preserve">• Holding-company structure: no sum-of-the-parts or listed-subsidiary discount is applied.</t>
  </si>
  <si>
    <t xml:space="preserve">Review log (changes in this published version)</t>
  </si>
  <si>
    <t xml:space="preserve">• Share price updated from KRW 395,000 (early Jun 2026) to KRW 309,500 (8 Oct 2026).</t>
  </si>
  <si>
    <t xml:space="preserve">• Risk-free rate updated from 3.2% to 4.41% (Korea 10Y, late Sep 2026), consistent with the portfolio workbook.</t>
  </si>
  <si>
    <t xml:space="preserve">• Shares outstanding 79.25mn → 75.62mn (excl. treasury shares, after the 2024-26 cancellations).</t>
  </si>
  <si>
    <t xml:space="preserve">• Non-controlling interests (KRW 6.7tn) now deducted in the equity bridge (previously omitted).</t>
  </si>
  <si>
    <t xml:space="preserve">• Sensitivity table centred on the live WACC and g (headers were typed in); check cell and reverse DCF added.</t>
  </si>
  <si>
    <t xml:space="preserve">Sources</t>
  </si>
  <si>
    <t xml:space="preserve">POSCO Holdings balance sheet (stockanalysis.com)</t>
  </si>
  <si>
    <t xml:space="preserve">https://stockanalysis.com/stocks/pkx/financials/balance-sheet/</t>
  </si>
  <si>
    <t xml:space="preserve">Share price (Investing.com)</t>
  </si>
  <si>
    <t xml:space="preserve">https://hk.investing.com/equities/posco-inc</t>
  </si>
  <si>
    <t xml:space="preserve">Treasury share cancellation plan (Korea Times, Feb 2026)</t>
  </si>
  <si>
    <t xml:space="preserve">https://www.koreatimes.co.kr/business/20260220/posco-holdings-to-cancel-6351-bil-won-in-treasury-shares-in-2026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</si>
  <si>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</si>
  <si>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</si>
  <si>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POSCO Holdings (KRX: 005490) — Discounted Cash Flow Valuation</t>
  </si>
  <si>
    <t xml:space="preserve">Practice valuation built from public data. KRW billion unless noted. Blue = input, yellow = key lever. Share price 8 Oct 2026; balance sheet 30 Jun 2026; FY2025 actuals.</t>
  </si>
  <si>
    <t xml:space="preserve">SUMMARY</t>
  </si>
  <si>
    <t xml:space="preserve">Current share price (KRW)</t>
  </si>
  <si>
    <t xml:space="preserve">Implied upside / (downside)</t>
  </si>
  <si>
    <t xml:space="preserve">WACC ASSUMPTIONS</t>
  </si>
  <si>
    <t xml:space="preserve">Risk-free rate (Korea 10Y govt)</t>
  </si>
  <si>
    <t xml:space="preserve">Equity risk premium</t>
  </si>
  <si>
    <t xml:space="preserve">Beta (levered)</t>
  </si>
  <si>
    <t xml:space="preserve">Cost of equity  = rf + β × ERP</t>
  </si>
  <si>
    <t xml:space="preserve">Pre-tax cost of debt</t>
  </si>
  <si>
    <t xml:space="preserve">Tax rate</t>
  </si>
  <si>
    <t xml:space="preserve">After-tax cost of debt</t>
  </si>
  <si>
    <t xml:space="preserve">Market value of equity (KRW bn)</t>
  </si>
  <si>
    <t xml:space="preserve">Total debt (KRW bn)</t>
  </si>
  <si>
    <t xml:space="preserve">OTHER INPUTS</t>
  </si>
  <si>
    <t xml:space="preserve">Terminal growth rate (g)</t>
  </si>
  <si>
    <t xml:space="preserve">Net debt (KRW bn)</t>
  </si>
  <si>
    <t xml:space="preserve">Shares outstanding (million)</t>
  </si>
  <si>
    <t xml:space="preserve">Δ Net working capital (% of Δ revenue)</t>
  </si>
  <si>
    <t xml:space="preserve">Non-controlling interests (KRW bn)</t>
  </si>
  <si>
    <t xml:space="preserve">PROJECTION (KRW bn)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</si>
  <si>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</si>
  <si>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</si>
  <si>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</si>
  <si>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</si>
  <si>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</si>
  <si>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</si>
  <si>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 growth %</t>
  </si>
  <si>
    <t xml:space="preserve">Revenue</t>
  </si>
  <si>
    <t xml:space="preserve">EBIT (operating) margin %</t>
  </si>
  <si>
    <t xml:space="preserve">EBIT (operating income)</t>
  </si>
  <si>
    <t xml:space="preserve">NOPAT  = EBIT × (1 − tax)</t>
  </si>
  <si>
    <t xml:space="preserve">D&amp;A % of revenue</t>
  </si>
  <si>
    <t xml:space="preserve">Depreciation &amp; amortisation</t>
  </si>
  <si>
    <t xml:space="preserve">Capex % of revenue</t>
  </si>
  <si>
    <t xml:space="preserve">Capital expenditure</t>
  </si>
  <si>
    <t xml:space="preserve">Δ Net working capital</t>
  </si>
  <si>
    <t xml:space="preserve">Free cash flow to firm (FCFF)</t>
  </si>
  <si>
    <t xml:space="preserve">Discount period (yrs)</t>
  </si>
  <si>
    <t xml:space="preserve">Discount factor</t>
  </si>
  <si>
    <t xml:space="preserve">PV of FCFF</t>
  </si>
  <si>
    <t xml:space="preserve">VALUATION (KRW bn)</t>
  </si>
  <si>
    <t xml:space="preserve">Sum of PV of forecast FCFF</t>
  </si>
  <si>
    <t xml:space="preserve">Terminal value (Gordon growth)</t>
  </si>
  <si>
    <t xml:space="preserve">PV of terminal value</t>
  </si>
  <si>
    <t xml:space="preserve">Enterprise value</t>
  </si>
  <si>
    <t xml:space="preserve">Less: net debt</t>
  </si>
  <si>
    <t xml:space="preserve">Less: non-controlling interests</t>
  </si>
  <si>
    <t xml:space="preserve">Equity value</t>
  </si>
  <si>
    <t xml:space="preserve">% of enterprise value from terminal value</t>
  </si>
  <si>
    <t xml:space="preserve">Cross-check: implied terminal EV/EBITDA</t>
  </si>
  <si>
    <t xml:space="preserve">SENSITIVITY — implied value per share (KRW)</t>
  </si>
  <si>
    <t xml:space="preserve">Rows = WACC, columns = terminal growth. Centre cell = base case.</t>
  </si>
  <si>
    <t xml:space="preserve">WACC ↓  /  g →</t>
  </si>
  <si>
    <t xml:space="preserve">Check: centre cell − base value per share (should be 0). Terminal value is ~85% of EV — normal for a cyclical at a margin trough, and the reason the sensitivity matters.</t>
  </si>
  <si>
    <t xml:space="preserve">Check</t>
  </si>
  <si>
    <t xml:space="preserve">REVERSE DCF — WHAT THE SHARE PRICE IMPLIES</t>
  </si>
  <si>
    <t xml:space="preserve">Market EV (market cap + net debt + NCI)</t>
  </si>
  <si>
    <t xml:space="preserve">Required PV of terminal value</t>
  </si>
  <si>
    <t xml:space="preserve">Required terminal value (2030)</t>
  </si>
  <si>
    <t xml:space="preserve">Market-implied perpetuity growth (at this WACC)</t>
  </si>
  <si>
    <t xml:space="preserve">Market-implied terminal EV/EBITDA</t>
  </si>
  <si>
    <t xml:space="preserve">POSCO Holdings DCF — base data &amp; sources</t>
  </si>
  <si>
    <t xml:space="preserve">Item</t>
  </si>
  <si>
    <t xml:space="preserve">Value used</t>
  </si>
  <si>
    <t xml:space="preserve">Source / note</t>
  </si>
  <si>
    <t xml:space="preserve">FY2025 revenue</t>
  </si>
  <si>
    <t xml:space="preserve">KRW 69,094.9 bn</t>
  </si>
  <si>
    <t xml:space="preserve">stockanalysis.com PKX income statement; company FY2025 results (~KRW 69.1tn, -4.9% YoY).</t>
  </si>
  <si>
    <t xml:space="preserve">FY2025 operating income</t>
  </si>
  <si>
    <t xml:space="preserve">KRW 1,841.6 bn</t>
  </si>
  <si>
    <t xml:space="preserve">stockanalysis.com — 2.67% operating margin, a cyclical trough vs mid-cycle 6-9%.</t>
  </si>
  <si>
    <t xml:space="preserve">FY2025 net income</t>
  </si>
  <si>
    <t xml:space="preserve">KRW 657.7 bn</t>
  </si>
  <si>
    <t xml:space="preserve">stockanalysis.com.</t>
  </si>
  <si>
    <t xml:space="preserve">FY2025 D&amp;A</t>
  </si>
  <si>
    <t xml:space="preserve">KRW 4,173.8 bn</t>
  </si>
  <si>
    <t xml:space="preserve">stockanalysis.com cash flow statement (~6% of revenue).</t>
  </si>
  <si>
    <t xml:space="preserve">FY2025 capex</t>
  </si>
  <si>
    <t xml:space="preserve">KRW 5,665.2 bn</t>
  </si>
  <si>
    <t xml:space="preserve">stockanalysis.com — elevated (~8.2% of rev) by battery-materials investment.</t>
  </si>
  <si>
    <t xml:space="preserve">Total debt (Jun-2026)</t>
  </si>
  <si>
    <t xml:space="preserve">KRW 30,404 bn</t>
  </si>
  <si>
    <t xml:space="preserve">stockanalysis.com balance sheet.</t>
  </si>
  <si>
    <t xml:space="preserve">Cash &amp; equivalents (Jun-2026)</t>
  </si>
  <si>
    <t xml:space="preserve">KRW 14,298 bn</t>
  </si>
  <si>
    <t xml:space="preserve">Net debt (Jun-2026)</t>
  </si>
  <si>
    <t xml:space="preserve">KRW 16,106 bn</t>
  </si>
  <si>
    <t xml:space="preserve">Total debt minus cash.</t>
  </si>
  <si>
    <t xml:space="preserve">Shares outstanding</t>
  </si>
  <si>
    <t xml:space="preserve">75.62 million</t>
  </si>
  <si>
    <t xml:space="preserve">Excl. treasury shares (stockanalysis.com, Jun 2026); 6% of issued shares cancelled 2024-26.</t>
  </si>
  <si>
    <t xml:space="preserve">Share price</t>
  </si>
  <si>
    <t xml:space="preserve">KRW 309,500</t>
  </si>
  <si>
    <t xml:space="preserve">8 Oct 2026 (Investing.com, delayed quote).</t>
  </si>
  <si>
    <t xml:space="preserve">Non-controlling interests (Jun-2026)</t>
  </si>
  <si>
    <t xml:space="preserve">KRW 6,697.6 bn</t>
  </si>
  <si>
    <t xml:space="preserve">stockanalysis.com balance sheet; deducted in the equity bridge.</t>
  </si>
  <si>
    <t xml:space="preserve">KEY ASSUMPTIONS</t>
  </si>
  <si>
    <t xml:space="preserve">Revenue growth</t>
  </si>
  <si>
    <t xml:space="preserve">3% / 4% / 4% / 3% / 3%</t>
  </si>
  <si>
    <t xml:space="preserve">Modest recovery from the steel down-cycle plus battery-materials growth.</t>
  </si>
  <si>
    <t xml:space="preserve">EBIT margin path</t>
  </si>
  <si>
    <t xml:space="preserve">4% → 7%</t>
  </si>
  <si>
    <t xml:space="preserve">Margin recovery toward mid-cycle as steel margins normalise and lithium/battery turns profitable (Q2-2026 inflection).</t>
  </si>
  <si>
    <t xml:space="preserve">24%</t>
  </si>
  <si>
    <t xml:space="preserve">Korea effective corporate rate (assumption).</t>
  </si>
  <si>
    <t xml:space="preserve">D&amp;A</t>
  </si>
  <si>
    <t xml:space="preserve">6% of revenue</t>
  </si>
  <si>
    <t xml:space="preserve">In line with FY2025.</t>
  </si>
  <si>
    <t xml:space="preserve">Capex</t>
  </si>
  <si>
    <t xml:space="preserve">8% → 6% of revenue</t>
  </si>
  <si>
    <t xml:space="preserve">Declines as the battery investment cycle matures.</t>
  </si>
  <si>
    <t xml:space="preserve">Terminal growth</t>
  </si>
  <si>
    <t xml:space="preserve">2.0%</t>
  </si>
  <si>
    <t xml:space="preserve">Long-run inflation/GDP.</t>
  </si>
  <si>
    <t xml:space="preserve">~7.8%</t>
  </si>
  <si>
    <t xml:space="preserve">rf 4.41% (Korea 10Y KTB, late Sep 2026) + β 1.20 × ERP 7.0% for Ke; Kd 5% pre-tax; market weights.</t>
  </si>
  <si>
    <t xml:space="preserve">IMPORTANT</t>
  </si>
  <si>
    <t xml:space="preserve">Practice model on public information, not investment advice. Every blue/yellow cell is an assumption to challenge.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</si>
</sst>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;\(0.0%\);\-"/>
    <numFmt numFmtId="167" formatCode="0.0\x"/>
    <numFmt numFmtId="168" formatCode="0;\(0\);&quot;OK&quot;"/>
    <numFmt numFmtId="169" formatCode="0.0%"/>
    <numFmt numFmtId="170" formatCode="0.00"/>
    <numFmt numFmtId="171" formatCode="#,##0;\(#,##0\);\-"/>
    <numFmt numFmtId="172" formatCode="#,##0.00"/>
    <numFmt numFmtId="173" formatCode="#,##0;\(#,##0\);\-"/>
    <numFmt numFmtId="174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OSCO_Holdings_DCF.xlsx" TargetMode="External"/><Relationship Id="rId2" Type="http://schemas.openxmlformats.org/officeDocument/2006/relationships/hyperlink" Target="POSCO_Holdings_DCF.xlsx" TargetMode="External"/><Relationship Id="rId3" Type="http://schemas.openxmlformats.org/officeDocument/2006/relationships/hyperlink" Target="https://stockanalysis.com/stocks/pkx/financials/balance-sheet/" TargetMode="External"/><Relationship Id="rId4" Type="http://schemas.openxmlformats.org/officeDocument/2006/relationships/hyperlink" Target="https://hk.investing.com/equities/posco-inc" TargetMode="External"/><Relationship Id="rId5" Type="http://schemas.openxmlformats.org/officeDocument/2006/relationships/hyperlink" Target="https://www.koreatimes.co.kr/business/20260220/posco-holdings-to-cancel-6351-bil-won-in-treasury-shares-in-2026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3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3" customFormat="false" ht="15" hidden="false" customHeight="false" outlineLevel="0" collapsed="false">
      <c r="B13" s="6" t="s">
        <v>12</v>
      </c>
      <c r="C13" s="3"/>
      <c r="D13" s="3"/>
      <c r="E13" s="3"/>
    </row>
    <row r="14" customFormat="false" ht="15" hidden="false" customHeight="false" outlineLevel="0" collapsed="false">
      <c r="B14" s="5" t="s">
        <v>13</v>
      </c>
      <c r="C14" s="7" t="n">
        <f aca="false">DCF!B53</f>
        <v>510607.183114307</v>
      </c>
    </row>
    <row r="15" customFormat="false" ht="15" hidden="false" customHeight="false" outlineLevel="0" collapsed="false">
      <c r="B15" s="5" t="s">
        <v>14</v>
      </c>
      <c r="C15" s="7" t="n">
        <f aca="false">DCF!B6</f>
        <v>309500</v>
      </c>
    </row>
    <row r="16" customFormat="false" ht="15" hidden="false" customHeight="false" outlineLevel="0" collapsed="false">
      <c r="B16" s="5" t="s">
        <v>15</v>
      </c>
      <c r="C16" s="8" t="n">
        <f aca="false">DCF!B7</f>
        <v>0.64978088243718</v>
      </c>
    </row>
    <row r="17" customFormat="false" ht="15" hidden="false" customHeight="false" outlineLevel="0" collapsed="false">
      <c r="B17" s="5" t="s">
        <v>16</v>
      </c>
      <c r="C17" s="8" t="n">
        <f aca="false">DCF!B19</f>
        <v>0.0771897163063232</v>
      </c>
    </row>
    <row r="18" customFormat="false" ht="15" hidden="false" customHeight="false" outlineLevel="0" collapsed="false">
      <c r="B18" s="5" t="s">
        <v>17</v>
      </c>
      <c r="C18" s="8" t="n">
        <f aca="false">DCF!B54</f>
        <v>0.846103436030367</v>
      </c>
    </row>
    <row r="19" customFormat="false" ht="15" hidden="false" customHeight="false" outlineLevel="0" collapsed="false">
      <c r="B19" s="5" t="s">
        <v>18</v>
      </c>
      <c r="C19" s="9" t="n">
        <f aca="false">DCF!B55</f>
        <v>7.0989851532183</v>
      </c>
    </row>
    <row r="20" customFormat="false" ht="15" hidden="false" customHeight="false" outlineLevel="0" collapsed="false">
      <c r="B20" s="5" t="s">
        <v>19</v>
      </c>
      <c r="C20" s="8" t="n">
        <f aca="false">DCF!B73</f>
        <v>-0.00192408722440998</v>
      </c>
    </row>
    <row r="21" customFormat="false" ht="15" hidden="false" customHeight="false" outlineLevel="0" collapsed="false">
      <c r="B21" s="5" t="s">
        <v>20</v>
      </c>
      <c r="C21" s="10" t="n">
        <f aca="false">DCF!B67</f>
        <v>0</v>
      </c>
    </row>
    <row r="23" customFormat="false" ht="15" hidden="false" customHeight="false" outlineLevel="0" collapsed="false">
      <c r="B23" s="6" t="s">
        <v>21</v>
      </c>
      <c r="C23" s="3"/>
      <c r="D23" s="3"/>
      <c r="E23" s="3"/>
    </row>
    <row r="24" customFormat="false" ht="15" hidden="false" customHeight="false" outlineLevel="0" collapsed="false">
      <c r="B24" s="11" t="s">
        <v>22</v>
      </c>
      <c r="C24" s="5" t="s">
        <v>23</v>
      </c>
    </row>
    <row r="25" customFormat="false" ht="15" hidden="false" customHeight="false" outlineLevel="0" collapsed="false">
      <c r="B25" s="11" t="s">
        <v>24</v>
      </c>
      <c r="C25" s="5" t="s">
        <v>25</v>
      </c>
    </row>
    <row r="27" customFormat="false" ht="15" hidden="false" customHeight="false" outlineLevel="0" collapsed="false">
      <c r="B27" s="6" t="s">
        <v>26</v>
      </c>
      <c r="C27" s="3"/>
      <c r="D27" s="3"/>
      <c r="E27" s="3"/>
    </row>
    <row r="28" customFormat="false" ht="15" hidden="false" customHeight="false" outlineLevel="0" collapsed="false">
      <c r="B28" s="12" t="s">
        <v>27</v>
      </c>
    </row>
    <row r="29" customFormat="false" ht="15" hidden="false" customHeight="false" outlineLevel="0" collapsed="false">
      <c r="B29" s="5" t="s">
        <v>28</v>
      </c>
    </row>
    <row r="30" customFormat="false" ht="15" hidden="false" customHeight="false" outlineLevel="0" collapsed="false">
      <c r="B30" s="13" t="s">
        <v>29</v>
      </c>
    </row>
    <row r="31" customFormat="false" ht="15" hidden="false" customHeight="false" outlineLevel="0" collapsed="false">
      <c r="B31" s="14" t="s">
        <v>30</v>
      </c>
    </row>
    <row r="32" customFormat="false" ht="15" hidden="false" customHeight="false" outlineLevel="0" collapsed="false">
      <c r="B32" s="15" t="s">
        <v>31</v>
      </c>
    </row>
    <row r="34" customFormat="false" ht="15" hidden="false" customHeight="false" outlineLevel="0" collapsed="false">
      <c r="B34" s="6" t="s">
        <v>32</v>
      </c>
      <c r="C34" s="3"/>
      <c r="D34" s="3"/>
      <c r="E34" s="3"/>
    </row>
    <row r="35" customFormat="false" ht="15" hidden="false" customHeight="false" outlineLevel="0" collapsed="false">
      <c r="B35" s="5" t="s">
        <v>33</v>
      </c>
    </row>
    <row r="36" customFormat="false" ht="15" hidden="false" customHeight="false" outlineLevel="0" collapsed="false">
      <c r="B36" s="5" t="s">
        <v>34</v>
      </c>
    </row>
    <row r="37" customFormat="false" ht="15" hidden="false" customHeight="false" outlineLevel="0" collapsed="false">
      <c r="B37" s="5" t="s">
        <v>35</v>
      </c>
    </row>
    <row r="38" customFormat="false" ht="15" hidden="false" customHeight="false" outlineLevel="0" collapsed="false">
      <c r="B38" s="5" t="s">
        <v>36</v>
      </c>
    </row>
    <row r="40" customFormat="false" ht="15" hidden="false" customHeight="false" outlineLevel="0" collapsed="false">
      <c r="B40" s="6" t="s">
        <v>37</v>
      </c>
      <c r="C40" s="3"/>
      <c r="D40" s="3"/>
      <c r="E40" s="3"/>
    </row>
    <row r="41" customFormat="false" ht="15" hidden="false" customHeight="false" outlineLevel="0" collapsed="false">
      <c r="B41" s="5" t="s">
        <v>38</v>
      </c>
    </row>
    <row r="42" customFormat="false" ht="15" hidden="false" customHeight="false" outlineLevel="0" collapsed="false">
      <c r="B42" s="5" t="s">
        <v>39</v>
      </c>
    </row>
    <row r="43" customFormat="false" ht="15" hidden="false" customHeight="false" outlineLevel="0" collapsed="false">
      <c r="B43" s="5" t="s">
        <v>40</v>
      </c>
    </row>
    <row r="44" customFormat="false" ht="15" hidden="false" customHeight="false" outlineLevel="0" collapsed="false">
      <c r="B44" s="5" t="s">
        <v>41</v>
      </c>
    </row>
    <row r="45" customFormat="false" ht="15" hidden="false" customHeight="false" outlineLevel="0" collapsed="false">
      <c r="B45" s="5" t="s">
        <v>42</v>
      </c>
    </row>
    <row r="47" customFormat="false" ht="15" hidden="false" customHeight="false" outlineLevel="0" collapsed="false">
      <c r="B47" s="6" t="s">
        <v>43</v>
      </c>
      <c r="C47" s="3"/>
      <c r="D47" s="3"/>
      <c r="E47" s="3"/>
    </row>
    <row r="48" customFormat="false" ht="15" hidden="false" customHeight="false" outlineLevel="0" collapsed="false">
      <c r="B48" s="5" t="s">
        <v>44</v>
      </c>
      <c r="C48" s="11" t="s">
        <v>45</v>
      </c>
    </row>
    <row r="49" customFormat="false" ht="15" hidden="false" customHeight="false" outlineLevel="0" collapsed="false">
      <c r="B49" s="5" t="s">
        <v>46</v>
      </c>
      <c r="C49" s="11" t="s">
        <v>47</v>
      </c>
    </row>
    <row r="50" customFormat="false" ht="15" hidden="false" customHeight="false" outlineLevel="0" collapsed="false">
      <c r="B50" s="5" t="s">
        <v>48</v>
      </c>
      <c r="C50" s="11" t="s">
        <v>49</v>
      </c>
    </row>
    <row r="52" customFormat="false" ht="15" hidden="false" customHeight="false" outlineLevel="0" collapsed="false">
      <c r="B52" s="4" t="s">
        <v>50</v>
      </c>
    </row>
    <row r="53" customFormat="false" ht="15" hidden="false" customHeight="false" outlineLevel="0" collapsed="false">
      <c r="B53" s="16" t="s">
        <v>51</v>
      </c>
    </row>
  </sheetData>
  <hyperlinks>
    <hyperlink ref="B24" r:id="rId1" location="'DCF'!A1" display="DCF"/>
    <hyperlink ref="B25" r:id="rId2" location="'Notes%20&amp;%20Sources'!A1" display="Notes &amp; Sources"/>
    <hyperlink ref="C48" r:id="rId3" display="https://stockanalysis.com/stocks/pkx/financials/balance-sheet/"/>
    <hyperlink ref="C49" r:id="rId4" display="https://hk.investing.com/equities/posco-inc"/>
    <hyperlink ref="C50" r:id="rId5" display="https://www.koreatimes.co.kr/business/20260220/posco-holdings-to-cancel-6351-bil-won-in-treasury-shares-in-20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40"/>
    <col collapsed="false" customWidth="true" hidden="false" outlineLevel="0" max="7" min="2" style="17" width="13"/>
    <col collapsed="false" customWidth="true" hidden="false" outlineLevel="0" max="9" min="9" style="17" width="40"/>
  </cols>
  <sheetData>
    <row r="1" customFormat="false" ht="18" hidden="false" customHeight="true" outlineLevel="0" collapsed="false">
      <c r="A1" s="18" t="s">
        <v>52</v>
      </c>
    </row>
    <row r="2" customFormat="false" ht="15" hidden="false" customHeight="true" outlineLevel="0" collapsed="false">
      <c r="A2" s="19" t="s">
        <v>53</v>
      </c>
    </row>
    <row r="4" customFormat="false" ht="15" hidden="false" customHeight="true" outlineLevel="0" collapsed="false">
      <c r="A4" s="20" t="s">
        <v>54</v>
      </c>
      <c r="B4" s="20"/>
    </row>
    <row r="5" customFormat="false" ht="15" hidden="false" customHeight="true" outlineLevel="0" collapsed="false">
      <c r="A5" s="21" t="s">
        <v>13</v>
      </c>
      <c r="B5" s="22" t="n">
        <f aca="false">B53</f>
        <v>510607.183114307</v>
      </c>
    </row>
    <row r="6" customFormat="false" ht="15" hidden="false" customHeight="true" outlineLevel="0" collapsed="false">
      <c r="A6" s="23" t="s">
        <v>55</v>
      </c>
      <c r="B6" s="24" t="n">
        <v>309500</v>
      </c>
    </row>
    <row r="7" customFormat="false" ht="15" hidden="false" customHeight="true" outlineLevel="0" collapsed="false">
      <c r="A7" s="21" t="s">
        <v>56</v>
      </c>
      <c r="B7" s="25" t="n">
        <f aca="false">B5/B6-1</f>
        <v>0.64978088243718</v>
      </c>
    </row>
    <row r="9" customFormat="false" ht="15" hidden="false" customHeight="true" outlineLevel="0" collapsed="false">
      <c r="A9" s="20" t="s">
        <v>57</v>
      </c>
      <c r="B9" s="20"/>
    </row>
    <row r="10" customFormat="false" ht="15" hidden="false" customHeight="true" outlineLevel="0" collapsed="false">
      <c r="A10" s="23" t="s">
        <v>58</v>
      </c>
      <c r="B10" s="26" t="n">
        <v>0.0441</v>
      </c>
    </row>
    <row r="11" customFormat="false" ht="15" hidden="false" customHeight="true" outlineLevel="0" collapsed="false">
      <c r="A11" s="23" t="s">
        <v>59</v>
      </c>
      <c r="B11" s="26" t="n">
        <v>0.07</v>
      </c>
    </row>
    <row r="12" customFormat="false" ht="15" hidden="false" customHeight="true" outlineLevel="0" collapsed="false">
      <c r="A12" s="23" t="s">
        <v>60</v>
      </c>
      <c r="B12" s="27" t="n">
        <v>1.2</v>
      </c>
    </row>
    <row r="13" customFormat="false" ht="15" hidden="false" customHeight="true" outlineLevel="0" collapsed="false">
      <c r="A13" s="21" t="s">
        <v>61</v>
      </c>
      <c r="B13" s="28" t="n">
        <f aca="false">B10+B12*B11</f>
        <v>0.1281</v>
      </c>
    </row>
    <row r="14" customFormat="false" ht="15" hidden="false" customHeight="true" outlineLevel="0" collapsed="false">
      <c r="A14" s="23" t="s">
        <v>62</v>
      </c>
      <c r="B14" s="26" t="n">
        <v>0.05</v>
      </c>
    </row>
    <row r="15" customFormat="false" ht="15" hidden="false" customHeight="true" outlineLevel="0" collapsed="false">
      <c r="A15" s="23" t="s">
        <v>63</v>
      </c>
      <c r="B15" s="26" t="n">
        <v>0.24</v>
      </c>
    </row>
    <row r="16" customFormat="false" ht="15" hidden="false" customHeight="true" outlineLevel="0" collapsed="false">
      <c r="A16" s="21" t="s">
        <v>64</v>
      </c>
      <c r="B16" s="28" t="n">
        <f aca="false">B14*(1-B15)</f>
        <v>0.038</v>
      </c>
    </row>
    <row r="17" customFormat="false" ht="15" hidden="false" customHeight="true" outlineLevel="0" collapsed="false">
      <c r="A17" s="23" t="s">
        <v>65</v>
      </c>
      <c r="B17" s="29" t="n">
        <f aca="false">B6*B24/1000</f>
        <v>23404.39</v>
      </c>
    </row>
    <row r="18" customFormat="false" ht="15" hidden="false" customHeight="true" outlineLevel="0" collapsed="false">
      <c r="A18" s="23" t="s">
        <v>66</v>
      </c>
      <c r="B18" s="30" t="n">
        <v>30404</v>
      </c>
    </row>
    <row r="19" customFormat="false" ht="15" hidden="false" customHeight="true" outlineLevel="0" collapsed="false">
      <c r="A19" s="21" t="s">
        <v>16</v>
      </c>
      <c r="B19" s="31" t="n">
        <f aca="false">(B17/(B17+B18))*B13+(B18/(B17+B18))*B16</f>
        <v>0.0771897163063232</v>
      </c>
    </row>
    <row r="21" customFormat="false" ht="15" hidden="false" customHeight="true" outlineLevel="0" collapsed="false">
      <c r="A21" s="20" t="s">
        <v>67</v>
      </c>
      <c r="B21" s="20"/>
    </row>
    <row r="22" customFormat="false" ht="15" hidden="false" customHeight="true" outlineLevel="0" collapsed="false">
      <c r="A22" s="23" t="s">
        <v>68</v>
      </c>
      <c r="B22" s="26" t="n">
        <v>0.02</v>
      </c>
    </row>
    <row r="23" customFormat="false" ht="15" hidden="false" customHeight="true" outlineLevel="0" collapsed="false">
      <c r="A23" s="23" t="s">
        <v>69</v>
      </c>
      <c r="B23" s="30" t="n">
        <v>16106</v>
      </c>
    </row>
    <row r="24" customFormat="false" ht="15" hidden="false" customHeight="true" outlineLevel="0" collapsed="false">
      <c r="A24" s="23" t="s">
        <v>70</v>
      </c>
      <c r="B24" s="32" t="n">
        <v>75.62</v>
      </c>
    </row>
    <row r="25" customFormat="false" ht="15" hidden="false" customHeight="true" outlineLevel="0" collapsed="false">
      <c r="A25" s="23" t="s">
        <v>71</v>
      </c>
      <c r="B25" s="26" t="n">
        <v>0.05</v>
      </c>
    </row>
    <row r="26" customFormat="false" ht="15" hidden="false" customHeight="false" outlineLevel="0" collapsed="false">
      <c r="A26" s="5" t="s">
        <v>72</v>
      </c>
      <c r="B26" s="33" t="n">
        <v>6697.6</v>
      </c>
    </row>
    <row r="28" customFormat="false" ht="15" hidden="false" customHeight="true" outlineLevel="0" collapsed="false">
      <c r="A28" s="20" t="s">
        <v>73</v>
      </c>
      <c r="B28" s="34" t="s">
        <v>74</v>
      </c>
      <c r="C28" s="34" t="s">
        <v>75</v>
      </c>
      <c r="D28" s="34" t="s">
        <v>76</v>
      </c>
      <c r="E28" s="34" t="s">
        <v>77</v>
      </c>
      <c r="F28" s="34" t="s">
        <v>78</v>
      </c>
      <c r="G28" s="34" t="s">
        <v>79</v>
      </c>
    </row>
    <row r="29" customFormat="false" ht="15" hidden="false" customHeight="true" outlineLevel="0" collapsed="false">
      <c r="A29" s="23" t="s">
        <v>80</v>
      </c>
      <c r="C29" s="26" t="n">
        <v>0.03</v>
      </c>
      <c r="D29" s="26" t="n">
        <v>0.04</v>
      </c>
      <c r="E29" s="26" t="n">
        <v>0.04</v>
      </c>
      <c r="F29" s="26" t="n">
        <v>0.03</v>
      </c>
      <c r="G29" s="26" t="n">
        <v>0.03</v>
      </c>
    </row>
    <row r="30" customFormat="false" ht="15" hidden="false" customHeight="true" outlineLevel="0" collapsed="false">
      <c r="A30" s="21" t="s">
        <v>81</v>
      </c>
      <c r="B30" s="35" t="n">
        <v>69094.9</v>
      </c>
      <c r="C30" s="29" t="n">
        <f aca="false">B30*(1+C29)</f>
        <v>71167.747</v>
      </c>
      <c r="D30" s="29" t="n">
        <f aca="false">C30*(1+D29)</f>
        <v>74014.45688</v>
      </c>
      <c r="E30" s="29" t="n">
        <f aca="false">D30*(1+E29)</f>
        <v>76975.0351552</v>
      </c>
      <c r="F30" s="29" t="n">
        <f aca="false">E30*(1+F29)</f>
        <v>79284.286209856</v>
      </c>
      <c r="G30" s="29" t="n">
        <f aca="false">F30*(1+G29)</f>
        <v>81662.8147961517</v>
      </c>
    </row>
    <row r="31" customFormat="false" ht="15" hidden="false" customHeight="true" outlineLevel="0" collapsed="false">
      <c r="A31" s="23" t="s">
        <v>82</v>
      </c>
      <c r="B31" s="36" t="n">
        <f aca="false">B32/B30</f>
        <v>0.026653197269263</v>
      </c>
      <c r="C31" s="26" t="n">
        <v>0.04</v>
      </c>
      <c r="D31" s="26" t="n">
        <v>0.05</v>
      </c>
      <c r="E31" s="26" t="n">
        <v>0.06</v>
      </c>
      <c r="F31" s="26" t="n">
        <v>0.065</v>
      </c>
      <c r="G31" s="26" t="n">
        <v>0.07</v>
      </c>
    </row>
    <row r="32" customFormat="false" ht="15" hidden="false" customHeight="true" outlineLevel="0" collapsed="false">
      <c r="A32" s="23" t="s">
        <v>83</v>
      </c>
      <c r="B32" s="35" t="n">
        <v>1841.6</v>
      </c>
      <c r="C32" s="29" t="n">
        <f aca="false">C30*C31</f>
        <v>2846.70988</v>
      </c>
      <c r="D32" s="29" t="n">
        <f aca="false">D30*D31</f>
        <v>3700.722844</v>
      </c>
      <c r="E32" s="29" t="n">
        <f aca="false">E30*E31</f>
        <v>4618.502109312</v>
      </c>
      <c r="F32" s="29" t="n">
        <f aca="false">F30*F31</f>
        <v>5153.47860364064</v>
      </c>
      <c r="G32" s="29" t="n">
        <f aca="false">G30*G31</f>
        <v>5716.39703573062</v>
      </c>
    </row>
    <row r="33" customFormat="false" ht="15" hidden="false" customHeight="true" outlineLevel="0" collapsed="false">
      <c r="A33" s="23" t="s">
        <v>84</v>
      </c>
      <c r="C33" s="29" t="n">
        <f aca="false">C32*(1-$B$15)</f>
        <v>2163.4995088</v>
      </c>
      <c r="D33" s="29" t="n">
        <f aca="false">D32*(1-$B$15)</f>
        <v>2812.54936144</v>
      </c>
      <c r="E33" s="29" t="n">
        <f aca="false">E32*(1-$B$15)</f>
        <v>3510.06160307712</v>
      </c>
      <c r="F33" s="29" t="n">
        <f aca="false">F32*(1-$B$15)</f>
        <v>3916.64373876689</v>
      </c>
      <c r="G33" s="29" t="n">
        <f aca="false">G32*(1-$B$15)</f>
        <v>4344.46174715527</v>
      </c>
    </row>
    <row r="34" customFormat="false" ht="15" hidden="false" customHeight="true" outlineLevel="0" collapsed="false">
      <c r="A34" s="23" t="s">
        <v>85</v>
      </c>
      <c r="B34" s="36" t="n">
        <f aca="false">B35/B30</f>
        <v>0.0604067738718777</v>
      </c>
      <c r="C34" s="26" t="n">
        <v>0.06</v>
      </c>
      <c r="D34" s="26" t="n">
        <v>0.06</v>
      </c>
      <c r="E34" s="26" t="n">
        <v>0.06</v>
      </c>
      <c r="F34" s="26" t="n">
        <v>0.06</v>
      </c>
      <c r="G34" s="26" t="n">
        <v>0.06</v>
      </c>
    </row>
    <row r="35" customFormat="false" ht="15" hidden="false" customHeight="true" outlineLevel="0" collapsed="false">
      <c r="A35" s="23" t="s">
        <v>86</v>
      </c>
      <c r="B35" s="35" t="n">
        <v>4173.8</v>
      </c>
      <c r="C35" s="29" t="n">
        <f aca="false">C30*C34</f>
        <v>4270.06482</v>
      </c>
      <c r="D35" s="29" t="n">
        <f aca="false">D30*D34</f>
        <v>4440.8674128</v>
      </c>
      <c r="E35" s="29" t="n">
        <f aca="false">E30*E34</f>
        <v>4618.502109312</v>
      </c>
      <c r="F35" s="29" t="n">
        <f aca="false">F30*F34</f>
        <v>4757.05717259136</v>
      </c>
      <c r="G35" s="29" t="n">
        <f aca="false">G30*G34</f>
        <v>4899.7688877691</v>
      </c>
    </row>
    <row r="36" customFormat="false" ht="15" hidden="false" customHeight="true" outlineLevel="0" collapsed="false">
      <c r="A36" s="23" t="s">
        <v>87</v>
      </c>
      <c r="B36" s="36" t="n">
        <f aca="false">B37/B30</f>
        <v>0.0819915796969096</v>
      </c>
      <c r="C36" s="26" t="n">
        <v>0.08</v>
      </c>
      <c r="D36" s="26" t="n">
        <v>0.075</v>
      </c>
      <c r="E36" s="26" t="n">
        <v>0.07</v>
      </c>
      <c r="F36" s="26" t="n">
        <v>0.065</v>
      </c>
      <c r="G36" s="26" t="n">
        <v>0.06</v>
      </c>
    </row>
    <row r="37" customFormat="false" ht="15" hidden="false" customHeight="true" outlineLevel="0" collapsed="false">
      <c r="A37" s="23" t="s">
        <v>88</v>
      </c>
      <c r="B37" s="35" t="n">
        <v>5665.2</v>
      </c>
      <c r="C37" s="29" t="n">
        <f aca="false">C30*C36</f>
        <v>5693.41976</v>
      </c>
      <c r="D37" s="29" t="n">
        <f aca="false">D30*D36</f>
        <v>5551.084266</v>
      </c>
      <c r="E37" s="29" t="n">
        <f aca="false">E30*E36</f>
        <v>5388.252460864</v>
      </c>
      <c r="F37" s="29" t="n">
        <f aca="false">F30*F36</f>
        <v>5153.47860364064</v>
      </c>
      <c r="G37" s="29" t="n">
        <f aca="false">G30*G36</f>
        <v>4899.7688877691</v>
      </c>
    </row>
    <row r="38" customFormat="false" ht="15" hidden="false" customHeight="true" outlineLevel="0" collapsed="false">
      <c r="A38" s="23" t="s">
        <v>89</v>
      </c>
      <c r="C38" s="29" t="n">
        <f aca="false">(C30-B30)*$B$25</f>
        <v>103.64235</v>
      </c>
      <c r="D38" s="29" t="n">
        <f aca="false">(D30-C30)*$B$25</f>
        <v>142.335494</v>
      </c>
      <c r="E38" s="29" t="n">
        <f aca="false">(E30-D30)*$B$25</f>
        <v>148.02891376</v>
      </c>
      <c r="F38" s="29" t="n">
        <f aca="false">(F30-E30)*$B$25</f>
        <v>115.4625527328</v>
      </c>
      <c r="G38" s="29" t="n">
        <f aca="false">(G30-F30)*$B$25</f>
        <v>118.926429314784</v>
      </c>
    </row>
    <row r="39" customFormat="false" ht="15" hidden="false" customHeight="true" outlineLevel="0" collapsed="false">
      <c r="A39" s="21" t="s">
        <v>90</v>
      </c>
      <c r="C39" s="37" t="n">
        <f aca="false">C33+C35-C37-C38</f>
        <v>636.502218799998</v>
      </c>
      <c r="D39" s="37" t="n">
        <f aca="false">D33+D35-D37-D38</f>
        <v>1559.99701424</v>
      </c>
      <c r="E39" s="37" t="n">
        <f aca="false">E33+E35-E37-E38</f>
        <v>2592.28233776512</v>
      </c>
      <c r="F39" s="37" t="n">
        <f aca="false">F33+F35-F37-F38</f>
        <v>3404.75975498481</v>
      </c>
      <c r="G39" s="37" t="n">
        <f aca="false">G33+G35-G37-G38</f>
        <v>4225.53531784049</v>
      </c>
    </row>
    <row r="40" customFormat="false" ht="15" hidden="false" customHeight="true" outlineLevel="0" collapsed="false">
      <c r="A40" s="23" t="s">
        <v>91</v>
      </c>
      <c r="C40" s="38" t="n">
        <v>1</v>
      </c>
      <c r="D40" s="38" t="n">
        <v>2</v>
      </c>
      <c r="E40" s="38" t="n">
        <v>3</v>
      </c>
      <c r="F40" s="38" t="n">
        <v>4</v>
      </c>
      <c r="G40" s="38" t="n">
        <v>5</v>
      </c>
    </row>
    <row r="41" customFormat="false" ht="15" hidden="false" customHeight="true" outlineLevel="0" collapsed="false">
      <c r="A41" s="23" t="s">
        <v>92</v>
      </c>
      <c r="C41" s="39" t="n">
        <f aca="false">1/(1+$B$19)^C40</f>
        <v>0.928341577033425</v>
      </c>
      <c r="D41" s="39" t="n">
        <f aca="false">1/(1+$B$19)^D40</f>
        <v>0.861818083648907</v>
      </c>
      <c r="E41" s="39" t="n">
        <f aca="false">1/(1+$B$19)^E40</f>
        <v>0.80006155889055</v>
      </c>
      <c r="F41" s="39" t="n">
        <f aca="false">1/(1+$B$19)^F40</f>
        <v>0.742730409304274</v>
      </c>
      <c r="G41" s="39" t="n">
        <f aca="false">1/(1+$B$19)^G40</f>
        <v>0.689507519484211</v>
      </c>
    </row>
    <row r="42" customFormat="false" ht="15" hidden="false" customHeight="true" outlineLevel="0" collapsed="false">
      <c r="A42" s="23" t="s">
        <v>93</v>
      </c>
      <c r="C42" s="29" t="n">
        <f aca="false">C39*C41</f>
        <v>590.891473586064</v>
      </c>
      <c r="D42" s="29" t="n">
        <f aca="false">D39*D41</f>
        <v>1344.43363731033</v>
      </c>
      <c r="E42" s="29" t="n">
        <f aca="false">E39*E41</f>
        <v>2073.9854482368</v>
      </c>
      <c r="F42" s="29" t="n">
        <f aca="false">F39*F41</f>
        <v>2528.81860640259</v>
      </c>
      <c r="G42" s="29" t="n">
        <f aca="false">G39*G41</f>
        <v>2913.53837549712</v>
      </c>
    </row>
    <row r="45" customFormat="false" ht="15" hidden="false" customHeight="true" outlineLevel="0" collapsed="false">
      <c r="A45" s="20" t="s">
        <v>94</v>
      </c>
      <c r="B45" s="20"/>
    </row>
    <row r="46" customFormat="false" ht="15" hidden="false" customHeight="true" outlineLevel="0" collapsed="false">
      <c r="A46" s="23" t="s">
        <v>95</v>
      </c>
      <c r="B46" s="29" t="n">
        <f aca="false">SUM(C42:G42)</f>
        <v>9451.66754103291</v>
      </c>
    </row>
    <row r="47" customFormat="false" ht="15" hidden="false" customHeight="true" outlineLevel="0" collapsed="false">
      <c r="A47" s="23" t="s">
        <v>96</v>
      </c>
      <c r="B47" s="29" t="n">
        <f aca="false">G39*(1+B22)/(B19-B22)</f>
        <v>75364.0042750265</v>
      </c>
    </row>
    <row r="48" customFormat="false" ht="15" hidden="false" customHeight="true" outlineLevel="0" collapsed="false">
      <c r="A48" s="23" t="s">
        <v>97</v>
      </c>
      <c r="B48" s="29" t="n">
        <f aca="false">B47*G41</f>
        <v>51964.047646071</v>
      </c>
    </row>
    <row r="49" customFormat="false" ht="15" hidden="false" customHeight="true" outlineLevel="0" collapsed="false">
      <c r="A49" s="21" t="s">
        <v>98</v>
      </c>
      <c r="B49" s="37" t="n">
        <f aca="false">B46+B48</f>
        <v>61415.7151871039</v>
      </c>
    </row>
    <row r="50" customFormat="false" ht="15" hidden="false" customHeight="true" outlineLevel="0" collapsed="false">
      <c r="A50" s="23" t="s">
        <v>99</v>
      </c>
      <c r="B50" s="29" t="n">
        <f aca="false">-B23</f>
        <v>-16106</v>
      </c>
    </row>
    <row r="51" customFormat="false" ht="15" hidden="false" customHeight="true" outlineLevel="0" collapsed="false">
      <c r="A51" s="23" t="s">
        <v>100</v>
      </c>
      <c r="B51" s="40" t="n">
        <f aca="false">-B26</f>
        <v>-6697.6</v>
      </c>
    </row>
    <row r="52" customFormat="false" ht="15" hidden="false" customHeight="true" outlineLevel="0" collapsed="false">
      <c r="A52" s="21" t="s">
        <v>101</v>
      </c>
      <c r="B52" s="41" t="n">
        <f aca="false">B49+B50+B51</f>
        <v>38612.1151871039</v>
      </c>
    </row>
    <row r="53" customFormat="false" ht="15" hidden="false" customHeight="true" outlineLevel="0" collapsed="false">
      <c r="A53" s="21" t="s">
        <v>13</v>
      </c>
      <c r="B53" s="42" t="n">
        <f aca="false">B52*1000/B24</f>
        <v>510607.183114307</v>
      </c>
    </row>
    <row r="54" customFormat="false" ht="15" hidden="false" customHeight="true" outlineLevel="0" collapsed="false">
      <c r="A54" s="23" t="s">
        <v>102</v>
      </c>
      <c r="B54" s="43" t="n">
        <f aca="false">B48/B49</f>
        <v>0.846103436030367</v>
      </c>
    </row>
    <row r="55" customFormat="false" ht="15" hidden="false" customHeight="false" outlineLevel="0" collapsed="false">
      <c r="A55" s="5" t="s">
        <v>103</v>
      </c>
      <c r="B55" s="44" t="n">
        <f aca="false">B47/(G32+G35)</f>
        <v>7.0989851532183</v>
      </c>
    </row>
    <row r="57" customFormat="false" ht="15" hidden="false" customHeight="true" outlineLevel="0" collapsed="false">
      <c r="A57" s="20" t="s">
        <v>104</v>
      </c>
    </row>
    <row r="58" customFormat="false" ht="15" hidden="false" customHeight="true" outlineLevel="0" collapsed="false">
      <c r="A58" s="45" t="s">
        <v>105</v>
      </c>
    </row>
    <row r="59" customFormat="false" ht="15" hidden="false" customHeight="true" outlineLevel="0" collapsed="false">
      <c r="B59" s="34" t="s">
        <v>106</v>
      </c>
      <c r="C59" s="46" t="n">
        <f aca="false">$B$22+(-2)*0.005</f>
        <v>0.01</v>
      </c>
      <c r="D59" s="46" t="n">
        <f aca="false">$B$22+(-1)*0.005</f>
        <v>0.015</v>
      </c>
      <c r="E59" s="46" t="n">
        <f aca="false">$B$22+(0)*0.005</f>
        <v>0.02</v>
      </c>
      <c r="F59" s="46" t="n">
        <f aca="false">$B$22+(1)*0.005</f>
        <v>0.025</v>
      </c>
      <c r="G59" s="46" t="n">
        <f aca="false">$B$22+(2)*0.005</f>
        <v>0.03</v>
      </c>
    </row>
    <row r="60" customFormat="false" ht="15" hidden="false" customHeight="true" outlineLevel="0" collapsed="false">
      <c r="B60" s="46" t="n">
        <f aca="false">$B$19+(-2)*0.005</f>
        <v>0.0671897163063232</v>
      </c>
      <c r="C60" s="47" t="n">
        <f aca="false">(SUMPRODUCT($C$39:$G$39,(1+$B60)^(-$C$40:$G$40))+($G$39*(1+C$59)/($B60-C$59))*(1+$B60)^(-$G$40)-$B$23-$B$26)*1000/$B$24</f>
        <v>540649.746936053</v>
      </c>
      <c r="D60" s="47" t="n">
        <f aca="false">(SUMPRODUCT($C$39:$G$39,(1+$B60)^(-$C$40:$G$40))+($G$39*(1+D$59)/($B60-D$59))*(1+$B60)^(-$G$40)-$B$23-$B$26)*1000/$B$24</f>
        <v>612817.911886101</v>
      </c>
      <c r="E60" s="47" t="n">
        <f aca="false">(SUMPRODUCT($C$39:$G$39,(1+$B60)^(-$C$40:$G$40))+($G$39*(1+E$59)/($B60-E$59))*(1+$B60)^(-$G$40)-$B$23-$B$26)*1000/$B$24</f>
        <v>700279.274295015</v>
      </c>
      <c r="F60" s="47" t="n">
        <f aca="false">(SUMPRODUCT($C$39:$G$39,(1+$B60)^(-$C$40:$G$40))+($G$39*(1+F$59)/($B60-F$59))*(1+$B60)^(-$G$40)-$B$23-$B$26)*1000/$B$24</f>
        <v>808471.129834977</v>
      </c>
      <c r="G60" s="47" t="n">
        <f aca="false">(SUMPRODUCT($C$39:$G$39,(1+$B60)^(-$C$40:$G$40))+($G$39*(1+G$59)/($B60-G$59))*(1+$B60)^(-$G$40)-$B$23-$B$26)*1000/$B$24</f>
        <v>945754.859765378</v>
      </c>
    </row>
    <row r="61" customFormat="false" ht="15" hidden="false" customHeight="true" outlineLevel="0" collapsed="false">
      <c r="B61" s="46" t="n">
        <f aca="false">$B$19+(-1)*0.005</f>
        <v>0.0721897163063232</v>
      </c>
      <c r="C61" s="47" t="n">
        <f aca="false">(SUMPRODUCT($C$39:$G$39,(1+$B61)^(-$C$40:$G$40))+($G$39*(1+C$59)/($B61-C$59))*(1+$B61)^(-$G$40)-$B$23-$B$26)*1000/$B$24</f>
        <v>466013.484130678</v>
      </c>
      <c r="D61" s="47" t="n">
        <f aca="false">(SUMPRODUCT($C$39:$G$39,(1+$B61)^(-$C$40:$G$40))+($G$39*(1+D$59)/($B61-D$59))*(1+$B61)^(-$G$40)-$B$23-$B$26)*1000/$B$24</f>
        <v>525455.290621795</v>
      </c>
      <c r="E61" s="47" t="n">
        <f aca="false">(SUMPRODUCT($C$39:$G$39,(1+$B61)^(-$C$40:$G$40))+($G$39*(1+E$59)/($B61-E$59))*(1+$B61)^(-$G$40)-$B$23-$B$26)*1000/$B$24</f>
        <v>596286.660172084</v>
      </c>
      <c r="F61" s="47" t="n">
        <f aca="false">(SUMPRODUCT($C$39:$G$39,(1+$B61)^(-$C$40:$G$40))+($G$39*(1+F$59)/($B61-F$59))*(1+$B61)^(-$G$40)-$B$23-$B$26)*1000/$B$24</f>
        <v>682127.946097055</v>
      </c>
      <c r="G61" s="47" t="n">
        <f aca="false">(SUMPRODUCT($C$39:$G$39,(1+$B61)^(-$C$40:$G$40))+($G$39*(1+G$59)/($B61-G$59))*(1+$B61)^(-$G$40)-$B$23-$B$26)*1000/$B$24</f>
        <v>788315.727196753</v>
      </c>
    </row>
    <row r="62" customFormat="false" ht="15" hidden="false" customHeight="true" outlineLevel="0" collapsed="false">
      <c r="B62" s="46" t="n">
        <f aca="false">$B$19+(0)*0.005</f>
        <v>0.0771897163063232</v>
      </c>
      <c r="C62" s="47" t="n">
        <f aca="false">(SUMPRODUCT($C$39:$G$39,(1+$B62)^(-$C$40:$G$40))+($G$39*(1+C$59)/($B62-C$59))*(1+$B62)^(-$G$40)-$B$23-$B$26)*1000/$B$24</f>
        <v>402599.283955017</v>
      </c>
      <c r="D62" s="47" t="n">
        <f aca="false">(SUMPRODUCT($C$39:$G$39,(1+$B62)^(-$C$40:$G$40))+($G$39*(1+D$59)/($B62-D$59))*(1+$B62)^(-$G$40)-$B$23-$B$26)*1000/$B$24</f>
        <v>452261.362178179</v>
      </c>
      <c r="E62" s="48" t="n">
        <f aca="false">(SUMPRODUCT($C$39:$G$39,(1+$B62)^(-$C$40:$G$40))+($G$39*(1+E$59)/($B62-E$59))*(1+$B62)^(-$G$40)-$B$23-$B$26)*1000/$B$24</f>
        <v>510607.183114307</v>
      </c>
      <c r="F62" s="47" t="n">
        <f aca="false">(SUMPRODUCT($C$39:$G$39,(1+$B62)^(-$C$40:$G$40))+($G$39*(1+F$59)/($B62-F$59))*(1+$B62)^(-$G$40)-$B$23-$B$26)*1000/$B$24</f>
        <v>580132.566819789</v>
      </c>
      <c r="G62" s="47" t="n">
        <f aca="false">(SUMPRODUCT($C$39:$G$39,(1+$B62)^(-$C$40:$G$40))+($G$39*(1+G$59)/($B62-G$59))*(1+$B62)^(-$G$40)-$B$23-$B$26)*1000/$B$24</f>
        <v>664391.114686328</v>
      </c>
    </row>
    <row r="63" customFormat="false" ht="15" hidden="false" customHeight="true" outlineLevel="0" collapsed="false">
      <c r="B63" s="46" t="n">
        <f aca="false">$B$19+(1)*0.005</f>
        <v>0.0821897163063232</v>
      </c>
      <c r="C63" s="47" t="n">
        <f aca="false">(SUMPRODUCT($C$39:$G$39,(1+$B63)^(-$C$40:$G$40))+($G$39*(1+C$59)/($B63-C$59))*(1+$B63)^(-$G$40)-$B$23-$B$26)*1000/$B$24</f>
        <v>348072.869252337</v>
      </c>
      <c r="D63" s="47" t="n">
        <f aca="false">(SUMPRODUCT($C$39:$G$39,(1+$B63)^(-$C$40:$G$40))+($G$39*(1+D$59)/($B63-D$59))*(1+$B63)^(-$G$40)-$B$23-$B$26)*1000/$B$24</f>
        <v>390070.357202328</v>
      </c>
      <c r="E63" s="47" t="n">
        <f aca="false">(SUMPRODUCT($C$39:$G$39,(1+$B63)^(-$C$40:$G$40))+($G$39*(1+E$59)/($B63-E$59))*(1+$B63)^(-$G$40)-$B$23-$B$26)*1000/$B$24</f>
        <v>438820.969373554</v>
      </c>
      <c r="F63" s="47" t="n">
        <f aca="false">(SUMPRODUCT($C$39:$G$39,(1+$B63)^(-$C$40:$G$40))+($G$39*(1+F$59)/($B63-F$59))*(1+$B63)^(-$G$40)-$B$23-$B$26)*1000/$B$24</f>
        <v>496095.948392501</v>
      </c>
      <c r="G63" s="47" t="n">
        <f aca="false">(SUMPRODUCT($C$39:$G$39,(1+$B63)^(-$C$40:$G$40))+($G$39*(1+G$59)/($B63-G$59))*(1+$B63)^(-$G$40)-$B$23-$B$26)*1000/$B$24</f>
        <v>564345.307628956</v>
      </c>
    </row>
    <row r="64" customFormat="false" ht="15" hidden="false" customHeight="true" outlineLevel="0" collapsed="false">
      <c r="B64" s="46" t="n">
        <f aca="false">$B$19+(2)*0.005</f>
        <v>0.0871897163063232</v>
      </c>
      <c r="C64" s="47" t="n">
        <f aca="false">(SUMPRODUCT($C$39:$G$39,(1+$B64)^(-$C$40:$G$40))+($G$39*(1+C$59)/($B64-C$59))*(1+$B64)^(-$G$40)-$B$23-$B$26)*1000/$B$24</f>
        <v>300704.845500249</v>
      </c>
      <c r="D64" s="47" t="n">
        <f aca="false">(SUMPRODUCT($C$39:$G$39,(1+$B64)^(-$C$40:$G$40))+($G$39*(1+D$59)/($B64-D$59))*(1+$B64)^(-$G$40)-$B$23-$B$26)*1000/$B$24</f>
        <v>336593.646086174</v>
      </c>
      <c r="E64" s="47" t="n">
        <f aca="false">(SUMPRODUCT($C$39:$G$39,(1+$B64)^(-$C$40:$G$40))+($G$39*(1+E$59)/($B64-E$59))*(1+$B64)^(-$G$40)-$B$23-$B$26)*1000/$B$24</f>
        <v>377823.859399949</v>
      </c>
      <c r="F64" s="47" t="n">
        <f aca="false">(SUMPRODUCT($C$39:$G$39,(1+$B64)^(-$C$40:$G$40))+($G$39*(1+F$59)/($B64-F$59))*(1+$B64)^(-$G$40)-$B$23-$B$26)*1000/$B$24</f>
        <v>425683.820485959</v>
      </c>
      <c r="G64" s="47" t="n">
        <f aca="false">(SUMPRODUCT($C$39:$G$39,(1+$B64)^(-$C$40:$G$40))+($G$39*(1+G$59)/($B64-G$59))*(1+$B64)^(-$G$40)-$B$23-$B$26)*1000/$B$24</f>
        <v>481912.412188994</v>
      </c>
    </row>
    <row r="66" customFormat="false" ht="15" hidden="false" customHeight="true" outlineLevel="0" collapsed="false">
      <c r="A66" s="19" t="s">
        <v>107</v>
      </c>
    </row>
    <row r="67" customFormat="false" ht="15" hidden="false" customHeight="false" outlineLevel="0" collapsed="false">
      <c r="A67" s="16" t="s">
        <v>108</v>
      </c>
      <c r="B67" s="49" t="n">
        <f aca="false">E62-B53</f>
        <v>0</v>
      </c>
    </row>
    <row r="69" customFormat="false" ht="15" hidden="false" customHeight="false" outlineLevel="0" collapsed="false">
      <c r="A69" s="4" t="s">
        <v>109</v>
      </c>
    </row>
    <row r="70" customFormat="false" ht="15" hidden="false" customHeight="false" outlineLevel="0" collapsed="false">
      <c r="A70" s="5" t="s">
        <v>110</v>
      </c>
      <c r="B70" s="50" t="n">
        <f aca="false">B6*B24/1000+B23+B26</f>
        <v>46207.99</v>
      </c>
    </row>
    <row r="71" customFormat="false" ht="15" hidden="false" customHeight="false" outlineLevel="0" collapsed="false">
      <c r="A71" s="5" t="s">
        <v>111</v>
      </c>
      <c r="B71" s="50" t="n">
        <f aca="false">B70-B46</f>
        <v>36756.3224589671</v>
      </c>
    </row>
    <row r="72" customFormat="false" ht="15" hidden="false" customHeight="false" outlineLevel="0" collapsed="false">
      <c r="A72" s="5" t="s">
        <v>112</v>
      </c>
      <c r="B72" s="50" t="n">
        <f aca="false">B71/G41</f>
        <v>53308.0806522064</v>
      </c>
    </row>
    <row r="73" customFormat="false" ht="15" hidden="false" customHeight="false" outlineLevel="0" collapsed="false">
      <c r="A73" s="5" t="s">
        <v>113</v>
      </c>
      <c r="B73" s="51" t="n">
        <f aca="false">(B72*B19-G39)/(B72+G39)</f>
        <v>-0.00192408722440998</v>
      </c>
    </row>
    <row r="74" customFormat="false" ht="15" hidden="false" customHeight="false" outlineLevel="0" collapsed="false">
      <c r="A74" s="5" t="s">
        <v>114</v>
      </c>
      <c r="B74" s="44" t="n">
        <f aca="false">B72/(G32+G35)</f>
        <v>5.02140613064503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34"/>
    <col collapsed="false" customWidth="true" hidden="false" outlineLevel="0" max="2" min="2" style="17" width="24"/>
    <col collapsed="false" customWidth="true" hidden="false" outlineLevel="0" max="3" min="3" style="17" width="60"/>
  </cols>
  <sheetData>
    <row r="1" customFormat="false" ht="15.75" hidden="false" customHeight="true" outlineLevel="0" collapsed="false">
      <c r="A1" s="20" t="s">
        <v>115</v>
      </c>
    </row>
    <row r="3" customFormat="false" ht="15" hidden="false" customHeight="true" outlineLevel="0" collapsed="false">
      <c r="A3" s="20" t="s">
        <v>116</v>
      </c>
      <c r="B3" s="20" t="s">
        <v>117</v>
      </c>
      <c r="C3" s="20" t="s">
        <v>118</v>
      </c>
    </row>
    <row r="4" customFormat="false" ht="21.75" hidden="false" customHeight="true" outlineLevel="0" collapsed="false">
      <c r="A4" s="23" t="s">
        <v>119</v>
      </c>
      <c r="B4" s="52" t="s">
        <v>120</v>
      </c>
      <c r="C4" s="53" t="s">
        <v>121</v>
      </c>
    </row>
    <row r="5" customFormat="false" ht="21.75" hidden="false" customHeight="true" outlineLevel="0" collapsed="false">
      <c r="A5" s="23" t="s">
        <v>122</v>
      </c>
      <c r="B5" s="52" t="s">
        <v>123</v>
      </c>
      <c r="C5" s="53" t="s">
        <v>124</v>
      </c>
    </row>
    <row r="6" customFormat="false" ht="15" hidden="false" customHeight="true" outlineLevel="0" collapsed="false">
      <c r="A6" s="23" t="s">
        <v>125</v>
      </c>
      <c r="B6" s="52" t="s">
        <v>126</v>
      </c>
      <c r="C6" s="53" t="s">
        <v>127</v>
      </c>
    </row>
    <row r="7" customFormat="false" ht="15" hidden="false" customHeight="true" outlineLevel="0" collapsed="false">
      <c r="A7" s="23" t="s">
        <v>128</v>
      </c>
      <c r="B7" s="52" t="s">
        <v>129</v>
      </c>
      <c r="C7" s="53" t="s">
        <v>130</v>
      </c>
    </row>
    <row r="8" customFormat="false" ht="15" hidden="false" customHeight="true" outlineLevel="0" collapsed="false">
      <c r="A8" s="23" t="s">
        <v>131</v>
      </c>
      <c r="B8" s="52" t="s">
        <v>132</v>
      </c>
      <c r="C8" s="53" t="s">
        <v>133</v>
      </c>
    </row>
    <row r="9" customFormat="false" ht="15" hidden="false" customHeight="true" outlineLevel="0" collapsed="false">
      <c r="A9" s="23" t="s">
        <v>134</v>
      </c>
      <c r="B9" s="52" t="s">
        <v>135</v>
      </c>
      <c r="C9" s="53" t="s">
        <v>136</v>
      </c>
    </row>
    <row r="10" customFormat="false" ht="15" hidden="false" customHeight="true" outlineLevel="0" collapsed="false">
      <c r="A10" s="23" t="s">
        <v>137</v>
      </c>
      <c r="B10" s="52" t="s">
        <v>138</v>
      </c>
      <c r="C10" s="53" t="s">
        <v>136</v>
      </c>
    </row>
    <row r="11" customFormat="false" ht="15" hidden="false" customHeight="true" outlineLevel="0" collapsed="false">
      <c r="A11" s="23" t="s">
        <v>139</v>
      </c>
      <c r="B11" s="52" t="s">
        <v>140</v>
      </c>
      <c r="C11" s="53" t="s">
        <v>141</v>
      </c>
    </row>
    <row r="12" customFormat="false" ht="15" hidden="false" customHeight="true" outlineLevel="0" collapsed="false">
      <c r="A12" s="23" t="s">
        <v>142</v>
      </c>
      <c r="B12" s="52" t="s">
        <v>143</v>
      </c>
      <c r="C12" s="53" t="s">
        <v>144</v>
      </c>
    </row>
    <row r="13" customFormat="false" ht="15" hidden="false" customHeight="true" outlineLevel="0" collapsed="false">
      <c r="A13" s="23" t="s">
        <v>145</v>
      </c>
      <c r="B13" s="52" t="s">
        <v>146</v>
      </c>
      <c r="C13" s="53" t="s">
        <v>147</v>
      </c>
    </row>
    <row r="14" customFormat="false" ht="15" hidden="false" customHeight="true" outlineLevel="0" collapsed="false">
      <c r="A14" s="23" t="s">
        <v>148</v>
      </c>
      <c r="B14" s="23" t="s">
        <v>149</v>
      </c>
      <c r="C14" s="53" t="s">
        <v>150</v>
      </c>
    </row>
    <row r="15" customFormat="false" ht="15" hidden="false" customHeight="true" outlineLevel="0" collapsed="false">
      <c r="A15" s="21" t="s">
        <v>151</v>
      </c>
      <c r="B15" s="54"/>
      <c r="C15" s="55"/>
    </row>
    <row r="16" customFormat="false" ht="15" hidden="false" customHeight="true" outlineLevel="0" collapsed="false">
      <c r="A16" s="23" t="s">
        <v>152</v>
      </c>
      <c r="B16" s="52" t="s">
        <v>153</v>
      </c>
      <c r="C16" s="53" t="s">
        <v>154</v>
      </c>
    </row>
    <row r="17" customFormat="false" ht="21.75" hidden="false" customHeight="true" outlineLevel="0" collapsed="false">
      <c r="A17" s="23" t="s">
        <v>155</v>
      </c>
      <c r="B17" s="52" t="s">
        <v>156</v>
      </c>
      <c r="C17" s="53" t="s">
        <v>157</v>
      </c>
    </row>
    <row r="18" customFormat="false" ht="15" hidden="false" customHeight="true" outlineLevel="0" collapsed="false">
      <c r="A18" s="23" t="s">
        <v>63</v>
      </c>
      <c r="B18" s="52" t="s">
        <v>158</v>
      </c>
      <c r="C18" s="53" t="s">
        <v>159</v>
      </c>
    </row>
    <row r="19" customFormat="false" ht="15" hidden="false" customHeight="true" outlineLevel="0" collapsed="false">
      <c r="A19" s="23" t="s">
        <v>160</v>
      </c>
      <c r="B19" s="52" t="s">
        <v>161</v>
      </c>
      <c r="C19" s="53" t="s">
        <v>162</v>
      </c>
    </row>
    <row r="20" customFormat="false" ht="15" hidden="false" customHeight="true" outlineLevel="0" collapsed="false">
      <c r="A20" s="23" t="s">
        <v>163</v>
      </c>
      <c r="B20" s="52" t="s">
        <v>164</v>
      </c>
      <c r="C20" s="53" t="s">
        <v>165</v>
      </c>
    </row>
    <row r="21" customFormat="false" ht="15" hidden="false" customHeight="true" outlineLevel="0" collapsed="false">
      <c r="A21" s="23" t="s">
        <v>166</v>
      </c>
      <c r="B21" s="52" t="s">
        <v>167</v>
      </c>
      <c r="C21" s="53" t="s">
        <v>168</v>
      </c>
    </row>
    <row r="22" customFormat="false" ht="15" hidden="false" customHeight="true" outlineLevel="0" collapsed="false">
      <c r="A22" s="23" t="s">
        <v>16</v>
      </c>
      <c r="B22" s="52" t="s">
        <v>169</v>
      </c>
      <c r="C22" s="53" t="s">
        <v>170</v>
      </c>
    </row>
    <row r="23" customFormat="false" ht="15" hidden="false" customHeight="true" outlineLevel="0" collapsed="false">
      <c r="A23" s="54"/>
      <c r="B23" s="54"/>
      <c r="C23" s="55"/>
    </row>
    <row r="24" customFormat="false" ht="42.75" hidden="false" customHeight="true" outlineLevel="0" collapsed="false">
      <c r="A24" s="21" t="s">
        <v>171</v>
      </c>
      <c r="B24" s="54"/>
      <c r="C24" s="5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2026-08-22T11:43:11Z</dcterms:created>
  <dc:creator>Jung Ryul Lee</dc:creator>
  <dc:description/>
  <dc:language>en-US</dc:language>
  <cp:lastModifiedBy>Jung Ryul Lee</cp:lastModifiedBy>
  <dcterms:modified xsi:type="dcterms:W3CDTF">2026-10-19T06:15:31Z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