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Inputs" sheetId="3" state="visible" r:id="rId5"/>
    <sheet name="Historical" sheetId="4" state="visible" r:id="rId6"/>
    <sheet name="DCF" sheetId="5" state="visible" r:id="rId7"/>
    <sheet name="Sensitivity" sheetId="6" state="visible" r:id="rId8"/>
    <sheet name="Multiples" sheetId="7" state="visible" r:id="rId9"/>
  </sheets>
  <definedNames>
    <definedName function="false" hidden="false" name="beta" vbProcedure="false">Inputs!$C$14</definedName>
    <definedName function="false" hidden="false" name="capex" vbProcedure="false">Inputs!$F$40</definedName>
    <definedName function="false" hidden="false" name="cash" vbProcedure="false">Inputs!$C$11</definedName>
    <definedName function="false" hidden="false" name="chk_sens" vbProcedure="false">Sensitivity!$E$16</definedName>
    <definedName function="false" hidden="false" name="da" vbProcedure="false">Inputs!$F$39</definedName>
    <definedName function="false" hidden="false" name="debt" vbProcedure="false">Inputs!$C$12</definedName>
    <definedName function="false" hidden="false" name="eqv" vbProcedure="false">DCF!$C$47</definedName>
    <definedName function="false" hidden="false" name="erp" vbProcedure="false">Inputs!$C$15</definedName>
    <definedName function="false" hidden="false" name="ev" vbProcedure="false">DCF!$C$44</definedName>
    <definedName function="false" hidden="false" name="ev_ntm_dcf" vbProcedure="false">DCF!$C$53</definedName>
    <definedName function="false" hidden="false" name="g" vbProcedure="false">Inputs!$C$18</definedName>
    <definedName function="false" hidden="false" name="gd_arr" vbProcedure="false">Inputs!$E$24</definedName>
    <definedName function="false" hidden="false" name="gd_arr_hi" vbProcedure="false">Inputs!$D$24</definedName>
    <definedName function="false" hidden="false" name="gd_arr_lo" vbProcedure="false">Inputs!$C$24</definedName>
    <definedName function="false" hidden="false" name="gd_fcf" vbProcedure="false">Inputs!$E$25</definedName>
    <definedName function="false" hidden="false" name="gd_fcf_hi" vbProcedure="false">Inputs!$D$25</definedName>
    <definedName function="false" hidden="false" name="gd_fcf_lo" vbProcedure="false">Inputs!$C$25</definedName>
    <definedName function="false" hidden="false" name="gd_rev" vbProcedure="false">Inputs!$E$23</definedName>
    <definedName function="false" hidden="false" name="gd_rev_hi" vbProcedure="false">Inputs!$D$23</definedName>
    <definedName function="false" hidden="false" name="gd_rev_lo" vbProcedure="false">Inputs!$C$23</definedName>
    <definedName function="false" hidden="false" name="Hist_rev26" vbProcedure="false">Historical!$D$5</definedName>
    <definedName function="false" hidden="false" name="impl_g" vbProcedure="false">DCF!$C$61</definedName>
    <definedName function="false" hidden="false" name="int_inc" vbProcedure="false">Inputs!$C$19</definedName>
    <definedName function="false" hidden="false" name="kd" vbProcedure="false">Inputs!$C$16</definedName>
    <definedName function="false" hidden="false" name="kd_at" vbProcedure="false">DCF!$C$34</definedName>
    <definedName function="false" hidden="false" name="ke" vbProcedure="false">DCF!$C$33</definedName>
    <definedName function="false" hidden="false" name="m27" vbProcedure="false">Inputs!$F$35</definedName>
    <definedName function="false" hidden="false" name="mcap" vbProcedure="false">DCF!$C$35</definedName>
    <definedName function="false" hidden="false" name="mkt_ev" vbProcedure="false">DCF!$C$57</definedName>
    <definedName function="false" hidden="false" name="mkt_ev_ntm" vbProcedure="false">DCF!$C$58</definedName>
    <definedName function="false" hidden="false" name="m_lr" vbProcedure="false">Inputs!$F$36</definedName>
    <definedName function="false" hidden="false" name="nwc" vbProcedure="false">Inputs!$F$41</definedName>
    <definedName function="false" hidden="false" name="price" vbProcedure="false">Inputs!$C$9</definedName>
    <definedName function="false" hidden="false" name="pv_tv" vbProcedure="false">DCF!$C$43</definedName>
    <definedName function="false" hidden="false" name="ramp" vbProcedure="false">Inputs!$C$43</definedName>
    <definedName function="false" hidden="false" name="req_pvtv" vbProcedure="false">DCF!$C$59</definedName>
    <definedName function="false" hidden="false" name="req_tv" vbProcedure="false">DCF!$C$60</definedName>
    <definedName function="false" hidden="false" name="rf" vbProcedure="false">Inputs!$C$13</definedName>
    <definedName function="false" hidden="false" name="s27" vbProcedure="false">Inputs!$F$37</definedName>
    <definedName function="false" hidden="false" name="scen" vbProcedure="false">Inputs!$C$5</definedName>
    <definedName function="false" hidden="false" name="scen_name" vbProcedure="false">Inputs!$D$5</definedName>
    <definedName function="false" hidden="false" name="shares" vbProcedure="false">Inputs!$C$10</definedName>
    <definedName function="false" hidden="false" name="sum_pv" vbProcedure="false">DCF!$C$41</definedName>
    <definedName function="false" hidden="false" name="s_lr" vbProcedure="false">Inputs!$F$38</definedName>
    <definedName function="false" hidden="false" name="tax" vbProcedure="false">Inputs!$F$42</definedName>
    <definedName function="false" hidden="false" name="tax_w" vbProcedure="false">Inputs!$C$17</definedName>
    <definedName function="false" hidden="false" name="tv" vbProcedure="false">DCF!$C$42</definedName>
    <definedName function="false" hidden="false" name="tv_pct" vbProcedure="false">DCF!$C$52</definedName>
    <definedName function="false" hidden="false" name="upside" vbProcedure="false">DCF!$C$51</definedName>
    <definedName function="false" hidden="false" name="val_date" vbProcedure="false">Inputs!$C$8</definedName>
    <definedName function="false" hidden="false" name="vps" vbProcedure="false">DCF!$C$49</definedName>
    <definedName function="false" hidden="false" name="vps_ab" vbProcedure="false">DCF!$C$54</definedName>
    <definedName function="false" hidden="false" name="wacc" vbProcedure="false">DCF!$C$38</definedName>
    <definedName function="false" hidden="false" name="we" vbProcedure="false">DCF!$C$37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<sst xmlns="http://schemas.openxmlformats.org/spreadsheetml/2006/main" count="339" uniqueCount="275">
  <si>
    <t xml:space="preserve">Rubrik, Inc. (NYSE: RBRK) — equity valuation</t>
  </si>
  <si>
    <t xml:space="preserve">Ten-year unlevered DCF with Base / Bull / Bear scenarios, EV / NTM revenue bands and a reverse DCF. Not investment advice.</t>
  </si>
  <si>
    <t xml:space="preserve">Prepared by</t>
  </si>
  <si>
    <t xml:space="preserve">Jung Ryul Lee (valuation). Originally prepared for a team project; this version is my rebuild.</t>
  </si>
  <si>
    <t xml:space="preserve">Data as of</t>
  </si>
  <si>
    <t xml:space="preserve">Valuation date 24 Apr 2026: share price 23 Apr 2026; FY2026 results and FY2027 guidance (8-K, 12 Mar 2026)</t>
  </si>
  <si>
    <t xml:space="preserve">Units</t>
  </si>
  <si>
    <t xml:space="preserve">US$ millions except per share</t>
  </si>
  <si>
    <t xml:space="preserve">What this model does</t>
  </si>
  <si>
    <t xml:space="preserve">Rubrik sells data-security and backup software by subscription. Revenue grew 48% in FY2026 to $1.3bn and the company is free-cash-flow positive because customers pay upfront, but GAAP operating losses remain.</t>
  </si>
  <si>
    <t xml:space="preserve">The DCF treats stock-based compensation as a real cost and runs ten years so growth can fade before the terminal value.</t>
  </si>
  <si>
    <t xml:space="preserve">FY2027E is pinned to company guidance; the check on the DCF sheet confirms FY2027E free cash flow matches guidance.</t>
  </si>
  <si>
    <t xml:space="preserve">Key outputs (live links)</t>
  </si>
  <si>
    <t xml:space="preserve">Scenario</t>
  </si>
  <si>
    <t xml:space="preserve">DCF value per share ($)</t>
  </si>
  <si>
    <t xml:space="preserve">Share price, 23 Apr 2026 ($)</t>
  </si>
  <si>
    <t xml:space="preserve">Upside / (downside)</t>
  </si>
  <si>
    <t xml:space="preserve">DCF value per share, SBC added back ($)</t>
  </si>
  <si>
    <t xml:space="preserve">WACC</t>
  </si>
  <si>
    <t xml:space="preserve">Current EV / NTM revenue</t>
  </si>
  <si>
    <t xml:space="preserve">Market-implied long-run margin excl. SBC</t>
  </si>
  <si>
    <t xml:space="preserve">FY2027E FCF vs. guidance</t>
  </si>
  <si>
    <t xml:space="preserve">Sensitivity check</t>
  </si>
  <si>
    <t xml:space="preserve">Contents</t>
  </si>
  <si>
    <t xml:space="preserve">Summary</t>
  </si>
  <si>
    <t xml:space="preserve">Headline outputs, football field, revenue and margin chart</t>
  </si>
  <si>
    <t xml:space="preserve">Inputs</t>
  </si>
  <si>
    <t xml:space="preserve">Scenario switch, market data, guidance, forecast drivers, multiple bands</t>
  </si>
  <si>
    <t xml:space="preserve">Historical</t>
  </si>
  <si>
    <t xml:space="preserve">FY2025A–FY2026A GAAP financials and ratios</t>
  </si>
  <si>
    <t xml:space="preserve">DCF</t>
  </si>
  <si>
    <t xml:space="preserve">Projection, FY2027 guidance check, WACC, valuation bridge, reverse DCF</t>
  </si>
  <si>
    <t xml:space="preserve">Sensitivity</t>
  </si>
  <si>
    <t xml:space="preserve">Value per share across long-run margin, WACC and terminal growth</t>
  </si>
  <si>
    <t xml:space="preserve">Multiples</t>
  </si>
  <si>
    <t xml:space="preserve">EV / NTM revenue bands applied to FY2027E revenue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</si>
  <si>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</si>
  <si>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</si>
  <si>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</si>
  <si>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</si>
  <si>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</si>
  <si>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</si>
  <si>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</si>
  <si>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Diluted shares use the ~232mn FY2027 guidance figure (RSUs and options); the convertible notes are treated as debt.</t>
  </si>
  <si>
    <t xml:space="preserve">• Cash taxes ignore Rubrik's net operating losses, which understates value slightly.</t>
  </si>
  <si>
    <t xml:space="preserve">• Beta of 1.5 is a team input; RBRK's trading history is short, so the cost of equity is uncertain (see Sensitivity).</t>
  </si>
  <si>
    <t xml:space="preserve">• Peer multiples came from a licensed Bloomberg screen and are not reproduced; the bands on Inputs are our judgement.</t>
  </si>
  <si>
    <t xml:space="preserve">Review log (changes in this published version)</t>
  </si>
  <si>
    <t xml:space="preserve">• FY2026 is now actual (reported 12 Mar 2026), not an estimate; historical figures restated to GAAP from the 8-K.</t>
  </si>
  <si>
    <t xml:space="preserve">• FY2027 revenue growth pinned to guidance (+21.7%); the earlier model assumed +40%.</t>
  </si>
  <si>
    <t xml:space="preserve">• WACC uses market-value weights (equity ~92%); the earlier sheet used 52/48, which understated the WACC.</t>
  </si>
  <si>
    <t xml:space="preserve">• Forecast extended from five to ten years with a fade, so the terminal value is not struck at 26% growth.</t>
  </si>
  <si>
    <t xml:space="preserve">• All calculations are now formulas on one Inputs sheet; the summary links to live outputs.</t>
  </si>
  <si>
    <t xml:space="preserve">• Residual-income and FCFE methods dropped: book equity was negative, which makes residual income unreliable.</t>
  </si>
  <si>
    <t xml:space="preserve">Sources</t>
  </si>
  <si>
    <t xml:space="preserve">Rubrik Q4 / FY2026 results, 8-K Ex. 99.1 (12 Mar 2026)</t>
  </si>
  <si>
    <t xml:space="preserve">https://www.sec.gov/Archives/edgar/data/1943896/000194389626000004/rubrikinc-991pressrelease1.htm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</si>
  <si>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</si>
  <si>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</si>
  <si>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Rubrik, Inc. (NYSE: RBRK) — valuation summary</t>
  </si>
  <si>
    <t xml:space="preserve">Valuation date 24 Apr 2026. US$ unless noted. Scenario shown is the live scenario on Inputs.</t>
  </si>
  <si>
    <t xml:space="preserve">Headline</t>
  </si>
  <si>
    <t xml:space="preserve">Model long-run margin excl. SBC (live)</t>
  </si>
  <si>
    <t xml:space="preserve">FY2027E FCF check vs. guidance</t>
  </si>
  <si>
    <t xml:space="preserve">Valuation range ($ per share): football field</t>
  </si>
  <si>
    <t xml:space="preserve">Method</t>
  </si>
  <si>
    <t xml:space="preserve">Low</t>
  </si>
  <si>
    <t xml:space="preserve">High</t>
  </si>
  <si>
    <t xml:space="preserve">Width</t>
  </si>
  <si>
    <t xml:space="preserve">DCF: long-run margin ±4pts (base WACC)</t>
  </si>
  <si>
    <t xml:space="preserve">DCF: WACC ±1pt (base margin)</t>
  </si>
  <si>
    <t xml:space="preserve">DCF: terminal growth ±1pt (base WACC)</t>
  </si>
  <si>
    <t xml:space="preserve">DCF: SBC as a cost vs. SBC added back</t>
  </si>
  <si>
    <t xml:space="preserve">EV / NTM revenue, Low to High band</t>
  </si>
  <si>
    <t xml:space="preserve">Share price, 23 Apr 2026</t>
  </si>
  <si>
    <t xml:space="preserve">Revenue and cash-flow margin, live scenario</t>
  </si>
  <si>
    <t xml:space="preserve">Year</t>
  </si>
  <si>
    <t xml:space="preserve">Revenue ($mn)</t>
  </si>
  <si>
    <t xml:space="preserve">UFCF margin</t>
  </si>
  <si>
    <t xml:space="preserve">Op. margin excl. SBC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</si>
  <si>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</si>
  <si>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</si>
  <si>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</si>
  <si>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</si>
  <si>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</si>
  <si>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</si>
  <si>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</si>
  <si>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</si>
  <si>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</si>
  <si>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FY2036E</t>
  </si>
  <si>
    <t xml:space="preserve">Reading the result</t>
  </si>
  <si>
    <t xml:space="preserve">Most of the gap to the price is the cost of capital (beta 1.5) and the long-run margin; see the Sensitivity sheet.</t>
  </si>
  <si>
    <t xml:space="preserve">Upside case: subscription ARR keeps compounding above 20% and SBC falls toward 8% of revenue.</t>
  </si>
  <si>
    <t xml:space="preserve">Risks: competition from Cohesity/Veritas, a high beta (short trading history), dilution from SBC and the convertible.</t>
  </si>
  <si>
    <t xml:space="preserve">Blue = hard-coded input. Shaded = assumption to flex. Everything else in the workbook is a formula on this sheet.</t>
  </si>
  <si>
    <t xml:space="preserve">Scenario (1 = Base, 2 = Bull, 3 = Bear)</t>
  </si>
  <si>
    <t xml:space="preserve">Market data and capital structure</t>
  </si>
  <si>
    <t xml:space="preserve">Valuation date</t>
  </si>
  <si>
    <t xml:space="preserve">Project date</t>
  </si>
  <si>
    <t xml:space="preserve">Share price ($)</t>
  </si>
  <si>
    <t xml:space="preserve">NYSE close, 23 Apr 2026</t>
  </si>
  <si>
    <t xml:space="preserve">Diluted shares (mn)</t>
  </si>
  <si>
    <t xml:space="preserve">FY2027 guided weighted-average diluted shares (~232mn), 8-K 12 Mar 2026</t>
  </si>
  <si>
    <t xml:space="preserve">Cash and short-term investments ($mn)</t>
  </si>
  <si>
    <t xml:space="preserve">31 Jan 2026: cash 380.2 + short-term investments 1,295.6</t>
  </si>
  <si>
    <t xml:space="preserve">Convertible senior notes ($mn)</t>
  </si>
  <si>
    <t xml:space="preserve">31 Jan 2026, net carrying amount</t>
  </si>
  <si>
    <t xml:space="preserve">Risk-free rate (10-yr UST)</t>
  </si>
  <si>
    <t xml:space="preserve">Approx., Apr 2026 (team input)</t>
  </si>
  <si>
    <t xml:space="preserve">Equity beta</t>
  </si>
  <si>
    <t xml:space="preserve">Team input; RBRK listed Apr 2024, so the beta history is short</t>
  </si>
  <si>
    <t xml:space="preserve">Equity risk premium</t>
  </si>
  <si>
    <t xml:space="preserve">Team input</t>
  </si>
  <si>
    <t xml:space="preserve">Pre-tax cost of debt</t>
  </si>
  <si>
    <t xml:space="preserve">Team input; economic cost of the convertible (coupon is low)</t>
  </si>
  <si>
    <t xml:space="preserve">Tax rate for WACC</t>
  </si>
  <si>
    <t xml:space="preserve">US federal statutory</t>
  </si>
  <si>
    <t xml:space="preserve">Terminal growth rate</t>
  </si>
  <si>
    <t xml:space="preserve">Team used 4.0%; 3.5% keeps it in line with the other US models in this repo</t>
  </si>
  <si>
    <t xml:space="preserve">Net interest income FY2027E ($mn)</t>
  </si>
  <si>
    <t xml:space="preserve">Approx. yield on cash less convertible coupon; used only to reconcile to FCF guidance</t>
  </si>
  <si>
    <t xml:space="preserve">FY2027 guidance (8-K, 12 Mar 2026)</t>
  </si>
  <si>
    <t xml:space="preserve">Mid</t>
  </si>
  <si>
    <t xml:space="preserve">Subscription ARR ($mn)</t>
  </si>
  <si>
    <t xml:space="preserve">Free cash flow ($mn)</t>
  </si>
  <si>
    <t xml:space="preserve">Forecast drivers (fiscal years end 31 January)</t>
  </si>
  <si>
    <t xml:space="preserve">Revenue growth</t>
  </si>
  <si>
    <t xml:space="preserve">Rationale</t>
  </si>
  <si>
    <t xml:space="preserve">  Base</t>
  </si>
  <si>
    <t xml:space="preserve">FY2027 = guidance midpoint (+21.7%); fades as ARR growth (+25% guided) decelerates</t>
  </si>
  <si>
    <t xml:space="preserve">  Bull</t>
  </si>
  <si>
    <t xml:space="preserve">Data-security platform consolidation keeps growth above 20% for two more years</t>
  </si>
  <si>
    <t xml:space="preserve">  Bear</t>
  </si>
  <si>
    <t xml:space="preserve">Low end of guidance, then faster fade toward market growth</t>
  </si>
  <si>
    <t xml:space="preserve">  Live</t>
  </si>
  <si>
    <t xml:space="preserve">Margins and cash conversion</t>
  </si>
  <si>
    <t xml:space="preserve">Base</t>
  </si>
  <si>
    <t xml:space="preserve">Bull</t>
  </si>
  <si>
    <t xml:space="preserve">Bear</t>
  </si>
  <si>
    <t xml:space="preserve">Live</t>
  </si>
  <si>
    <t xml:space="preserve">Operating margin excl. SBC, FY2027E</t>
  </si>
  <si>
    <t xml:space="preserve">Calibrated so FY2027E FCF matches guidance (check on DCF sheet)</t>
  </si>
  <si>
    <t xml:space="preserve">Operating margin excl. SBC, long run (reached FY2033E)</t>
  </si>
  <si>
    <t xml:space="preserve">Scaled security software: CrowdStrike / Palo Alto guide to high-20s to 30s</t>
  </si>
  <si>
    <t xml:space="preserve">Stock-based compensation, % revenue, FY2027E</t>
  </si>
  <si>
    <t xml:space="preserve">FY2026A 25.0%, FY2025A 103% (IPO vesting)</t>
  </si>
  <si>
    <t xml:space="preserve">Stock-based compensation, % revenue, long run</t>
  </si>
  <si>
    <t xml:space="preserve">Mature software peers 8-12%</t>
  </si>
  <si>
    <t xml:space="preserve">D&amp;A, % revenue</t>
  </si>
  <si>
    <t xml:space="preserve">FY2026A 2.8%</t>
  </si>
  <si>
    <t xml:space="preserve">Capex, % revenue</t>
  </si>
  <si>
    <t xml:space="preserve">FY2026A 2.2%; set equal to D&amp;A in steady state</t>
  </si>
  <si>
    <t xml:space="preserve">Cash from working capital, % of revenue increase</t>
  </si>
  <si>
    <t xml:space="preserve">FY2026A ~43%: customers pay upfront, so deferred revenue funds growth</t>
  </si>
  <si>
    <t xml:space="preserve">Cash tax rate on positive GAAP operating profit</t>
  </si>
  <si>
    <t xml:space="preserve">NOLs ignored (conservative)</t>
  </si>
  <si>
    <t xml:space="preserve">Years to reach the long-run margin and SBC (from FY2027E)</t>
  </si>
  <si>
    <t xml:space="preserve">Trading multiples: EV / NTM revenue bands (team assumptions)</t>
  </si>
  <si>
    <t xml:space="preserve">Band</t>
  </si>
  <si>
    <t xml:space="preserve">Multiple</t>
  </si>
  <si>
    <t xml:space="preserve">Mature security software; growth stalls</t>
  </si>
  <si>
    <t xml:space="preserve">Enterprise software; growth decelerates below 20%</t>
  </si>
  <si>
    <t xml:space="preserve">High-growth software median</t>
  </si>
  <si>
    <t xml:space="preserve">75th percentile of high-growth peers; ARR beats</t>
  </si>
  <si>
    <t xml:space="preserve">Top-decile, CrowdStrike-type execution</t>
  </si>
  <si>
    <t xml:space="preserve">Peer multiples came from a Bloomberg comparables screen (Apr 2026) that is not reproduced here (licensed data).</t>
  </si>
  <si>
    <t xml:space="preserve">Historical financials</t>
  </si>
  <si>
    <t xml:space="preserve">US$ millions. GAAP, fiscal years end 31 January. Source: Rubrik 8-K Ex. 99.1, 12 Mar 2026.</t>
  </si>
  <si>
    <t xml:space="preserve">US$ mn</t>
  </si>
  <si>
    <t xml:space="preserve">FY2025A</t>
  </si>
  <si>
    <t xml:space="preserve">FY2026A</t>
  </si>
  <si>
    <t xml:space="preserve">Change</t>
  </si>
  <si>
    <t xml:space="preserve">Total revenue</t>
  </si>
  <si>
    <t xml:space="preserve">Subscription revenue</t>
  </si>
  <si>
    <t xml:space="preserve">Subscription ARR (year end)</t>
  </si>
  <si>
    <t xml:space="preserve">Gross profit</t>
  </si>
  <si>
    <t xml:space="preserve">Research &amp; development</t>
  </si>
  <si>
    <t xml:space="preserve">Sales &amp; marketing</t>
  </si>
  <si>
    <t xml:space="preserve">General &amp; administrative</t>
  </si>
  <si>
    <t xml:space="preserve">GAAP operating income / (loss)</t>
  </si>
  <si>
    <t xml:space="preserve">Stock-based compensation</t>
  </si>
  <si>
    <t xml:space="preserve">Depreciation &amp; amortization</t>
  </si>
  <si>
    <t xml:space="preserve">Capital expenditure</t>
  </si>
  <si>
    <t xml:space="preserve">Cash from operations</t>
  </si>
  <si>
    <t xml:space="preserve">Free cash flow (company definition, before SBC)</t>
  </si>
  <si>
    <t xml:space="preserve">Ratios</t>
  </si>
  <si>
    <t xml:space="preserve">Subscription ARR growth</t>
  </si>
  <si>
    <t xml:space="preserve">Gross margin</t>
  </si>
  <si>
    <t xml:space="preserve">R&amp;D % revenue</t>
  </si>
  <si>
    <t xml:space="preserve">S&amp;M % revenue</t>
  </si>
  <si>
    <t xml:space="preserve">G&amp;A % revenue</t>
  </si>
  <si>
    <t xml:space="preserve">GAAP operating margin</t>
  </si>
  <si>
    <t xml:space="preserve">FY2025 includes ~$0.6bn of IPO-related RSU expense</t>
  </si>
  <si>
    <t xml:space="preserve">SBC % revenue</t>
  </si>
  <si>
    <t xml:space="preserve">Operating margin excl. SBC</t>
  </si>
  <si>
    <t xml:space="preserve">FCF margin (company definition)</t>
  </si>
  <si>
    <t xml:space="preserve">FCF margin after SBC</t>
  </si>
  <si>
    <t xml:space="preserve">Rule of 40 (revenue growth + FCF margin)</t>
  </si>
  <si>
    <t xml:space="preserve">Cash from working capital, % of revenue increase (approx.)</t>
  </si>
  <si>
    <t xml:space="preserve">FCF less interest income, less EBIT excl. SBC and D&amp;A, plus capex; uses the FY2027E interest input as a proxy</t>
  </si>
  <si>
    <t xml:space="preserve">Unlevered free cash flow DCF</t>
  </si>
  <si>
    <t xml:space="preserve">US$ millions except per share. SBC is treated as a cash-equivalent cost. Mid-year discounting from the valuation date.</t>
  </si>
  <si>
    <t xml:space="preserve">Fiscal year end</t>
  </si>
  <si>
    <t xml:space="preserve">Year index</t>
  </si>
  <si>
    <t xml:space="preserve">Revenue</t>
  </si>
  <si>
    <t xml:space="preserve">  Growth</t>
  </si>
  <si>
    <t xml:space="preserve">  Operating margin excl. SBC</t>
  </si>
  <si>
    <t xml:space="preserve">Operating profit excl. SBC</t>
  </si>
  <si>
    <t xml:space="preserve">  SBC % revenue</t>
  </si>
  <si>
    <t xml:space="preserve">(−) Stock-based compensation</t>
  </si>
  <si>
    <t xml:space="preserve">GAAP operating profit</t>
  </si>
  <si>
    <t xml:space="preserve">  GAAP operating margin</t>
  </si>
  <si>
    <t xml:space="preserve">(−) Cash taxes</t>
  </si>
  <si>
    <t xml:space="preserve">NOPAT</t>
  </si>
  <si>
    <t xml:space="preserve">(+) D&amp;A</t>
  </si>
  <si>
    <t xml:space="preserve">(−) Capex</t>
  </si>
  <si>
    <t xml:space="preserve">(+) Cash from working capital</t>
  </si>
  <si>
    <t xml:space="preserve">Unlevered free cash flow (after SBC)</t>
  </si>
  <si>
    <t xml:space="preserve">  UFCF margin</t>
  </si>
  <si>
    <t xml:space="preserve">Memo: UFCF before SBC (comparable to company FCF)</t>
  </si>
  <si>
    <t xml:space="preserve">Discount period (years, mid-year)</t>
  </si>
  <si>
    <t xml:space="preserve">Discount factor</t>
  </si>
  <si>
    <t xml:space="preserve">PV of UFCF</t>
  </si>
  <si>
    <t xml:space="preserve">Check: FY2027E against company guidance</t>
  </si>
  <si>
    <t xml:space="preserve">FY2027E revenue vs. guidance midpoint</t>
  </si>
  <si>
    <t xml:space="preserve">FY2027E FCF (before SBC, incl. interest) vs. guidance</t>
  </si>
  <si>
    <t xml:space="preserve">Discount rate</t>
  </si>
  <si>
    <t xml:space="preserve">Cost of equity (CAPM)</t>
  </si>
  <si>
    <t xml:space="preserve">After-tax cost of debt</t>
  </si>
  <si>
    <t xml:space="preserve">Market value of equity ($mn)</t>
  </si>
  <si>
    <t xml:space="preserve">Debt (convertible notes, $mn)</t>
  </si>
  <si>
    <t xml:space="preserve">Equity weight</t>
  </si>
  <si>
    <t xml:space="preserve">Valuation</t>
  </si>
  <si>
    <t xml:space="preserve">Sum of PV of UFCF, FY2027E–FY2036E</t>
  </si>
  <si>
    <t xml:space="preserve">Terminal value at FY2036E (Gordon)</t>
  </si>
  <si>
    <t xml:space="preserve">PV of terminal value</t>
  </si>
  <si>
    <t xml:space="preserve">Enterprise value</t>
  </si>
  <si>
    <t xml:space="preserve">(+) Cash and short-term investments</t>
  </si>
  <si>
    <t xml:space="preserve">(−) Convertible notes</t>
  </si>
  <si>
    <t xml:space="preserve">Equity value</t>
  </si>
  <si>
    <t xml:space="preserve">Value per share ($)</t>
  </si>
  <si>
    <t xml:space="preserve">Terminal value % of EV</t>
  </si>
  <si>
    <t xml:space="preserve">Implied EV / NTM revenue at this value</t>
  </si>
  <si>
    <t xml:space="preserve">Memo: value per share if SBC is added back ($)</t>
  </si>
  <si>
    <t xml:space="preserve">Common sell-side convention; ignores the dilution SBC causes, so it overstates value.</t>
  </si>
  <si>
    <t xml:space="preserve">Reverse DCF: what the share price implies</t>
  </si>
  <si>
    <t xml:space="preserve">Market enterprise value (price × diluted shares − cash + notes)</t>
  </si>
  <si>
    <t xml:space="preserve">Market EV / NTM revenue</t>
  </si>
  <si>
    <t xml:space="preserve">Required PV of terminal value</t>
  </si>
  <si>
    <t xml:space="preserve">Required terminal value at FY2036E</t>
  </si>
  <si>
    <t xml:space="preserve">Market-implied perpetuity growth (at this WACC and cash flows)</t>
  </si>
  <si>
    <t xml:space="preserve">Market-implied long-run margin excl. SBC (from Sensitivity, approx.)</t>
  </si>
  <si>
    <t xml:space="preserve">Value per share ($). Each margin row re-runs the full 10-year projection with that long-run margin; columns re-discount at that WACC.</t>
  </si>
  <si>
    <t xml:space="preserve">WACC step</t>
  </si>
  <si>
    <t xml:space="preserve">Long-run margin step</t>
  </si>
  <si>
    <t xml:space="preserve">Terminal growth step</t>
  </si>
  <si>
    <t xml:space="preserve">1) Long-run operating margin excl. SBC (rows) × WACC (columns)</t>
  </si>
  <si>
    <t xml:space="preserve">Margin ↓ / WACC →</t>
  </si>
  <si>
    <t xml:space="preserve">Check: centre cell − DCF value per share</t>
  </si>
  <si>
    <t xml:space="preserve">2) Upside / (downside) vs. $54.02</t>
  </si>
  <si>
    <t xml:space="preserve">Market-implied long-run margin (linear fit at base WACC)</t>
  </si>
  <si>
    <t xml:space="preserve">3) Terminal growth (rows) × WACC (columns), base margins</t>
  </si>
  <si>
    <t xml:space="preserve">g ↓ / WACC →</t>
  </si>
  <si>
    <t xml:space="preserve">Helper: projection per long-run margin (UFCF, US$ mn)</t>
  </si>
  <si>
    <t xml:space="preserve">Trading multiples: EV / NTM revenue</t>
  </si>
  <si>
    <t xml:space="preserve">NTM revenue = FY2027E (live scenario; base = guidance midpoint). Bands are inputs on the Inputs sheet.</t>
  </si>
  <si>
    <t xml:space="preserve">NTM revenue ($mn)</t>
  </si>
  <si>
    <t xml:space="preserve">EV / NTM revenue at DCF value</t>
  </si>
  <si>
    <t xml:space="preserve">EV / NTM rev</t>
  </si>
  <si>
    <t xml:space="preserve">Implied EV</t>
  </si>
  <si>
    <t xml:space="preserve">(+) Cash</t>
  </si>
  <si>
    <t xml:space="preserve">(−) Notes</t>
  </si>
  <si>
    <t xml:space="preserve">Per share ($)</t>
  </si>
  <si>
    <t xml:space="preserve">vs. price</t>
  </si>
  <si>
    <t xml:space="preserve">Compare the current multiple (C5) and the multiple implied by the DCF (C6) with the bands.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</si>
</sst>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"/>
    <numFmt numFmtId="166" formatCode="0.0%;\(0.0%\);\-"/>
    <numFmt numFmtId="167" formatCode="0.0\x"/>
    <numFmt numFmtId="168" formatCode="0.00;\(0.00\);&quot;OK&quot;"/>
    <numFmt numFmtId="169" formatCode="0.0"/>
    <numFmt numFmtId="170" formatCode="#,##0;\(#,##0\);\-"/>
    <numFmt numFmtId="171" formatCode="0"/>
    <numFmt numFmtId="172" formatCode="#,##0"/>
    <numFmt numFmtId="173" formatCode="0%"/>
    <numFmt numFmtId="174" formatCode="d\ mmm\ yyyy"/>
    <numFmt numFmtId="175" formatCode="#,##0.0;\(#,##0.0\);\-"/>
    <numFmt numFmtId="176" formatCode="0.00"/>
    <numFmt numFmtId="177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1A1A1A"/>
      <name val="Arial"/>
      <family val="2"/>
    </font>
    <font>
      <sz val="8"/>
      <color rgb="FF40404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E3E3E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1A1A1A"/>
      <rgbColor rgb="FF9B2226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a1a1a"/>
                </a:solidFill>
                <a:latin typeface="Arial"/>
              </a:defRPr>
            </a:pPr>
            <a:r>
              <a:rPr b="1" sz="1000" spc="-1" strike="noStrike">
                <a:solidFill>
                  <a:srgbClr val="1a1a1a"/>
                </a:solidFill>
                <a:latin typeface="Arial"/>
              </a:rPr>
              <a:t>Football field: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"Low"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Summary!$B$19:$B$24</c:f>
              <c:strCache>
                <c:ptCount val="6"/>
                <c:pt idx="0">
                  <c:v>DCF: long-run margin ±4pts (base WACC)</c:v>
                </c:pt>
                <c:pt idx="1">
                  <c:v>DCF: WACC ±1pt (base margin)</c:v>
                </c:pt>
                <c:pt idx="2">
                  <c:v>DCF: terminal growth ±1pt (base WACC)</c:v>
                </c:pt>
                <c:pt idx="3">
                  <c:v>DCF: SBC as a cost vs. SBC added back</c:v>
                </c:pt>
                <c:pt idx="4">
                  <c:v>EV / NTM revenue, Low to High band</c:v>
                </c:pt>
                <c:pt idx="5">
                  <c:v>Share price, 23 Apr 2026</c:v>
                </c:pt>
              </c:strCache>
            </c:strRef>
          </c:cat>
          <c:val>
            <c:numRef>
              <c:f>Summary!$C$19:$C$24</c:f>
              <c:numCache>
                <c:formatCode>\$#,##0.00;"($"#,##0.00\)</c:formatCode>
                <c:ptCount val="6"/>
                <c:pt idx="0">
                  <c:v>13.5458452256575</c:v>
                </c:pt>
                <c:pt idx="1">
                  <c:v>16.8483496597375</c:v>
                </c:pt>
                <c:pt idx="2">
                  <c:v>20.2820241566168</c:v>
                </c:pt>
                <c:pt idx="3">
                  <c:v>21.7475656886081</c:v>
                </c:pt>
                <c:pt idx="4">
                  <c:v>43.7806034482759</c:v>
                </c:pt>
                <c:pt idx="5">
                  <c:v>54.02</c:v>
                </c:pt>
              </c:numCache>
            </c:numRef>
          </c:val>
        </c:ser>
        <c:ser>
          <c:idx val="1"/>
          <c:order val="1"/>
          <c:tx>
            <c:strRef>
              <c:f>"Range"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Summary!$B$19:$B$24</c:f>
              <c:strCache>
                <c:ptCount val="6"/>
                <c:pt idx="0">
                  <c:v>DCF: long-run margin ±4pts (base WACC)</c:v>
                </c:pt>
                <c:pt idx="1">
                  <c:v>DCF: WACC ±1pt (base margin)</c:v>
                </c:pt>
                <c:pt idx="2">
                  <c:v>DCF: terminal growth ±1pt (base WACC)</c:v>
                </c:pt>
                <c:pt idx="3">
                  <c:v>DCF: SBC as a cost vs. SBC added back</c:v>
                </c:pt>
                <c:pt idx="4">
                  <c:v>EV / NTM revenue, Low to High band</c:v>
                </c:pt>
                <c:pt idx="5">
                  <c:v>Share price, 23 Apr 2026</c:v>
                </c:pt>
              </c:strCache>
            </c:strRef>
          </c:cat>
          <c:val>
            <c:numRef>
              <c:f>Summary!$F$19:$F$24</c:f>
              <c:numCache>
                <c:formatCode>0.0</c:formatCode>
                <c:ptCount val="6"/>
                <c:pt idx="0">
                  <c:v>16.3539610888934</c:v>
                </c:pt>
                <c:pt idx="1">
                  <c:v>13.0490991076357</c:v>
                </c:pt>
                <c:pt idx="2">
                  <c:v>3.32802421291223</c:v>
                </c:pt>
                <c:pt idx="3">
                  <c:v>18.4461738705992</c:v>
                </c:pt>
                <c:pt idx="4">
                  <c:v>41.4310344827586</c:v>
                </c:pt>
                <c:pt idx="5">
                  <c:v>0.6</c:v>
                </c:pt>
              </c:numCache>
            </c:numRef>
          </c:val>
        </c:ser>
        <c:gapWidth val="60"/>
        <c:overlap val="100"/>
        <c:axId val="49892139"/>
        <c:axId val="33326861"/>
      </c:barChart>
      <c:catAx>
        <c:axId val="4989213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33326861"/>
        <c:crosses val="autoZero"/>
        <c:auto val="1"/>
        <c:lblAlgn val="ctr"/>
        <c:lblOffset val="100"/>
        <c:noMultiLvlLbl val="0"/>
      </c:catAx>
      <c:valAx>
        <c:axId val="33326861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498921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a1a1a"/>
                </a:solidFill>
                <a:latin typeface="Arial"/>
              </a:defRPr>
            </a:pPr>
            <a:r>
              <a:rPr b="1" sz="1000" spc="-1" strike="noStrike">
                <a:solidFill>
                  <a:srgbClr val="1a1a1a"/>
                </a:solidFill>
                <a:latin typeface="Arial"/>
              </a:rPr>
              <a:t>Revenue (US$ mn, bars) and margins (lines, right axis)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Summary!$B$43:$B$52</c:f>
              <c:strCache>
                <c:ptCount val="10"/>
                <c:pt idx="0">
                  <c:v>FY2027E</c:v>
                </c:pt>
                <c:pt idx="1">
                  <c:v>FY2028E</c:v>
                </c:pt>
                <c:pt idx="2">
                  <c:v>FY2029E</c:v>
                </c:pt>
                <c:pt idx="3">
                  <c:v>FY2030E</c:v>
                </c:pt>
                <c:pt idx="4">
                  <c:v>FY2031E</c:v>
                </c:pt>
                <c:pt idx="5">
                  <c:v>FY2032E</c:v>
                </c:pt>
                <c:pt idx="6">
                  <c:v>FY2033E</c:v>
                </c:pt>
                <c:pt idx="7">
                  <c:v>FY2034E</c:v>
                </c:pt>
                <c:pt idx="8">
                  <c:v>FY2035E</c:v>
                </c:pt>
                <c:pt idx="9">
                  <c:v>FY2036E</c:v>
                </c:pt>
              </c:strCache>
            </c:strRef>
          </c:cat>
          <c:val>
            <c:numRef>
              <c:f>Summary!$C$43:$C$52</c:f>
              <c:numCache>
                <c:formatCode>#,##0;\(#,##0\);\-</c:formatCode>
                <c:ptCount val="10"/>
                <c:pt idx="0">
                  <c:v>1602</c:v>
                </c:pt>
                <c:pt idx="1">
                  <c:v>1922.4</c:v>
                </c:pt>
                <c:pt idx="2">
                  <c:v>2268.432</c:v>
                </c:pt>
                <c:pt idx="3">
                  <c:v>2631.38112</c:v>
                </c:pt>
                <c:pt idx="4">
                  <c:v>2999.7744768</c:v>
                </c:pt>
                <c:pt idx="5">
                  <c:v>3359.747414016</c:v>
                </c:pt>
                <c:pt idx="6">
                  <c:v>3695.7221554176</c:v>
                </c:pt>
                <c:pt idx="7">
                  <c:v>3991.37992785101</c:v>
                </c:pt>
                <c:pt idx="8">
                  <c:v>4230.86272352207</c:v>
                </c:pt>
                <c:pt idx="9">
                  <c:v>4442.40585969817</c:v>
                </c:pt>
              </c:numCache>
            </c:numRef>
          </c:val>
        </c:ser>
        <c:gapWidth val="40"/>
        <c:overlap val="0"/>
        <c:axId val="76054459"/>
        <c:axId val="68526394"/>
      </c:barChart>
      <c:lineChart>
        <c:grouping val="standard"/>
        <c:varyColors val="0"/>
        <c:ser>
          <c:idx val="1"/>
          <c:order val="1"/>
          <c:tx>
            <c:strRef>
              <c:f>"UFCF margin"</c:f>
              <c:strCache>
                <c:ptCount val="1"/>
                <c:pt idx="0">
                  <c:v>UFCF margin</c:v>
                </c:pt>
              </c:strCache>
            </c:strRef>
          </c:tx>
          <c:spPr>
            <a:solidFill>
              <a:srgbClr val="9b2226"/>
            </a:solidFill>
            <a:ln w="22320">
              <a:solidFill>
                <a:srgbClr val="9b22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Summary!$B$43:$B$52</c:f>
              <c:strCache>
                <c:ptCount val="10"/>
                <c:pt idx="0">
                  <c:v>FY2027E</c:v>
                </c:pt>
                <c:pt idx="1">
                  <c:v>FY2028E</c:v>
                </c:pt>
                <c:pt idx="2">
                  <c:v>FY2029E</c:v>
                </c:pt>
                <c:pt idx="3">
                  <c:v>FY2030E</c:v>
                </c:pt>
                <c:pt idx="4">
                  <c:v>FY2031E</c:v>
                </c:pt>
                <c:pt idx="5">
                  <c:v>FY2032E</c:v>
                </c:pt>
                <c:pt idx="6">
                  <c:v>FY2033E</c:v>
                </c:pt>
                <c:pt idx="7">
                  <c:v>FY2034E</c:v>
                </c:pt>
                <c:pt idx="8">
                  <c:v>FY2035E</c:v>
                </c:pt>
                <c:pt idx="9">
                  <c:v>FY2036E</c:v>
                </c:pt>
              </c:strCache>
            </c:strRef>
          </c:cat>
          <c:val>
            <c:numRef>
              <c:f>Summary!$D$43:$D$52</c:f>
              <c:numCache>
                <c:formatCode>0.0%;\(0.0%\);\-</c:formatCode>
                <c:ptCount val="10"/>
                <c:pt idx="0">
                  <c:v>-0.0886392009987516</c:v>
                </c:pt>
                <c:pt idx="1">
                  <c:v>-0.0366666666666667</c:v>
                </c:pt>
                <c:pt idx="2">
                  <c:v>0.0143502824858757</c:v>
                </c:pt>
                <c:pt idx="3">
                  <c:v>0.0630724137931034</c:v>
                </c:pt>
                <c:pt idx="4">
                  <c:v>0.101789473684211</c:v>
                </c:pt>
                <c:pt idx="5">
                  <c:v>0.140290476190476</c:v>
                </c:pt>
                <c:pt idx="6">
                  <c:v>0.178563636363636</c:v>
                </c:pt>
                <c:pt idx="7">
                  <c:v>0.17182962962963</c:v>
                </c:pt>
                <c:pt idx="8">
                  <c:v>0.164841509433962</c:v>
                </c:pt>
                <c:pt idx="9">
                  <c:v>0.161247619047619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"Op. margin excl. SBC"</c:f>
              <c:strCache>
                <c:ptCount val="1"/>
                <c:pt idx="0">
                  <c:v>Op. margin excl. SBC</c:v>
                </c:pt>
              </c:strCache>
            </c:strRef>
          </c:tx>
          <c:spPr>
            <a:solidFill>
              <a:srgbClr val="808080"/>
            </a:solidFill>
            <a:ln w="1908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Summary!$B$43:$B$52</c:f>
              <c:strCache>
                <c:ptCount val="10"/>
                <c:pt idx="0">
                  <c:v>FY2027E</c:v>
                </c:pt>
                <c:pt idx="1">
                  <c:v>FY2028E</c:v>
                </c:pt>
                <c:pt idx="2">
                  <c:v>FY2029E</c:v>
                </c:pt>
                <c:pt idx="3">
                  <c:v>FY2030E</c:v>
                </c:pt>
                <c:pt idx="4">
                  <c:v>FY2031E</c:v>
                </c:pt>
                <c:pt idx="5">
                  <c:v>FY2032E</c:v>
                </c:pt>
                <c:pt idx="6">
                  <c:v>FY2033E</c:v>
                </c:pt>
                <c:pt idx="7">
                  <c:v>FY2034E</c:v>
                </c:pt>
                <c:pt idx="8">
                  <c:v>FY2035E</c:v>
                </c:pt>
                <c:pt idx="9">
                  <c:v>FY2036E</c:v>
                </c:pt>
              </c:strCache>
            </c:strRef>
          </c:cat>
          <c:val>
            <c:numRef>
              <c:f>Summary!$F$43:$F$52</c:f>
              <c:numCache>
                <c:formatCode>0.0%;\(0.0%\);\-</c:formatCode>
                <c:ptCount val="10"/>
                <c:pt idx="0">
                  <c:v>0.06</c:v>
                </c:pt>
                <c:pt idx="1">
                  <c:v>0.0966666666666667</c:v>
                </c:pt>
                <c:pt idx="2">
                  <c:v>0.133333333333333</c:v>
                </c:pt>
                <c:pt idx="3">
                  <c:v>0.17</c:v>
                </c:pt>
                <c:pt idx="4">
                  <c:v>0.206666666666667</c:v>
                </c:pt>
                <c:pt idx="5">
                  <c:v>0.243333333333333</c:v>
                </c:pt>
                <c:pt idx="6">
                  <c:v>0.28</c:v>
                </c:pt>
                <c:pt idx="7">
                  <c:v>0.28</c:v>
                </c:pt>
                <c:pt idx="8">
                  <c:v>0.28</c:v>
                </c:pt>
                <c:pt idx="9">
                  <c:v>0.28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22344"/>
        <c:axId val="58034956"/>
      </c:lineChart>
      <c:catAx>
        <c:axId val="760544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68526394"/>
        <c:crosses val="autoZero"/>
        <c:auto val="1"/>
        <c:lblAlgn val="ctr"/>
        <c:lblOffset val="100"/>
        <c:noMultiLvlLbl val="0"/>
      </c:catAx>
      <c:valAx>
        <c:axId val="68526394"/>
        <c:scaling>
          <c:orientation val="minMax"/>
        </c:scaling>
        <c:delete val="0"/>
        <c:axPos val="l"/>
        <c:majorGridlines>
          <c:spPr>
            <a:ln w="648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76054459"/>
        <c:crosses val="autoZero"/>
        <c:crossBetween val="between"/>
      </c:valAx>
      <c:catAx>
        <c:axId val="652234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ln w="6480">
            <a:solidFill>
              <a:srgbClr val="80808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58034956"/>
        <c:crosses val="autoZero"/>
        <c:auto val="1"/>
        <c:lblAlgn val="ctr"/>
        <c:lblOffset val="100"/>
        <c:noMultiLvlLbl val="0"/>
      </c:catAx>
      <c:valAx>
        <c:axId val="5803495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404040"/>
                </a:solidFill>
                <a:latin typeface="Arial"/>
              </a:defRPr>
            </a:pPr>
          </a:p>
        </c:txPr>
        <c:crossAx val="652234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40404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176040</xdr:rowOff>
    </xdr:from>
    <xdr:to>
      <xdr:col>5</xdr:col>
      <xdr:colOff>974520</xdr:colOff>
      <xdr:row>37</xdr:row>
      <xdr:rowOff>28440</xdr:rowOff>
    </xdr:to>
    <xdr:graphicFrame>
      <xdr:nvGraphicFramePr>
        <xdr:cNvPr id="0" name="Chart 1"/>
        <xdr:cNvGraphicFramePr/>
      </xdr:nvGraphicFramePr>
      <xdr:xfrm>
        <a:off x="141120" y="4572000"/>
        <a:ext cx="61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53</xdr:row>
      <xdr:rowOff>176040</xdr:rowOff>
    </xdr:from>
    <xdr:to>
      <xdr:col>5</xdr:col>
      <xdr:colOff>974520</xdr:colOff>
      <xdr:row>67</xdr:row>
      <xdr:rowOff>28440</xdr:rowOff>
    </xdr:to>
    <xdr:graphicFrame>
      <xdr:nvGraphicFramePr>
        <xdr:cNvPr id="1" name="Chart 2"/>
        <xdr:cNvGraphicFramePr/>
      </xdr:nvGraphicFramePr>
      <xdr:xfrm>
        <a:off x="141120" y="10287000"/>
        <a:ext cx="61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Rubrik_Valuation_Model.xlsx" TargetMode="External"/><Relationship Id="rId2" Type="http://schemas.openxmlformats.org/officeDocument/2006/relationships/hyperlink" Target="Rubrik_Valuation_Model.xlsx" TargetMode="External"/><Relationship Id="rId3" Type="http://schemas.openxmlformats.org/officeDocument/2006/relationships/hyperlink" Target="Rubrik_Valuation_Model.xlsx" TargetMode="External"/><Relationship Id="rId4" Type="http://schemas.openxmlformats.org/officeDocument/2006/relationships/hyperlink" Target="Rubrik_Valuation_Model.xlsx" TargetMode="External"/><Relationship Id="rId5" Type="http://schemas.openxmlformats.org/officeDocument/2006/relationships/hyperlink" Target="Rubrik_Valuation_Model.xlsx" TargetMode="External"/><Relationship Id="rId6" Type="http://schemas.openxmlformats.org/officeDocument/2006/relationships/hyperlink" Target="Rubrik_Valuation_Model.xlsx" TargetMode="External"/><Relationship Id="rId7" Type="http://schemas.openxmlformats.org/officeDocument/2006/relationships/hyperlink" Target="https://www.sec.gov/Archives/edgar/data/1943896/000194389626000004/rubrikinc-991pressrelease1.ht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8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3" customFormat="false" ht="15" hidden="false" customHeight="false" outlineLevel="0" collapsed="false">
      <c r="B13" s="6" t="s">
        <v>12</v>
      </c>
      <c r="C13" s="3"/>
      <c r="D13" s="3"/>
      <c r="E13" s="3"/>
    </row>
    <row r="14" customFormat="false" ht="15" hidden="false" customHeight="false" outlineLevel="0" collapsed="false">
      <c r="B14" s="5" t="s">
        <v>13</v>
      </c>
      <c r="C14" s="7" t="str">
        <f aca="false">scen_name</f>
        <v>Base</v>
      </c>
    </row>
    <row r="15" customFormat="false" ht="15" hidden="false" customHeight="false" outlineLevel="0" collapsed="false">
      <c r="B15" s="5" t="s">
        <v>14</v>
      </c>
      <c r="C15" s="8" t="n">
        <f aca="false">vps</f>
        <v>21.7475656886081</v>
      </c>
    </row>
    <row r="16" customFormat="false" ht="15" hidden="false" customHeight="false" outlineLevel="0" collapsed="false">
      <c r="B16" s="5" t="s">
        <v>15</v>
      </c>
      <c r="C16" s="8" t="n">
        <f aca="false">price</f>
        <v>54.02</v>
      </c>
    </row>
    <row r="17" customFormat="false" ht="15" hidden="false" customHeight="false" outlineLevel="0" collapsed="false">
      <c r="B17" s="5" t="s">
        <v>16</v>
      </c>
      <c r="C17" s="9" t="n">
        <f aca="false">upside</f>
        <v>-0.597416407097221</v>
      </c>
    </row>
    <row r="18" customFormat="false" ht="15" hidden="false" customHeight="false" outlineLevel="0" collapsed="false">
      <c r="B18" s="5" t="s">
        <v>17</v>
      </c>
      <c r="C18" s="8" t="n">
        <f aca="false">vps_ab</f>
        <v>40.1937395592073</v>
      </c>
    </row>
    <row r="19" customFormat="false" ht="15" hidden="false" customHeight="false" outlineLevel="0" collapsed="false">
      <c r="B19" s="5" t="s">
        <v>18</v>
      </c>
      <c r="C19" s="9" t="n">
        <f aca="false">wacc</f>
        <v>0.118841753919613</v>
      </c>
    </row>
    <row r="20" customFormat="false" ht="15" hidden="false" customHeight="false" outlineLevel="0" collapsed="false">
      <c r="B20" s="5" t="s">
        <v>19</v>
      </c>
      <c r="C20" s="10" t="n">
        <f aca="false">mkt_ev_ntm</f>
        <v>7.48285892634207</v>
      </c>
    </row>
    <row r="21" customFormat="false" ht="15" hidden="false" customHeight="false" outlineLevel="0" collapsed="false">
      <c r="B21" s="5" t="s">
        <v>20</v>
      </c>
      <c r="C21" s="9" t="n">
        <f aca="false">Sensitivity!C26</f>
        <v>0.595931215132739</v>
      </c>
    </row>
    <row r="22" customFormat="false" ht="15" hidden="false" customHeight="false" outlineLevel="0" collapsed="false">
      <c r="B22" s="5" t="s">
        <v>21</v>
      </c>
      <c r="C22" s="7" t="str">
        <f aca="false">DCF!F30</f>
        <v>Within $25mn</v>
      </c>
    </row>
    <row r="23" customFormat="false" ht="15" hidden="false" customHeight="false" outlineLevel="0" collapsed="false">
      <c r="B23" s="5" t="s">
        <v>22</v>
      </c>
      <c r="C23" s="11" t="n">
        <f aca="false">chk_sens</f>
        <v>0</v>
      </c>
    </row>
    <row r="25" customFormat="false" ht="15" hidden="false" customHeight="false" outlineLevel="0" collapsed="false">
      <c r="B25" s="6" t="s">
        <v>23</v>
      </c>
      <c r="C25" s="3"/>
      <c r="D25" s="3"/>
      <c r="E25" s="3"/>
    </row>
    <row r="26" customFormat="false" ht="15" hidden="false" customHeight="false" outlineLevel="0" collapsed="false">
      <c r="B26" s="12" t="s">
        <v>24</v>
      </c>
      <c r="C26" s="5" t="s">
        <v>25</v>
      </c>
    </row>
    <row r="27" customFormat="false" ht="15" hidden="false" customHeight="false" outlineLevel="0" collapsed="false">
      <c r="B27" s="12" t="s">
        <v>26</v>
      </c>
      <c r="C27" s="5" t="s">
        <v>27</v>
      </c>
    </row>
    <row r="28" customFormat="false" ht="15" hidden="false" customHeight="false" outlineLevel="0" collapsed="false">
      <c r="B28" s="12" t="s">
        <v>28</v>
      </c>
      <c r="C28" s="5" t="s">
        <v>29</v>
      </c>
    </row>
    <row r="29" customFormat="false" ht="15" hidden="false" customHeight="false" outlineLevel="0" collapsed="false">
      <c r="B29" s="12" t="s">
        <v>30</v>
      </c>
      <c r="C29" s="5" t="s">
        <v>31</v>
      </c>
    </row>
    <row r="30" customFormat="false" ht="15" hidden="false" customHeight="false" outlineLevel="0" collapsed="false">
      <c r="B30" s="12" t="s">
        <v>32</v>
      </c>
      <c r="C30" s="5" t="s">
        <v>33</v>
      </c>
    </row>
    <row r="31" customFormat="false" ht="15" hidden="false" customHeight="false" outlineLevel="0" collapsed="false">
      <c r="B31" s="12" t="s">
        <v>34</v>
      </c>
      <c r="C31" s="5" t="s">
        <v>35</v>
      </c>
    </row>
    <row r="33" customFormat="false" ht="15" hidden="false" customHeight="false" outlineLevel="0" collapsed="false">
      <c r="B33" s="6" t="s">
        <v>36</v>
      </c>
      <c r="C33" s="3"/>
      <c r="D33" s="3"/>
      <c r="E33" s="3"/>
    </row>
    <row r="34" customFormat="false" ht="15" hidden="false" customHeight="false" outlineLevel="0" collapsed="false">
      <c r="B34" s="13" t="s">
        <v>37</v>
      </c>
    </row>
    <row r="35" customFormat="false" ht="15" hidden="false" customHeight="false" outlineLevel="0" collapsed="false">
      <c r="B35" s="5" t="s">
        <v>38</v>
      </c>
    </row>
    <row r="36" customFormat="false" ht="15" hidden="false" customHeight="false" outlineLevel="0" collapsed="false">
      <c r="B36" s="14" t="s">
        <v>39</v>
      </c>
    </row>
    <row r="37" customFormat="false" ht="15" hidden="false" customHeight="false" outlineLevel="0" collapsed="false">
      <c r="B37" s="15" t="s">
        <v>40</v>
      </c>
    </row>
    <row r="38" customFormat="false" ht="15" hidden="false" customHeight="false" outlineLevel="0" collapsed="false">
      <c r="B38" s="16" t="s">
        <v>41</v>
      </c>
    </row>
    <row r="40" customFormat="false" ht="15" hidden="false" customHeight="false" outlineLevel="0" collapsed="false">
      <c r="B40" s="6" t="s">
        <v>42</v>
      </c>
      <c r="C40" s="3"/>
      <c r="D40" s="3"/>
      <c r="E40" s="3"/>
    </row>
    <row r="41" customFormat="false" ht="15" hidden="false" customHeight="false" outlineLevel="0" collapsed="false">
      <c r="B41" s="5" t="s">
        <v>43</v>
      </c>
    </row>
    <row r="42" customFormat="false" ht="15" hidden="false" customHeight="false" outlineLevel="0" collapsed="false">
      <c r="B42" s="5" t="s">
        <v>44</v>
      </c>
    </row>
    <row r="43" customFormat="false" ht="15" hidden="false" customHeight="false" outlineLevel="0" collapsed="false">
      <c r="B43" s="5" t="s">
        <v>45</v>
      </c>
    </row>
    <row r="44" customFormat="false" ht="15" hidden="false" customHeight="false" outlineLevel="0" collapsed="false">
      <c r="B44" s="5" t="s">
        <v>46</v>
      </c>
    </row>
    <row r="46" customFormat="false" ht="15" hidden="false" customHeight="false" outlineLevel="0" collapsed="false">
      <c r="B46" s="6" t="s">
        <v>47</v>
      </c>
      <c r="C46" s="3"/>
      <c r="D46" s="3"/>
      <c r="E46" s="3"/>
    </row>
    <row r="47" customFormat="false" ht="15" hidden="false" customHeight="false" outlineLevel="0" collapsed="false">
      <c r="B47" s="5" t="s">
        <v>48</v>
      </c>
    </row>
    <row r="48" customFormat="false" ht="15" hidden="false" customHeight="false" outlineLevel="0" collapsed="false">
      <c r="B48" s="5" t="s">
        <v>49</v>
      </c>
    </row>
    <row r="49" customFormat="false" ht="15" hidden="false" customHeight="false" outlineLevel="0" collapsed="false">
      <c r="B49" s="5" t="s">
        <v>50</v>
      </c>
    </row>
    <row r="50" customFormat="false" ht="15" hidden="false" customHeight="false" outlineLevel="0" collapsed="false">
      <c r="B50" s="5" t="s">
        <v>51</v>
      </c>
    </row>
    <row r="51" customFormat="false" ht="15" hidden="false" customHeight="false" outlineLevel="0" collapsed="false">
      <c r="B51" s="5" t="s">
        <v>52</v>
      </c>
    </row>
    <row r="52" customFormat="false" ht="15" hidden="false" customHeight="false" outlineLevel="0" collapsed="false">
      <c r="B52" s="5" t="s">
        <v>53</v>
      </c>
    </row>
    <row r="54" customFormat="false" ht="15" hidden="false" customHeight="false" outlineLevel="0" collapsed="false">
      <c r="B54" s="6" t="s">
        <v>54</v>
      </c>
      <c r="C54" s="3"/>
      <c r="D54" s="3"/>
      <c r="E54" s="3"/>
    </row>
    <row r="55" customFormat="false" ht="15" hidden="false" customHeight="false" outlineLevel="0" collapsed="false">
      <c r="B55" s="5" t="s">
        <v>55</v>
      </c>
      <c r="C55" s="12" t="s">
        <v>56</v>
      </c>
    </row>
    <row r="57" customFormat="false" ht="15" hidden="false" customHeight="false" outlineLevel="0" collapsed="false">
      <c r="B57" s="4" t="s">
        <v>57</v>
      </c>
    </row>
    <row r="58" customFormat="false" ht="15" hidden="false" customHeight="false" outlineLevel="0" collapsed="false">
      <c r="B58" s="17" t="s">
        <v>58</v>
      </c>
    </row>
  </sheetData>
  <hyperlinks>
    <hyperlink ref="B26" r:id="rId1" location="'Summary'!A1" display="Summary"/>
    <hyperlink ref="B27" r:id="rId2" location="'Inputs'!A1" display="Inputs"/>
    <hyperlink ref="B28" r:id="rId3" location="'Historical'!A1" display="Historical"/>
    <hyperlink ref="B29" r:id="rId4" location="'DCF'!A1" display="DCF"/>
    <hyperlink ref="B30" r:id="rId5" location="'Sensitivity'!A1" display="Sensitivity"/>
    <hyperlink ref="B31" r:id="rId6" location="'Multiples'!A1" display="Multiples"/>
    <hyperlink ref="C55" r:id="rId7" display="https://www.sec.gov/Archives/edgar/data/1943896/000194389626000004/rubrikinc-991pressrelease1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7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3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16.15" hidden="false" customHeight="false" outlineLevel="0" collapsed="false">
      <c r="B1" s="1" t="s">
        <v>59</v>
      </c>
    </row>
    <row r="2" customFormat="false" ht="15" hidden="false" customHeight="false" outlineLevel="0" collapsed="false">
      <c r="B2" s="2" t="s">
        <v>60</v>
      </c>
      <c r="C2" s="3"/>
      <c r="D2" s="3"/>
      <c r="E2" s="3"/>
      <c r="F2" s="3"/>
      <c r="G2" s="3"/>
    </row>
    <row r="4" customFormat="false" ht="15" hidden="false" customHeight="false" outlineLevel="0" collapsed="false">
      <c r="B4" s="6" t="s">
        <v>61</v>
      </c>
      <c r="C4" s="3"/>
      <c r="D4" s="3"/>
    </row>
    <row r="5" customFormat="false" ht="15" hidden="false" customHeight="false" outlineLevel="0" collapsed="false">
      <c r="B5" s="5" t="s">
        <v>13</v>
      </c>
      <c r="C5" s="14" t="str">
        <f aca="false">scen_name</f>
        <v>Base</v>
      </c>
    </row>
    <row r="6" customFormat="false" ht="15" hidden="false" customHeight="false" outlineLevel="0" collapsed="false">
      <c r="B6" s="5" t="s">
        <v>14</v>
      </c>
      <c r="C6" s="18" t="n">
        <f aca="false">vps</f>
        <v>21.7475656886081</v>
      </c>
    </row>
    <row r="7" customFormat="false" ht="15" hidden="false" customHeight="false" outlineLevel="0" collapsed="false">
      <c r="B7" s="5" t="s">
        <v>17</v>
      </c>
      <c r="C7" s="19" t="n">
        <f aca="false">vps_ab</f>
        <v>40.1937395592073</v>
      </c>
    </row>
    <row r="8" customFormat="false" ht="15" hidden="false" customHeight="false" outlineLevel="0" collapsed="false">
      <c r="B8" s="5" t="s">
        <v>15</v>
      </c>
      <c r="C8" s="19" t="n">
        <f aca="false">price</f>
        <v>54.02</v>
      </c>
    </row>
    <row r="9" customFormat="false" ht="15" hidden="false" customHeight="false" outlineLevel="0" collapsed="false">
      <c r="B9" s="5" t="s">
        <v>16</v>
      </c>
      <c r="C9" s="20" t="n">
        <f aca="false">upside</f>
        <v>-0.597416407097221</v>
      </c>
    </row>
    <row r="10" customFormat="false" ht="15" hidden="false" customHeight="false" outlineLevel="0" collapsed="false">
      <c r="B10" s="5" t="s">
        <v>18</v>
      </c>
      <c r="C10" s="20" t="n">
        <f aca="false">wacc</f>
        <v>0.118841753919613</v>
      </c>
    </row>
    <row r="11" customFormat="false" ht="15" hidden="false" customHeight="false" outlineLevel="0" collapsed="false">
      <c r="B11" s="5" t="s">
        <v>19</v>
      </c>
      <c r="C11" s="21" t="n">
        <f aca="false">mkt_ev_ntm</f>
        <v>7.48285892634207</v>
      </c>
    </row>
    <row r="12" customFormat="false" ht="15" hidden="false" customHeight="false" outlineLevel="0" collapsed="false">
      <c r="B12" s="5" t="s">
        <v>20</v>
      </c>
      <c r="C12" s="20" t="n">
        <f aca="false">Sensitivity!C26</f>
        <v>0.595931215132739</v>
      </c>
    </row>
    <row r="13" customFormat="false" ht="15" hidden="false" customHeight="false" outlineLevel="0" collapsed="false">
      <c r="B13" s="5" t="s">
        <v>62</v>
      </c>
      <c r="C13" s="20" t="n">
        <f aca="false">m_lr</f>
        <v>0.28</v>
      </c>
    </row>
    <row r="14" customFormat="false" ht="15" hidden="false" customHeight="false" outlineLevel="0" collapsed="false">
      <c r="B14" s="5" t="s">
        <v>63</v>
      </c>
      <c r="C14" s="14" t="str">
        <f aca="false">DCF!F30</f>
        <v>Within $25mn</v>
      </c>
    </row>
    <row r="15" customFormat="false" ht="15" hidden="false" customHeight="false" outlineLevel="0" collapsed="false">
      <c r="B15" s="5" t="s">
        <v>22</v>
      </c>
      <c r="C15" s="22" t="n">
        <f aca="false">chk_sens</f>
        <v>0</v>
      </c>
    </row>
    <row r="17" customFormat="false" ht="15" hidden="false" customHeight="false" outlineLevel="0" collapsed="false">
      <c r="B17" s="6" t="s">
        <v>64</v>
      </c>
      <c r="C17" s="3"/>
      <c r="D17" s="3"/>
      <c r="E17" s="3"/>
      <c r="F17" s="3"/>
    </row>
    <row r="18" customFormat="false" ht="15" hidden="false" customHeight="false" outlineLevel="0" collapsed="false">
      <c r="B18" s="23" t="s">
        <v>65</v>
      </c>
      <c r="C18" s="24" t="s">
        <v>66</v>
      </c>
      <c r="D18" s="24" t="s">
        <v>67</v>
      </c>
      <c r="E18" s="24"/>
      <c r="F18" s="24" t="s">
        <v>68</v>
      </c>
    </row>
    <row r="19" customFormat="false" ht="15" hidden="false" customHeight="false" outlineLevel="0" collapsed="false">
      <c r="B19" s="5" t="s">
        <v>69</v>
      </c>
      <c r="C19" s="19" t="n">
        <f aca="false">MIN(Sensitivity!E10:E14)</f>
        <v>13.5458452256575</v>
      </c>
      <c r="D19" s="19" t="n">
        <f aca="false">MAX(Sensitivity!E10:E14)</f>
        <v>29.8998063145509</v>
      </c>
      <c r="F19" s="25" t="n">
        <f aca="false">MAX(D19-C19,0.6)</f>
        <v>16.3539610888934</v>
      </c>
    </row>
    <row r="20" customFormat="false" ht="15" hidden="false" customHeight="false" outlineLevel="0" collapsed="false">
      <c r="B20" s="5" t="s">
        <v>70</v>
      </c>
      <c r="C20" s="19" t="n">
        <f aca="false">MIN(Sensitivity!C12:G12)</f>
        <v>16.8483496597375</v>
      </c>
      <c r="D20" s="19" t="n">
        <f aca="false">MAX(Sensitivity!C12:G12)</f>
        <v>29.8974487673732</v>
      </c>
      <c r="F20" s="25" t="n">
        <f aca="false">MAX(D20-C20,0.6)</f>
        <v>13.0490991076357</v>
      </c>
    </row>
    <row r="21" customFormat="false" ht="15" hidden="false" customHeight="false" outlineLevel="0" collapsed="false">
      <c r="B21" s="5" t="s">
        <v>71</v>
      </c>
      <c r="C21" s="19" t="n">
        <f aca="false">MIN(Sensitivity!E30:E34)</f>
        <v>20.2820241566168</v>
      </c>
      <c r="D21" s="19" t="n">
        <f aca="false">MAX(Sensitivity!E30:E34)</f>
        <v>23.610048369529</v>
      </c>
      <c r="F21" s="25" t="n">
        <f aca="false">MAX(D21-C21,0.6)</f>
        <v>3.32802421291223</v>
      </c>
    </row>
    <row r="22" customFormat="false" ht="15" hidden="false" customHeight="false" outlineLevel="0" collapsed="false">
      <c r="B22" s="5" t="s">
        <v>72</v>
      </c>
      <c r="C22" s="19" t="n">
        <f aca="false">vps</f>
        <v>21.7475656886081</v>
      </c>
      <c r="D22" s="19" t="n">
        <f aca="false">vps_ab</f>
        <v>40.1937395592073</v>
      </c>
      <c r="F22" s="25" t="n">
        <f aca="false">MAX(D22-C22,0.6)</f>
        <v>18.4461738705992</v>
      </c>
    </row>
    <row r="23" customFormat="false" ht="15" hidden="false" customHeight="false" outlineLevel="0" collapsed="false">
      <c r="B23" s="5" t="s">
        <v>73</v>
      </c>
      <c r="C23" s="19" t="n">
        <f aca="false">Multiples!H10</f>
        <v>43.7806034482759</v>
      </c>
      <c r="D23" s="19" t="n">
        <f aca="false">Multiples!H12</f>
        <v>85.2116379310345</v>
      </c>
      <c r="F23" s="25" t="n">
        <f aca="false">MAX(D23-C23,0.6)</f>
        <v>41.4310344827586</v>
      </c>
    </row>
    <row r="24" customFormat="false" ht="15" hidden="false" customHeight="false" outlineLevel="0" collapsed="false">
      <c r="B24" s="5" t="s">
        <v>74</v>
      </c>
      <c r="C24" s="19" t="n">
        <f aca="false">price</f>
        <v>54.02</v>
      </c>
      <c r="D24" s="19" t="n">
        <f aca="false">price</f>
        <v>54.02</v>
      </c>
      <c r="F24" s="25" t="n">
        <f aca="false">MAX(D24-C24,0.6)</f>
        <v>0.6</v>
      </c>
    </row>
    <row r="41" customFormat="false" ht="15" hidden="false" customHeight="false" outlineLevel="0" collapsed="false">
      <c r="B41" s="6" t="s">
        <v>75</v>
      </c>
      <c r="C41" s="3"/>
      <c r="D41" s="3"/>
      <c r="E41" s="3"/>
      <c r="F41" s="3"/>
    </row>
    <row r="42" customFormat="false" ht="15" hidden="false" customHeight="false" outlineLevel="0" collapsed="false">
      <c r="B42" s="23" t="s">
        <v>76</v>
      </c>
      <c r="C42" s="24" t="s">
        <v>77</v>
      </c>
      <c r="D42" s="24" t="s">
        <v>78</v>
      </c>
      <c r="E42" s="24"/>
      <c r="F42" s="24" t="s">
        <v>79</v>
      </c>
    </row>
    <row r="43" customFormat="false" ht="15" hidden="false" customHeight="false" outlineLevel="0" collapsed="false">
      <c r="B43" s="5" t="s">
        <v>80</v>
      </c>
      <c r="C43" s="26" t="n">
        <f aca="false">DCF!D7</f>
        <v>1602</v>
      </c>
      <c r="D43" s="20" t="n">
        <f aca="false">DCF!D21</f>
        <v>-0.0886392009987516</v>
      </c>
      <c r="F43" s="20" t="n">
        <f aca="false">DCF!D9</f>
        <v>0.06</v>
      </c>
    </row>
    <row r="44" customFormat="false" ht="15" hidden="false" customHeight="false" outlineLevel="0" collapsed="false">
      <c r="B44" s="5" t="s">
        <v>81</v>
      </c>
      <c r="C44" s="26" t="n">
        <f aca="false">DCF!E7</f>
        <v>1922.4</v>
      </c>
      <c r="D44" s="20" t="n">
        <f aca="false">DCF!E21</f>
        <v>-0.0366666666666667</v>
      </c>
      <c r="F44" s="20" t="n">
        <f aca="false">DCF!E9</f>
        <v>0.0966666666666667</v>
      </c>
    </row>
    <row r="45" customFormat="false" ht="15" hidden="false" customHeight="false" outlineLevel="0" collapsed="false">
      <c r="B45" s="5" t="s">
        <v>82</v>
      </c>
      <c r="C45" s="26" t="n">
        <f aca="false">DCF!F7</f>
        <v>2268.432</v>
      </c>
      <c r="D45" s="20" t="n">
        <f aca="false">DCF!F21</f>
        <v>0.0143502824858757</v>
      </c>
      <c r="F45" s="20" t="n">
        <f aca="false">DCF!F9</f>
        <v>0.133333333333333</v>
      </c>
    </row>
    <row r="46" customFormat="false" ht="15" hidden="false" customHeight="false" outlineLevel="0" collapsed="false">
      <c r="B46" s="5" t="s">
        <v>83</v>
      </c>
      <c r="C46" s="26" t="n">
        <f aca="false">DCF!G7</f>
        <v>2631.38112</v>
      </c>
      <c r="D46" s="20" t="n">
        <f aca="false">DCF!G21</f>
        <v>0.0630724137931034</v>
      </c>
      <c r="F46" s="20" t="n">
        <f aca="false">DCF!G9</f>
        <v>0.17</v>
      </c>
    </row>
    <row r="47" customFormat="false" ht="15" hidden="false" customHeight="false" outlineLevel="0" collapsed="false">
      <c r="B47" s="5" t="s">
        <v>84</v>
      </c>
      <c r="C47" s="26" t="n">
        <f aca="false">DCF!H7</f>
        <v>2999.7744768</v>
      </c>
      <c r="D47" s="20" t="n">
        <f aca="false">DCF!H21</f>
        <v>0.101789473684211</v>
      </c>
      <c r="F47" s="20" t="n">
        <f aca="false">DCF!H9</f>
        <v>0.206666666666667</v>
      </c>
    </row>
    <row r="48" customFormat="false" ht="15" hidden="false" customHeight="false" outlineLevel="0" collapsed="false">
      <c r="B48" s="5" t="s">
        <v>85</v>
      </c>
      <c r="C48" s="26" t="n">
        <f aca="false">DCF!I7</f>
        <v>3359.747414016</v>
      </c>
      <c r="D48" s="20" t="n">
        <f aca="false">DCF!I21</f>
        <v>0.140290476190476</v>
      </c>
      <c r="F48" s="20" t="n">
        <f aca="false">DCF!I9</f>
        <v>0.243333333333333</v>
      </c>
    </row>
    <row r="49" customFormat="false" ht="15" hidden="false" customHeight="false" outlineLevel="0" collapsed="false">
      <c r="B49" s="5" t="s">
        <v>86</v>
      </c>
      <c r="C49" s="26" t="n">
        <f aca="false">DCF!J7</f>
        <v>3695.7221554176</v>
      </c>
      <c r="D49" s="20" t="n">
        <f aca="false">DCF!J21</f>
        <v>0.178563636363636</v>
      </c>
      <c r="F49" s="20" t="n">
        <f aca="false">DCF!J9</f>
        <v>0.28</v>
      </c>
    </row>
    <row r="50" customFormat="false" ht="15" hidden="false" customHeight="false" outlineLevel="0" collapsed="false">
      <c r="B50" s="5" t="s">
        <v>87</v>
      </c>
      <c r="C50" s="26" t="n">
        <f aca="false">DCF!K7</f>
        <v>3991.37992785101</v>
      </c>
      <c r="D50" s="20" t="n">
        <f aca="false">DCF!K21</f>
        <v>0.17182962962963</v>
      </c>
      <c r="F50" s="20" t="n">
        <f aca="false">DCF!K9</f>
        <v>0.28</v>
      </c>
    </row>
    <row r="51" customFormat="false" ht="15" hidden="false" customHeight="false" outlineLevel="0" collapsed="false">
      <c r="B51" s="5" t="s">
        <v>88</v>
      </c>
      <c r="C51" s="26" t="n">
        <f aca="false">DCF!L7</f>
        <v>4230.86272352207</v>
      </c>
      <c r="D51" s="20" t="n">
        <f aca="false">DCF!L21</f>
        <v>0.164841509433962</v>
      </c>
      <c r="F51" s="20" t="n">
        <f aca="false">DCF!L9</f>
        <v>0.28</v>
      </c>
    </row>
    <row r="52" customFormat="false" ht="15" hidden="false" customHeight="false" outlineLevel="0" collapsed="false">
      <c r="B52" s="5" t="s">
        <v>89</v>
      </c>
      <c r="C52" s="26" t="n">
        <f aca="false">DCF!M7</f>
        <v>4442.40585969817</v>
      </c>
      <c r="D52" s="20" t="n">
        <f aca="false">DCF!M21</f>
        <v>0.161247619047619</v>
      </c>
      <c r="F52" s="20" t="n">
        <f aca="false">DCF!M9</f>
        <v>0.28</v>
      </c>
    </row>
    <row r="71" customFormat="false" ht="15" hidden="false" customHeight="false" outlineLevel="0" collapsed="false">
      <c r="B71" s="6" t="s">
        <v>90</v>
      </c>
      <c r="C71" s="3"/>
      <c r="D71" s="3"/>
      <c r="E71" s="3"/>
      <c r="F71" s="3"/>
    </row>
    <row r="72" customFormat="false" ht="15" hidden="false" customHeight="false" outlineLevel="0" collapsed="false">
      <c r="B72" s="5" t="str">
        <f aca="false">"At the April 2026 price the market pays "&amp;TEXT(mkt_ev_ntm,"0.0")&amp;"x NTM revenue, which at this WACC needs a long-run margin excl. SBC of about "&amp;TEXT(Sensitivity!C26,"0%")&amp;" (model: "&amp;TEXT(m_lr,"0%")&amp;")."</f>
        <v>At the April 2026 price the market pays 7.5x NTM revenue, which at this WACC needs a long-run margin excl. SBC of about 60% (model: 28%).</v>
      </c>
    </row>
    <row r="73" customFormat="false" ht="15" hidden="false" customHeight="false" outlineLevel="0" collapsed="false">
      <c r="B73" s="5" t="str">
        <f aca="false">"Treating SBC as a cost matters: adding it back, as many sell-side models do, lifts the DCF from $"&amp;TEXT(vps,"0")&amp;" to $"&amp;TEXT(vps_ab,"0")&amp;" per share."</f>
        <v>Treating SBC as a cost matters: adding it back, as many sell-side models do, lifts the DCF from $22 to $40 per share.</v>
      </c>
    </row>
    <row r="74" customFormat="false" ht="15" hidden="false" customHeight="false" outlineLevel="0" collapsed="false">
      <c r="B74" s="5" t="s">
        <v>91</v>
      </c>
    </row>
    <row r="75" customFormat="false" ht="15" hidden="false" customHeight="false" outlineLevel="0" collapsed="false">
      <c r="B75" s="5" t="s">
        <v>92</v>
      </c>
    </row>
    <row r="76" customFormat="false" ht="15" hidden="false" customHeight="false" outlineLevel="0" collapsed="false">
      <c r="B76" s="5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13" min="4" style="0" width="10"/>
    <col collapsed="false" customWidth="true" hidden="false" outlineLevel="0" max="14" min="14" style="0" width="60"/>
  </cols>
  <sheetData>
    <row r="1" customFormat="false" ht="16.15" hidden="false" customHeight="false" outlineLevel="0" collapsed="false">
      <c r="B1" s="1" t="s">
        <v>26</v>
      </c>
    </row>
    <row r="2" customFormat="false" ht="15" hidden="false" customHeight="false" outlineLevel="0" collapsed="false">
      <c r="B2" s="2" t="s">
        <v>94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5" hidden="false" customHeight="false" outlineLevel="0" collapsed="false">
      <c r="B4" s="6" t="s">
        <v>13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B5" s="5" t="s">
        <v>95</v>
      </c>
      <c r="C5" s="27" t="n">
        <v>1</v>
      </c>
      <c r="D5" s="5" t="str">
        <f aca="false">CHOOSE(scen,"Base","Bull","Bear")</f>
        <v>Base</v>
      </c>
    </row>
    <row r="7" customFormat="false" ht="15" hidden="false" customHeight="false" outlineLevel="0" collapsed="false">
      <c r="B7" s="6" t="s">
        <v>96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B8" s="5" t="s">
        <v>97</v>
      </c>
      <c r="C8" s="28" t="n">
        <v>46136</v>
      </c>
      <c r="N8" s="17" t="s">
        <v>98</v>
      </c>
    </row>
    <row r="9" customFormat="false" ht="15" hidden="false" customHeight="false" outlineLevel="0" collapsed="false">
      <c r="B9" s="5" t="s">
        <v>99</v>
      </c>
      <c r="C9" s="29" t="n">
        <v>54.02</v>
      </c>
      <c r="N9" s="17" t="s">
        <v>100</v>
      </c>
    </row>
    <row r="10" customFormat="false" ht="15" hidden="false" customHeight="false" outlineLevel="0" collapsed="false">
      <c r="B10" s="5" t="s">
        <v>101</v>
      </c>
      <c r="C10" s="30" t="n">
        <v>232</v>
      </c>
      <c r="N10" s="17" t="s">
        <v>102</v>
      </c>
    </row>
    <row r="11" customFormat="false" ht="15" hidden="false" customHeight="false" outlineLevel="0" collapsed="false">
      <c r="B11" s="5" t="s">
        <v>103</v>
      </c>
      <c r="C11" s="30" t="n">
        <v>1675.8</v>
      </c>
      <c r="N11" s="17" t="s">
        <v>104</v>
      </c>
    </row>
    <row r="12" customFormat="false" ht="15" hidden="false" customHeight="false" outlineLevel="0" collapsed="false">
      <c r="B12" s="5" t="s">
        <v>105</v>
      </c>
      <c r="C12" s="30" t="n">
        <v>1130.7</v>
      </c>
      <c r="N12" s="17" t="s">
        <v>106</v>
      </c>
    </row>
    <row r="13" customFormat="false" ht="15" hidden="false" customHeight="false" outlineLevel="0" collapsed="false">
      <c r="B13" s="5" t="s">
        <v>107</v>
      </c>
      <c r="C13" s="31" t="n">
        <v>0.0435</v>
      </c>
      <c r="N13" s="17" t="s">
        <v>108</v>
      </c>
    </row>
    <row r="14" customFormat="false" ht="15" hidden="false" customHeight="false" outlineLevel="0" collapsed="false">
      <c r="B14" s="5" t="s">
        <v>109</v>
      </c>
      <c r="C14" s="32" t="n">
        <v>1.5</v>
      </c>
      <c r="N14" s="17" t="s">
        <v>110</v>
      </c>
    </row>
    <row r="15" customFormat="false" ht="15" hidden="false" customHeight="false" outlineLevel="0" collapsed="false">
      <c r="B15" s="5" t="s">
        <v>111</v>
      </c>
      <c r="C15" s="33" t="n">
        <v>0.055</v>
      </c>
      <c r="N15" s="17" t="s">
        <v>112</v>
      </c>
    </row>
    <row r="16" customFormat="false" ht="15" hidden="false" customHeight="false" outlineLevel="0" collapsed="false">
      <c r="B16" s="5" t="s">
        <v>113</v>
      </c>
      <c r="C16" s="31" t="n">
        <v>0.05</v>
      </c>
      <c r="N16" s="17" t="s">
        <v>114</v>
      </c>
    </row>
    <row r="17" customFormat="false" ht="15" hidden="false" customHeight="false" outlineLevel="0" collapsed="false">
      <c r="B17" s="5" t="s">
        <v>115</v>
      </c>
      <c r="C17" s="31" t="n">
        <v>0.21</v>
      </c>
      <c r="N17" s="17" t="s">
        <v>116</v>
      </c>
    </row>
    <row r="18" customFormat="false" ht="15" hidden="false" customHeight="false" outlineLevel="0" collapsed="false">
      <c r="B18" s="5" t="s">
        <v>117</v>
      </c>
      <c r="C18" s="33" t="n">
        <v>0.035</v>
      </c>
      <c r="N18" s="17" t="s">
        <v>118</v>
      </c>
    </row>
    <row r="19" customFormat="false" ht="15" hidden="false" customHeight="false" outlineLevel="0" collapsed="false">
      <c r="B19" s="5" t="s">
        <v>119</v>
      </c>
      <c r="C19" s="30" t="n">
        <v>50</v>
      </c>
      <c r="N19" s="17" t="s">
        <v>120</v>
      </c>
    </row>
    <row r="21" customFormat="false" ht="15" hidden="false" customHeight="false" outlineLevel="0" collapsed="false">
      <c r="B21" s="6" t="s">
        <v>121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B22" s="23"/>
      <c r="C22" s="24" t="s">
        <v>66</v>
      </c>
      <c r="D22" s="24" t="s">
        <v>67</v>
      </c>
      <c r="E22" s="24" t="s">
        <v>122</v>
      </c>
    </row>
    <row r="23" customFormat="false" ht="15" hidden="false" customHeight="false" outlineLevel="0" collapsed="false">
      <c r="B23" s="5" t="s">
        <v>77</v>
      </c>
      <c r="C23" s="34" t="n">
        <v>1597</v>
      </c>
      <c r="D23" s="34" t="n">
        <v>1607</v>
      </c>
      <c r="E23" s="35" t="n">
        <f aca="false">AVERAGE(C23:D23)</f>
        <v>1602</v>
      </c>
    </row>
    <row r="24" customFormat="false" ht="15" hidden="false" customHeight="false" outlineLevel="0" collapsed="false">
      <c r="B24" s="5" t="s">
        <v>123</v>
      </c>
      <c r="C24" s="34" t="n">
        <v>1829</v>
      </c>
      <c r="D24" s="34" t="n">
        <v>1839</v>
      </c>
      <c r="E24" s="35" t="n">
        <f aca="false">AVERAGE(C24:D24)</f>
        <v>1834</v>
      </c>
    </row>
    <row r="25" customFormat="false" ht="15" hidden="false" customHeight="false" outlineLevel="0" collapsed="false">
      <c r="B25" s="5" t="s">
        <v>124</v>
      </c>
      <c r="C25" s="34" t="n">
        <v>265</v>
      </c>
      <c r="D25" s="34" t="n">
        <v>275</v>
      </c>
      <c r="E25" s="35" t="n">
        <f aca="false">AVERAGE(C25:D25)</f>
        <v>270</v>
      </c>
    </row>
    <row r="27" customFormat="false" ht="15" hidden="false" customHeight="false" outlineLevel="0" collapsed="false">
      <c r="B27" s="6" t="s">
        <v>125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B28" s="23" t="s">
        <v>126</v>
      </c>
      <c r="C28" s="24"/>
      <c r="D28" s="24" t="s">
        <v>80</v>
      </c>
      <c r="E28" s="24" t="s">
        <v>81</v>
      </c>
      <c r="F28" s="24" t="s">
        <v>82</v>
      </c>
      <c r="G28" s="24" t="s">
        <v>83</v>
      </c>
      <c r="H28" s="24" t="s">
        <v>84</v>
      </c>
      <c r="I28" s="24" t="s">
        <v>85</v>
      </c>
      <c r="J28" s="24" t="s">
        <v>86</v>
      </c>
      <c r="K28" s="24" t="s">
        <v>87</v>
      </c>
      <c r="L28" s="24" t="s">
        <v>88</v>
      </c>
      <c r="M28" s="24" t="s">
        <v>89</v>
      </c>
      <c r="N28" s="24" t="s">
        <v>127</v>
      </c>
    </row>
    <row r="29" customFormat="false" ht="15" hidden="false" customHeight="false" outlineLevel="0" collapsed="false">
      <c r="B29" s="5" t="s">
        <v>128</v>
      </c>
      <c r="D29" s="36" t="n">
        <f aca="false">gd_rev/Hist_rev26-1</f>
        <v>0.217140252241301</v>
      </c>
      <c r="E29" s="31" t="n">
        <v>0.2</v>
      </c>
      <c r="F29" s="31" t="n">
        <v>0.18</v>
      </c>
      <c r="G29" s="31" t="n">
        <v>0.16</v>
      </c>
      <c r="H29" s="31" t="n">
        <v>0.14</v>
      </c>
      <c r="I29" s="31" t="n">
        <v>0.12</v>
      </c>
      <c r="J29" s="31" t="n">
        <v>0.1</v>
      </c>
      <c r="K29" s="31" t="n">
        <v>0.08</v>
      </c>
      <c r="L29" s="31" t="n">
        <v>0.06</v>
      </c>
      <c r="M29" s="31" t="n">
        <v>0.05</v>
      </c>
      <c r="N29" s="17" t="s">
        <v>129</v>
      </c>
    </row>
    <row r="30" customFormat="false" ht="15" hidden="false" customHeight="false" outlineLevel="0" collapsed="false">
      <c r="B30" s="5" t="s">
        <v>130</v>
      </c>
      <c r="D30" s="31" t="n">
        <v>0.23</v>
      </c>
      <c r="E30" s="31" t="n">
        <v>0.23</v>
      </c>
      <c r="F30" s="31" t="n">
        <v>0.21</v>
      </c>
      <c r="G30" s="31" t="n">
        <v>0.19</v>
      </c>
      <c r="H30" s="31" t="n">
        <v>0.17</v>
      </c>
      <c r="I30" s="31" t="n">
        <v>0.15</v>
      </c>
      <c r="J30" s="31" t="n">
        <v>0.12</v>
      </c>
      <c r="K30" s="31" t="n">
        <v>0.1</v>
      </c>
      <c r="L30" s="31" t="n">
        <v>0.08</v>
      </c>
      <c r="M30" s="31" t="n">
        <v>0.06</v>
      </c>
      <c r="N30" s="17" t="s">
        <v>131</v>
      </c>
    </row>
    <row r="31" customFormat="false" ht="15" hidden="false" customHeight="false" outlineLevel="0" collapsed="false">
      <c r="B31" s="5" t="s">
        <v>132</v>
      </c>
      <c r="D31" s="31" t="n">
        <v>0.2</v>
      </c>
      <c r="E31" s="31" t="n">
        <v>0.16</v>
      </c>
      <c r="F31" s="31" t="n">
        <v>0.13</v>
      </c>
      <c r="G31" s="31" t="n">
        <v>0.11</v>
      </c>
      <c r="H31" s="31" t="n">
        <v>0.09</v>
      </c>
      <c r="I31" s="31" t="n">
        <v>0.08</v>
      </c>
      <c r="J31" s="31" t="n">
        <v>0.07</v>
      </c>
      <c r="K31" s="31" t="n">
        <v>0.06</v>
      </c>
      <c r="L31" s="31" t="n">
        <v>0.05</v>
      </c>
      <c r="M31" s="31" t="n">
        <v>0.04</v>
      </c>
      <c r="N31" s="17" t="s">
        <v>133</v>
      </c>
    </row>
    <row r="32" customFormat="false" ht="15" hidden="false" customHeight="false" outlineLevel="0" collapsed="false">
      <c r="B32" s="4" t="s">
        <v>134</v>
      </c>
      <c r="D32" s="36" t="n">
        <f aca="false">CHOOSE(scen,D29,D30,D31)</f>
        <v>0.217140252241301</v>
      </c>
      <c r="E32" s="36" t="n">
        <f aca="false">CHOOSE(scen,E29,E30,E31)</f>
        <v>0.2</v>
      </c>
      <c r="F32" s="36" t="n">
        <f aca="false">CHOOSE(scen,F29,F30,F31)</f>
        <v>0.18</v>
      </c>
      <c r="G32" s="36" t="n">
        <f aca="false">CHOOSE(scen,G29,G30,G31)</f>
        <v>0.16</v>
      </c>
      <c r="H32" s="36" t="n">
        <f aca="false">CHOOSE(scen,H29,H30,H31)</f>
        <v>0.14</v>
      </c>
      <c r="I32" s="36" t="n">
        <f aca="false">CHOOSE(scen,I29,I30,I31)</f>
        <v>0.12</v>
      </c>
      <c r="J32" s="36" t="n">
        <f aca="false">CHOOSE(scen,J29,J30,J31)</f>
        <v>0.1</v>
      </c>
      <c r="K32" s="36" t="n">
        <f aca="false">CHOOSE(scen,K29,K30,K31)</f>
        <v>0.08</v>
      </c>
      <c r="L32" s="36" t="n">
        <f aca="false">CHOOSE(scen,L29,L30,L31)</f>
        <v>0.06</v>
      </c>
      <c r="M32" s="36" t="n">
        <f aca="false">CHOOSE(scen,M29,M30,M31)</f>
        <v>0.05</v>
      </c>
    </row>
    <row r="34" customFormat="false" ht="15" hidden="false" customHeight="false" outlineLevel="0" collapsed="false">
      <c r="B34" s="23" t="s">
        <v>135</v>
      </c>
      <c r="C34" s="24" t="s">
        <v>136</v>
      </c>
      <c r="D34" s="24" t="s">
        <v>137</v>
      </c>
      <c r="E34" s="24" t="s">
        <v>138</v>
      </c>
      <c r="F34" s="24" t="s">
        <v>139</v>
      </c>
    </row>
    <row r="35" customFormat="false" ht="15" hidden="false" customHeight="false" outlineLevel="0" collapsed="false">
      <c r="B35" s="5" t="s">
        <v>140</v>
      </c>
      <c r="C35" s="31" t="n">
        <v>0.06</v>
      </c>
      <c r="D35" s="31" t="n">
        <v>0.06</v>
      </c>
      <c r="E35" s="31" t="n">
        <v>0.06</v>
      </c>
      <c r="F35" s="36" t="n">
        <f aca="false">CHOOSE(scen,C35,D35,E35)</f>
        <v>0.06</v>
      </c>
      <c r="N35" s="17" t="s">
        <v>141</v>
      </c>
    </row>
    <row r="36" customFormat="false" ht="15" hidden="false" customHeight="false" outlineLevel="0" collapsed="false">
      <c r="B36" s="5" t="s">
        <v>142</v>
      </c>
      <c r="C36" s="33" t="n">
        <v>0.28</v>
      </c>
      <c r="D36" s="33" t="n">
        <v>0.33</v>
      </c>
      <c r="E36" s="33" t="n">
        <v>0.22</v>
      </c>
      <c r="F36" s="36" t="n">
        <f aca="false">CHOOSE(scen,C36,D36,E36)</f>
        <v>0.28</v>
      </c>
      <c r="N36" s="17" t="s">
        <v>143</v>
      </c>
    </row>
    <row r="37" customFormat="false" ht="15" hidden="false" customHeight="false" outlineLevel="0" collapsed="false">
      <c r="B37" s="5" t="s">
        <v>144</v>
      </c>
      <c r="C37" s="31" t="n">
        <v>0.22</v>
      </c>
      <c r="D37" s="31" t="n">
        <v>0.22</v>
      </c>
      <c r="E37" s="31" t="n">
        <v>0.22</v>
      </c>
      <c r="F37" s="36" t="n">
        <f aca="false">CHOOSE(scen,C37,D37,E37)</f>
        <v>0.22</v>
      </c>
      <c r="N37" s="17" t="s">
        <v>145</v>
      </c>
    </row>
    <row r="38" customFormat="false" ht="15" hidden="false" customHeight="false" outlineLevel="0" collapsed="false">
      <c r="B38" s="5" t="s">
        <v>146</v>
      </c>
      <c r="C38" s="33" t="n">
        <v>0.1</v>
      </c>
      <c r="D38" s="33" t="n">
        <v>0.08</v>
      </c>
      <c r="E38" s="33" t="n">
        <v>0.12</v>
      </c>
      <c r="F38" s="36" t="n">
        <f aca="false">CHOOSE(scen,C38,D38,E38)</f>
        <v>0.1</v>
      </c>
      <c r="N38" s="17" t="s">
        <v>147</v>
      </c>
    </row>
    <row r="39" customFormat="false" ht="15" hidden="false" customHeight="false" outlineLevel="0" collapsed="false">
      <c r="B39" s="5" t="s">
        <v>148</v>
      </c>
      <c r="C39" s="31" t="n">
        <v>0.03</v>
      </c>
      <c r="D39" s="31" t="n">
        <v>0.03</v>
      </c>
      <c r="E39" s="31" t="n">
        <v>0.03</v>
      </c>
      <c r="F39" s="36" t="n">
        <f aca="false">CHOOSE(scen,C39,D39,E39)</f>
        <v>0.03</v>
      </c>
      <c r="N39" s="17" t="s">
        <v>149</v>
      </c>
    </row>
    <row r="40" customFormat="false" ht="15" hidden="false" customHeight="false" outlineLevel="0" collapsed="false">
      <c r="B40" s="5" t="s">
        <v>150</v>
      </c>
      <c r="C40" s="31" t="n">
        <v>0.03</v>
      </c>
      <c r="D40" s="31" t="n">
        <v>0.03</v>
      </c>
      <c r="E40" s="31" t="n">
        <v>0.03</v>
      </c>
      <c r="F40" s="36" t="n">
        <f aca="false">CHOOSE(scen,C40,D40,E40)</f>
        <v>0.03</v>
      </c>
      <c r="N40" s="17" t="s">
        <v>151</v>
      </c>
    </row>
    <row r="41" customFormat="false" ht="15" hidden="false" customHeight="false" outlineLevel="0" collapsed="false">
      <c r="B41" s="5" t="s">
        <v>152</v>
      </c>
      <c r="C41" s="31" t="n">
        <v>0.4</v>
      </c>
      <c r="D41" s="31" t="n">
        <v>0.4</v>
      </c>
      <c r="E41" s="31" t="n">
        <v>0.4</v>
      </c>
      <c r="F41" s="36" t="n">
        <f aca="false">CHOOSE(scen,C41,D41,E41)</f>
        <v>0.4</v>
      </c>
      <c r="N41" s="17" t="s">
        <v>153</v>
      </c>
    </row>
    <row r="42" customFormat="false" ht="15" hidden="false" customHeight="false" outlineLevel="0" collapsed="false">
      <c r="B42" s="5" t="s">
        <v>154</v>
      </c>
      <c r="C42" s="31" t="n">
        <v>0.21</v>
      </c>
      <c r="D42" s="31" t="n">
        <v>0.21</v>
      </c>
      <c r="E42" s="31" t="n">
        <v>0.21</v>
      </c>
      <c r="F42" s="36" t="n">
        <f aca="false">CHOOSE(scen,C42,D42,E42)</f>
        <v>0.21</v>
      </c>
      <c r="N42" s="17" t="s">
        <v>155</v>
      </c>
    </row>
    <row r="43" customFormat="false" ht="15" hidden="false" customHeight="false" outlineLevel="0" collapsed="false">
      <c r="B43" s="5" t="s">
        <v>156</v>
      </c>
      <c r="C43" s="37" t="n">
        <v>6</v>
      </c>
    </row>
    <row r="45" customFormat="false" ht="15" hidden="false" customHeight="false" outlineLevel="0" collapsed="false">
      <c r="B45" s="6" t="s">
        <v>157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customFormat="false" ht="15" hidden="false" customHeight="false" outlineLevel="0" collapsed="false">
      <c r="B46" s="23" t="s">
        <v>158</v>
      </c>
      <c r="C46" s="24" t="s">
        <v>159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 t="s">
        <v>127</v>
      </c>
    </row>
    <row r="47" customFormat="false" ht="15" hidden="false" customHeight="false" outlineLevel="0" collapsed="false">
      <c r="B47" s="5" t="s">
        <v>138</v>
      </c>
      <c r="C47" s="38" t="n">
        <v>4</v>
      </c>
      <c r="N47" s="17" t="s">
        <v>160</v>
      </c>
    </row>
    <row r="48" customFormat="false" ht="15" hidden="false" customHeight="false" outlineLevel="0" collapsed="false">
      <c r="B48" s="5" t="s">
        <v>66</v>
      </c>
      <c r="C48" s="38" t="n">
        <v>6</v>
      </c>
      <c r="N48" s="17" t="s">
        <v>161</v>
      </c>
    </row>
    <row r="49" customFormat="false" ht="15" hidden="false" customHeight="false" outlineLevel="0" collapsed="false">
      <c r="B49" s="5" t="s">
        <v>136</v>
      </c>
      <c r="C49" s="38" t="n">
        <v>8.5</v>
      </c>
      <c r="N49" s="17" t="s">
        <v>162</v>
      </c>
    </row>
    <row r="50" customFormat="false" ht="15" hidden="false" customHeight="false" outlineLevel="0" collapsed="false">
      <c r="B50" s="5" t="s">
        <v>67</v>
      </c>
      <c r="C50" s="38" t="n">
        <v>12</v>
      </c>
      <c r="N50" s="17" t="s">
        <v>163</v>
      </c>
    </row>
    <row r="51" customFormat="false" ht="15" hidden="false" customHeight="false" outlineLevel="0" collapsed="false">
      <c r="B51" s="5" t="s">
        <v>137</v>
      </c>
      <c r="C51" s="38" t="n">
        <v>16</v>
      </c>
      <c r="N51" s="17" t="s">
        <v>164</v>
      </c>
    </row>
    <row r="52" customFormat="false" ht="15" hidden="false" customHeight="false" outlineLevel="0" collapsed="false">
      <c r="B52" s="17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13"/>
    <col collapsed="false" customWidth="true" hidden="false" outlineLevel="0" max="6" min="6" style="0" width="50"/>
  </cols>
  <sheetData>
    <row r="1" customFormat="false" ht="16.15" hidden="false" customHeight="false" outlineLevel="0" collapsed="false">
      <c r="B1" s="1" t="s">
        <v>166</v>
      </c>
    </row>
    <row r="2" customFormat="false" ht="15" hidden="false" customHeight="false" outlineLevel="0" collapsed="false">
      <c r="B2" s="2" t="s">
        <v>167</v>
      </c>
      <c r="C2" s="3"/>
      <c r="D2" s="3"/>
      <c r="E2" s="3"/>
      <c r="F2" s="3"/>
    </row>
    <row r="4" customFormat="false" ht="15" hidden="false" customHeight="false" outlineLevel="0" collapsed="false">
      <c r="B4" s="23" t="s">
        <v>168</v>
      </c>
      <c r="C4" s="24" t="s">
        <v>169</v>
      </c>
      <c r="D4" s="24" t="s">
        <v>170</v>
      </c>
      <c r="E4" s="24" t="s">
        <v>171</v>
      </c>
    </row>
    <row r="5" customFormat="false" ht="15" hidden="false" customHeight="false" outlineLevel="0" collapsed="false">
      <c r="B5" s="4" t="s">
        <v>172</v>
      </c>
      <c r="C5" s="30" t="n">
        <v>886.5</v>
      </c>
      <c r="D5" s="30" t="n">
        <v>1316.2</v>
      </c>
      <c r="E5" s="36" t="n">
        <f aca="false">IF(C5&gt;0,D5/C5-1,"n/m")</f>
        <v>0.484715172024817</v>
      </c>
    </row>
    <row r="6" customFormat="false" ht="15" hidden="false" customHeight="false" outlineLevel="0" collapsed="false">
      <c r="B6" s="5" t="s">
        <v>173</v>
      </c>
      <c r="C6" s="30" t="n">
        <v>828.7</v>
      </c>
      <c r="D6" s="30" t="n">
        <v>1263.9</v>
      </c>
      <c r="E6" s="36" t="n">
        <f aca="false">IF(C6&gt;0,D6/C6-1,"n/m")</f>
        <v>0.525159888982744</v>
      </c>
    </row>
    <row r="7" customFormat="false" ht="15" hidden="false" customHeight="false" outlineLevel="0" collapsed="false">
      <c r="B7" s="5" t="s">
        <v>174</v>
      </c>
      <c r="C7" s="30" t="n">
        <v>1092.6</v>
      </c>
      <c r="D7" s="30" t="n">
        <v>1462.1</v>
      </c>
      <c r="E7" s="36" t="n">
        <f aca="false">IF(C7&gt;0,D7/C7-1,"n/m")</f>
        <v>0.338184147904082</v>
      </c>
    </row>
    <row r="8" customFormat="false" ht="15" hidden="false" customHeight="false" outlineLevel="0" collapsed="false">
      <c r="B8" s="5" t="s">
        <v>175</v>
      </c>
      <c r="C8" s="30" t="n">
        <v>620.8</v>
      </c>
      <c r="D8" s="30" t="n">
        <v>1054.3</v>
      </c>
      <c r="E8" s="36" t="n">
        <f aca="false">IF(C8&gt;0,D8/C8-1,"n/m")</f>
        <v>0.698292525773196</v>
      </c>
    </row>
    <row r="9" customFormat="false" ht="15" hidden="false" customHeight="false" outlineLevel="0" collapsed="false">
      <c r="B9" s="5" t="s">
        <v>176</v>
      </c>
      <c r="C9" s="30" t="n">
        <v>531.6</v>
      </c>
      <c r="D9" s="30" t="n">
        <v>373.7</v>
      </c>
      <c r="E9" s="36" t="n">
        <f aca="false">IF(C9&gt;0,D9/C9-1,"n/m")</f>
        <v>-0.297027840481565</v>
      </c>
    </row>
    <row r="10" customFormat="false" ht="15" hidden="false" customHeight="false" outlineLevel="0" collapsed="false">
      <c r="B10" s="5" t="s">
        <v>177</v>
      </c>
      <c r="C10" s="30" t="n">
        <v>867.5</v>
      </c>
      <c r="D10" s="30" t="n">
        <v>769</v>
      </c>
      <c r="E10" s="36" t="n">
        <f aca="false">IF(C10&gt;0,D10/C10-1,"n/m")</f>
        <v>-0.113544668587896</v>
      </c>
    </row>
    <row r="11" customFormat="false" ht="15" hidden="false" customHeight="false" outlineLevel="0" collapsed="false">
      <c r="B11" s="5" t="s">
        <v>178</v>
      </c>
      <c r="C11" s="30" t="n">
        <v>355.7</v>
      </c>
      <c r="D11" s="30" t="n">
        <v>257</v>
      </c>
      <c r="E11" s="36" t="n">
        <f aca="false">IF(C11&gt;0,D11/C11-1,"n/m")</f>
        <v>-0.27748102333427</v>
      </c>
    </row>
    <row r="12" customFormat="false" ht="15" hidden="false" customHeight="false" outlineLevel="0" collapsed="false">
      <c r="B12" s="4" t="s">
        <v>179</v>
      </c>
      <c r="C12" s="30" t="n">
        <v>-1134</v>
      </c>
      <c r="D12" s="30" t="n">
        <v>-345.4</v>
      </c>
      <c r="E12" s="36" t="str">
        <f aca="false">IF(C12&gt;0,D12/C12-1,"n/m")</f>
        <v>n/m</v>
      </c>
    </row>
    <row r="13" customFormat="false" ht="15" hidden="false" customHeight="false" outlineLevel="0" collapsed="false">
      <c r="B13" s="5" t="s">
        <v>180</v>
      </c>
      <c r="C13" s="30" t="n">
        <v>913.9</v>
      </c>
      <c r="D13" s="30" t="n">
        <v>329.4</v>
      </c>
      <c r="E13" s="36" t="n">
        <f aca="false">IF(C13&gt;0,D13/C13-1,"n/m")</f>
        <v>-0.639566692198271</v>
      </c>
    </row>
    <row r="14" customFormat="false" ht="15" hidden="false" customHeight="false" outlineLevel="0" collapsed="false">
      <c r="B14" s="5" t="s">
        <v>181</v>
      </c>
      <c r="C14" s="30" t="n">
        <v>28.9</v>
      </c>
      <c r="D14" s="30" t="n">
        <v>37.1</v>
      </c>
      <c r="E14" s="36" t="n">
        <f aca="false">IF(C14&gt;0,D14/C14-1,"n/m")</f>
        <v>0.283737024221453</v>
      </c>
    </row>
    <row r="15" customFormat="false" ht="15" hidden="false" customHeight="false" outlineLevel="0" collapsed="false">
      <c r="B15" s="5" t="s">
        <v>182</v>
      </c>
      <c r="C15" s="30" t="n">
        <v>16.9</v>
      </c>
      <c r="D15" s="30" t="n">
        <v>29.6</v>
      </c>
      <c r="E15" s="36" t="n">
        <f aca="false">IF(C15&gt;0,D15/C15-1,"n/m")</f>
        <v>0.751479289940829</v>
      </c>
    </row>
    <row r="16" customFormat="false" ht="15" hidden="false" customHeight="false" outlineLevel="0" collapsed="false">
      <c r="B16" s="5" t="s">
        <v>183</v>
      </c>
      <c r="C16" s="30" t="n">
        <v>48.2</v>
      </c>
      <c r="D16" s="30" t="n">
        <v>282.9</v>
      </c>
      <c r="E16" s="36" t="n">
        <f aca="false">IF(C16&gt;0,D16/C16-1,"n/m")</f>
        <v>4.86929460580913</v>
      </c>
    </row>
    <row r="17" customFormat="false" ht="15" hidden="false" customHeight="false" outlineLevel="0" collapsed="false">
      <c r="B17" s="4" t="s">
        <v>184</v>
      </c>
      <c r="C17" s="30" t="n">
        <v>21.6</v>
      </c>
      <c r="D17" s="30" t="n">
        <v>237.8</v>
      </c>
      <c r="E17" s="36" t="n">
        <f aca="false">IF(C17&gt;0,D17/C17-1,"n/m")</f>
        <v>10.0092592592593</v>
      </c>
    </row>
    <row r="19" customFormat="false" ht="15" hidden="false" customHeight="false" outlineLevel="0" collapsed="false">
      <c r="B19" s="6" t="s">
        <v>185</v>
      </c>
      <c r="C19" s="3"/>
      <c r="D19" s="3"/>
      <c r="E19" s="3"/>
    </row>
    <row r="20" customFormat="false" ht="15" hidden="false" customHeight="false" outlineLevel="0" collapsed="false">
      <c r="B20" s="23"/>
      <c r="C20" s="24" t="s">
        <v>169</v>
      </c>
      <c r="D20" s="24" t="s">
        <v>170</v>
      </c>
    </row>
    <row r="21" customFormat="false" ht="15" hidden="false" customHeight="false" outlineLevel="0" collapsed="false">
      <c r="B21" s="5" t="s">
        <v>126</v>
      </c>
      <c r="D21" s="36" t="n">
        <f aca="false">D5/C5-1</f>
        <v>0.484715172024817</v>
      </c>
    </row>
    <row r="22" customFormat="false" ht="15" hidden="false" customHeight="false" outlineLevel="0" collapsed="false">
      <c r="B22" s="5" t="s">
        <v>186</v>
      </c>
      <c r="D22" s="36" t="n">
        <f aca="false">D7/C7-1</f>
        <v>0.338184147904082</v>
      </c>
    </row>
    <row r="23" customFormat="false" ht="15" hidden="false" customHeight="false" outlineLevel="0" collapsed="false">
      <c r="B23" s="5" t="s">
        <v>187</v>
      </c>
      <c r="C23" s="36" t="n">
        <f aca="false">C8/C5</f>
        <v>0.700282007896221</v>
      </c>
      <c r="D23" s="36" t="n">
        <f aca="false">D8/D5</f>
        <v>0.801018082358304</v>
      </c>
    </row>
    <row r="24" customFormat="false" ht="15" hidden="false" customHeight="false" outlineLevel="0" collapsed="false">
      <c r="B24" s="5" t="s">
        <v>188</v>
      </c>
      <c r="C24" s="36" t="n">
        <f aca="false">C9/C5</f>
        <v>0.599661590524535</v>
      </c>
      <c r="D24" s="36" t="n">
        <f aca="false">D9/D5</f>
        <v>0.283923415894241</v>
      </c>
    </row>
    <row r="25" customFormat="false" ht="15" hidden="false" customHeight="false" outlineLevel="0" collapsed="false">
      <c r="B25" s="5" t="s">
        <v>189</v>
      </c>
      <c r="C25" s="36" t="n">
        <f aca="false">C10/C5</f>
        <v>0.978567399887197</v>
      </c>
      <c r="D25" s="36" t="n">
        <f aca="false">D10/D5</f>
        <v>0.584257711593983</v>
      </c>
    </row>
    <row r="26" customFormat="false" ht="15" hidden="false" customHeight="false" outlineLevel="0" collapsed="false">
      <c r="B26" s="5" t="s">
        <v>190</v>
      </c>
      <c r="C26" s="36" t="n">
        <f aca="false">C11/C5</f>
        <v>0.401240834743373</v>
      </c>
      <c r="D26" s="36" t="n">
        <f aca="false">D11/D5</f>
        <v>0.1952590791673</v>
      </c>
    </row>
    <row r="27" customFormat="false" ht="15" hidden="false" customHeight="false" outlineLevel="0" collapsed="false">
      <c r="B27" s="5" t="s">
        <v>191</v>
      </c>
      <c r="C27" s="36" t="n">
        <f aca="false">C12/C5</f>
        <v>-1.27918781725888</v>
      </c>
      <c r="D27" s="36" t="n">
        <f aca="false">D12/D5</f>
        <v>-0.262422124297219</v>
      </c>
      <c r="F27" s="17" t="s">
        <v>192</v>
      </c>
    </row>
    <row r="28" customFormat="false" ht="15" hidden="false" customHeight="false" outlineLevel="0" collapsed="false">
      <c r="B28" s="5" t="s">
        <v>193</v>
      </c>
      <c r="C28" s="36" t="n">
        <f aca="false">C13/C5</f>
        <v>1.03090806542583</v>
      </c>
      <c r="D28" s="36" t="n">
        <f aca="false">D13/D5</f>
        <v>0.250265917033885</v>
      </c>
    </row>
    <row r="29" customFormat="false" ht="15" hidden="false" customHeight="false" outlineLevel="0" collapsed="false">
      <c r="B29" s="5" t="s">
        <v>194</v>
      </c>
      <c r="C29" s="36" t="n">
        <f aca="false">(C12+C13)/C5</f>
        <v>-0.248279751833051</v>
      </c>
      <c r="D29" s="36" t="n">
        <f aca="false">(D12+D13)/D5</f>
        <v>-0.0121562072633338</v>
      </c>
    </row>
    <row r="30" customFormat="false" ht="15" hidden="false" customHeight="false" outlineLevel="0" collapsed="false">
      <c r="B30" s="5" t="s">
        <v>195</v>
      </c>
      <c r="C30" s="36" t="n">
        <f aca="false">C17/C5</f>
        <v>0.0243654822335025</v>
      </c>
      <c r="D30" s="36" t="n">
        <f aca="false">D17/D5</f>
        <v>0.180671630451299</v>
      </c>
    </row>
    <row r="31" customFormat="false" ht="15" hidden="false" customHeight="false" outlineLevel="0" collapsed="false">
      <c r="B31" s="5" t="s">
        <v>196</v>
      </c>
      <c r="C31" s="36" t="n">
        <f aca="false">(C17-C13)/C5</f>
        <v>-1.00654258319233</v>
      </c>
      <c r="D31" s="36" t="n">
        <f aca="false">(D17-D13)/D5</f>
        <v>-0.0695942865825862</v>
      </c>
    </row>
    <row r="32" customFormat="false" ht="15" hidden="false" customHeight="false" outlineLevel="0" collapsed="false">
      <c r="B32" s="5" t="s">
        <v>197</v>
      </c>
      <c r="D32" s="36" t="n">
        <f aca="false">D21+D30</f>
        <v>0.665386802476116</v>
      </c>
    </row>
    <row r="33" customFormat="false" ht="15" hidden="false" customHeight="false" outlineLevel="0" collapsed="false">
      <c r="B33" s="5" t="s">
        <v>198</v>
      </c>
      <c r="D33" s="36" t="n">
        <f aca="false">(D17-int_inc-(D12+D13)-D14+D15)/(D5-C5)</f>
        <v>0.456830346753549</v>
      </c>
      <c r="F33" s="17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6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13" min="4" style="0" width="11"/>
    <col collapsed="false" customWidth="true" hidden="false" outlineLevel="0" max="14" min="14" style="0" width="40"/>
  </cols>
  <sheetData>
    <row r="1" customFormat="false" ht="16.15" hidden="false" customHeight="false" outlineLevel="0" collapsed="false">
      <c r="B1" s="1" t="s">
        <v>200</v>
      </c>
    </row>
    <row r="2" customFormat="false" ht="15" hidden="false" customHeight="false" outlineLevel="0" collapsed="false">
      <c r="B2" s="2" t="s">
        <v>201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5" hidden="false" customHeight="false" outlineLevel="0" collapsed="false">
      <c r="B4" s="23" t="s">
        <v>168</v>
      </c>
      <c r="C4" s="24" t="s">
        <v>170</v>
      </c>
      <c r="D4" s="24" t="s">
        <v>80</v>
      </c>
      <c r="E4" s="24" t="s">
        <v>81</v>
      </c>
      <c r="F4" s="24" t="s">
        <v>82</v>
      </c>
      <c r="G4" s="24" t="s">
        <v>83</v>
      </c>
      <c r="H4" s="24" t="s">
        <v>84</v>
      </c>
      <c r="I4" s="24" t="s">
        <v>85</v>
      </c>
      <c r="J4" s="24" t="s">
        <v>86</v>
      </c>
      <c r="K4" s="24" t="s">
        <v>87</v>
      </c>
      <c r="L4" s="24" t="s">
        <v>88</v>
      </c>
      <c r="M4" s="24" t="s">
        <v>89</v>
      </c>
    </row>
    <row r="5" customFormat="false" ht="15" hidden="false" customHeight="false" outlineLevel="0" collapsed="false">
      <c r="B5" s="17" t="s">
        <v>202</v>
      </c>
      <c r="C5" s="39" t="n">
        <v>46053</v>
      </c>
      <c r="D5" s="39" t="n">
        <v>46418</v>
      </c>
      <c r="E5" s="39" t="n">
        <v>46783</v>
      </c>
      <c r="F5" s="39" t="n">
        <v>47149</v>
      </c>
      <c r="G5" s="39" t="n">
        <v>47514</v>
      </c>
      <c r="H5" s="39" t="n">
        <v>47879</v>
      </c>
      <c r="I5" s="39" t="n">
        <v>48244</v>
      </c>
      <c r="J5" s="39" t="n">
        <v>48610</v>
      </c>
      <c r="K5" s="39" t="n">
        <v>48975</v>
      </c>
      <c r="L5" s="39" t="n">
        <v>49340</v>
      </c>
      <c r="M5" s="39" t="n">
        <v>49705</v>
      </c>
    </row>
    <row r="6" customFormat="false" ht="15" hidden="false" customHeight="false" outlineLevel="0" collapsed="false">
      <c r="B6" s="17" t="s">
        <v>203</v>
      </c>
      <c r="D6" s="40" t="n">
        <v>1</v>
      </c>
      <c r="E6" s="40" t="n">
        <v>2</v>
      </c>
      <c r="F6" s="40" t="n">
        <v>3</v>
      </c>
      <c r="G6" s="40" t="n">
        <v>4</v>
      </c>
      <c r="H6" s="40" t="n">
        <v>5</v>
      </c>
      <c r="I6" s="40" t="n">
        <v>6</v>
      </c>
      <c r="J6" s="40" t="n">
        <v>7</v>
      </c>
      <c r="K6" s="40" t="n">
        <v>8</v>
      </c>
      <c r="L6" s="40" t="n">
        <v>9</v>
      </c>
      <c r="M6" s="40" t="n">
        <v>10</v>
      </c>
    </row>
    <row r="7" customFormat="false" ht="15" hidden="false" customHeight="false" outlineLevel="0" collapsed="false">
      <c r="B7" s="4" t="s">
        <v>204</v>
      </c>
      <c r="C7" s="41" t="n">
        <f aca="false">Hist_rev26</f>
        <v>1316.2</v>
      </c>
      <c r="D7" s="42" t="n">
        <f aca="false">C7*(1+D8)</f>
        <v>1602</v>
      </c>
      <c r="E7" s="42" t="n">
        <f aca="false">D7*(1+E8)</f>
        <v>1922.4</v>
      </c>
      <c r="F7" s="42" t="n">
        <f aca="false">E7*(1+F8)</f>
        <v>2268.432</v>
      </c>
      <c r="G7" s="42" t="n">
        <f aca="false">F7*(1+G8)</f>
        <v>2631.38112</v>
      </c>
      <c r="H7" s="42" t="n">
        <f aca="false">G7*(1+H8)</f>
        <v>2999.7744768</v>
      </c>
      <c r="I7" s="42" t="n">
        <f aca="false">H7*(1+I8)</f>
        <v>3359.747414016</v>
      </c>
      <c r="J7" s="42" t="n">
        <f aca="false">I7*(1+J8)</f>
        <v>3695.7221554176</v>
      </c>
      <c r="K7" s="42" t="n">
        <f aca="false">J7*(1+K8)</f>
        <v>3991.37992785101</v>
      </c>
      <c r="L7" s="42" t="n">
        <f aca="false">K7*(1+L8)</f>
        <v>4230.86272352207</v>
      </c>
      <c r="M7" s="42" t="n">
        <f aca="false">L7*(1+M8)</f>
        <v>4442.40585969817</v>
      </c>
    </row>
    <row r="8" customFormat="false" ht="15" hidden="false" customHeight="false" outlineLevel="0" collapsed="false">
      <c r="B8" s="5" t="s">
        <v>205</v>
      </c>
      <c r="C8" s="20" t="n">
        <f aca="false">Historical!D21</f>
        <v>0.484715172024817</v>
      </c>
      <c r="D8" s="20" t="n">
        <f aca="false">Inputs!D32</f>
        <v>0.217140252241301</v>
      </c>
      <c r="E8" s="20" t="n">
        <f aca="false">Inputs!E32</f>
        <v>0.2</v>
      </c>
      <c r="F8" s="20" t="n">
        <f aca="false">Inputs!F32</f>
        <v>0.18</v>
      </c>
      <c r="G8" s="20" t="n">
        <f aca="false">Inputs!G32</f>
        <v>0.16</v>
      </c>
      <c r="H8" s="20" t="n">
        <f aca="false">Inputs!H32</f>
        <v>0.14</v>
      </c>
      <c r="I8" s="20" t="n">
        <f aca="false">Inputs!I32</f>
        <v>0.12</v>
      </c>
      <c r="J8" s="20" t="n">
        <f aca="false">Inputs!J32</f>
        <v>0.1</v>
      </c>
      <c r="K8" s="20" t="n">
        <f aca="false">Inputs!K32</f>
        <v>0.08</v>
      </c>
      <c r="L8" s="20" t="n">
        <f aca="false">Inputs!L32</f>
        <v>0.06</v>
      </c>
      <c r="M8" s="20" t="n">
        <f aca="false">Inputs!M32</f>
        <v>0.05</v>
      </c>
    </row>
    <row r="9" customFormat="false" ht="15" hidden="false" customHeight="false" outlineLevel="0" collapsed="false">
      <c r="B9" s="5" t="s">
        <v>206</v>
      </c>
      <c r="C9" s="20" t="n">
        <f aca="false">Historical!D29</f>
        <v>-0.0121562072633338</v>
      </c>
      <c r="D9" s="36" t="n">
        <f aca="false">m27+(m_lr-m27)*MIN(1,(D$6-1)/ramp)</f>
        <v>0.06</v>
      </c>
      <c r="E9" s="36" t="n">
        <f aca="false">m27+(m_lr-m27)*MIN(1,(E$6-1)/ramp)</f>
        <v>0.0966666666666667</v>
      </c>
      <c r="F9" s="36" t="n">
        <f aca="false">m27+(m_lr-m27)*MIN(1,(F$6-1)/ramp)</f>
        <v>0.133333333333333</v>
      </c>
      <c r="G9" s="36" t="n">
        <f aca="false">m27+(m_lr-m27)*MIN(1,(G$6-1)/ramp)</f>
        <v>0.17</v>
      </c>
      <c r="H9" s="36" t="n">
        <f aca="false">m27+(m_lr-m27)*MIN(1,(H$6-1)/ramp)</f>
        <v>0.206666666666667</v>
      </c>
      <c r="I9" s="36" t="n">
        <f aca="false">m27+(m_lr-m27)*MIN(1,(I$6-1)/ramp)</f>
        <v>0.243333333333333</v>
      </c>
      <c r="J9" s="36" t="n">
        <f aca="false">m27+(m_lr-m27)*MIN(1,(J$6-1)/ramp)</f>
        <v>0.28</v>
      </c>
      <c r="K9" s="36" t="n">
        <f aca="false">m27+(m_lr-m27)*MIN(1,(K$6-1)/ramp)</f>
        <v>0.28</v>
      </c>
      <c r="L9" s="36" t="n">
        <f aca="false">m27+(m_lr-m27)*MIN(1,(L$6-1)/ramp)</f>
        <v>0.28</v>
      </c>
      <c r="M9" s="36" t="n">
        <f aca="false">m27+(m_lr-m27)*MIN(1,(M$6-1)/ramp)</f>
        <v>0.28</v>
      </c>
    </row>
    <row r="10" customFormat="false" ht="15" hidden="false" customHeight="false" outlineLevel="0" collapsed="false">
      <c r="B10" s="5" t="s">
        <v>207</v>
      </c>
      <c r="D10" s="42" t="n">
        <f aca="false">D7*D9</f>
        <v>96.12</v>
      </c>
      <c r="E10" s="42" t="n">
        <f aca="false">E7*E9</f>
        <v>185.832</v>
      </c>
      <c r="F10" s="42" t="n">
        <f aca="false">F7*F9</f>
        <v>302.4576</v>
      </c>
      <c r="G10" s="42" t="n">
        <f aca="false">G7*G9</f>
        <v>447.3347904</v>
      </c>
      <c r="H10" s="42" t="n">
        <f aca="false">H7*H9</f>
        <v>619.953391872</v>
      </c>
      <c r="I10" s="42" t="n">
        <f aca="false">I7*I9</f>
        <v>817.53853741056</v>
      </c>
      <c r="J10" s="42" t="n">
        <f aca="false">J7*J9</f>
        <v>1034.80220351693</v>
      </c>
      <c r="K10" s="42" t="n">
        <f aca="false">K7*K9</f>
        <v>1117.58637979828</v>
      </c>
      <c r="L10" s="42" t="n">
        <f aca="false">L7*L9</f>
        <v>1184.64156258618</v>
      </c>
      <c r="M10" s="42" t="n">
        <f aca="false">M7*M9</f>
        <v>1243.87364071549</v>
      </c>
    </row>
    <row r="11" customFormat="false" ht="15" hidden="false" customHeight="false" outlineLevel="0" collapsed="false">
      <c r="B11" s="5" t="s">
        <v>208</v>
      </c>
      <c r="C11" s="20" t="n">
        <f aca="false">Historical!D28</f>
        <v>0.250265917033885</v>
      </c>
      <c r="D11" s="36" t="n">
        <f aca="false">s27+(s_lr-s27)*MIN(1,(D$6-1)/ramp)</f>
        <v>0.22</v>
      </c>
      <c r="E11" s="36" t="n">
        <f aca="false">s27+(s_lr-s27)*MIN(1,(E$6-1)/ramp)</f>
        <v>0.2</v>
      </c>
      <c r="F11" s="36" t="n">
        <f aca="false">s27+(s_lr-s27)*MIN(1,(F$6-1)/ramp)</f>
        <v>0.18</v>
      </c>
      <c r="G11" s="36" t="n">
        <f aca="false">s27+(s_lr-s27)*MIN(1,(G$6-1)/ramp)</f>
        <v>0.16</v>
      </c>
      <c r="H11" s="36" t="n">
        <f aca="false">s27+(s_lr-s27)*MIN(1,(H$6-1)/ramp)</f>
        <v>0.14</v>
      </c>
      <c r="I11" s="36" t="n">
        <f aca="false">s27+(s_lr-s27)*MIN(1,(I$6-1)/ramp)</f>
        <v>0.12</v>
      </c>
      <c r="J11" s="36" t="n">
        <f aca="false">s27+(s_lr-s27)*MIN(1,(J$6-1)/ramp)</f>
        <v>0.1</v>
      </c>
      <c r="K11" s="36" t="n">
        <f aca="false">s27+(s_lr-s27)*MIN(1,(K$6-1)/ramp)</f>
        <v>0.1</v>
      </c>
      <c r="L11" s="36" t="n">
        <f aca="false">s27+(s_lr-s27)*MIN(1,(L$6-1)/ramp)</f>
        <v>0.1</v>
      </c>
      <c r="M11" s="36" t="n">
        <f aca="false">s27+(s_lr-s27)*MIN(1,(M$6-1)/ramp)</f>
        <v>0.1</v>
      </c>
    </row>
    <row r="12" customFormat="false" ht="15" hidden="false" customHeight="false" outlineLevel="0" collapsed="false">
      <c r="B12" s="5" t="s">
        <v>209</v>
      </c>
      <c r="D12" s="42" t="n">
        <f aca="false">-D7*D11</f>
        <v>-352.44</v>
      </c>
      <c r="E12" s="42" t="n">
        <f aca="false">-E7*E11</f>
        <v>-384.48</v>
      </c>
      <c r="F12" s="42" t="n">
        <f aca="false">-F7*F11</f>
        <v>-408.31776</v>
      </c>
      <c r="G12" s="42" t="n">
        <f aca="false">-G7*G11</f>
        <v>-421.0209792</v>
      </c>
      <c r="H12" s="42" t="n">
        <f aca="false">-H7*H11</f>
        <v>-419.968426752</v>
      </c>
      <c r="I12" s="42" t="n">
        <f aca="false">-I7*I11</f>
        <v>-403.16968968192</v>
      </c>
      <c r="J12" s="42" t="n">
        <f aca="false">-J7*J11</f>
        <v>-369.57221554176</v>
      </c>
      <c r="K12" s="42" t="n">
        <f aca="false">-K7*K11</f>
        <v>-399.137992785101</v>
      </c>
      <c r="L12" s="42" t="n">
        <f aca="false">-L7*L11</f>
        <v>-423.086272352207</v>
      </c>
      <c r="M12" s="42" t="n">
        <f aca="false">-M7*M11</f>
        <v>-444.240585969817</v>
      </c>
    </row>
    <row r="13" customFormat="false" ht="15" hidden="false" customHeight="false" outlineLevel="0" collapsed="false">
      <c r="B13" s="43" t="s">
        <v>210</v>
      </c>
      <c r="C13" s="44" t="n">
        <f aca="false">Historical!D12</f>
        <v>-345.4</v>
      </c>
      <c r="D13" s="45" t="n">
        <f aca="false">D10+D12</f>
        <v>-256.32</v>
      </c>
      <c r="E13" s="45" t="n">
        <f aca="false">E10+E12</f>
        <v>-198.648</v>
      </c>
      <c r="F13" s="45" t="n">
        <f aca="false">F10+F12</f>
        <v>-105.86016</v>
      </c>
      <c r="G13" s="45" t="n">
        <f aca="false">G10+G12</f>
        <v>26.3138112</v>
      </c>
      <c r="H13" s="45" t="n">
        <f aca="false">H10+H12</f>
        <v>199.98496512</v>
      </c>
      <c r="I13" s="45" t="n">
        <f aca="false">I10+I12</f>
        <v>414.36884772864</v>
      </c>
      <c r="J13" s="45" t="n">
        <f aca="false">J10+J12</f>
        <v>665.229987975168</v>
      </c>
      <c r="K13" s="45" t="n">
        <f aca="false">K10+K12</f>
        <v>718.448387013182</v>
      </c>
      <c r="L13" s="45" t="n">
        <f aca="false">L10+L12</f>
        <v>761.555290233973</v>
      </c>
      <c r="M13" s="45" t="n">
        <f aca="false">M10+M12</f>
        <v>799.633054745671</v>
      </c>
    </row>
    <row r="14" customFormat="false" ht="15" hidden="false" customHeight="false" outlineLevel="0" collapsed="false">
      <c r="B14" s="5" t="s">
        <v>211</v>
      </c>
      <c r="C14" s="36" t="n">
        <f aca="false">C13/C7</f>
        <v>-0.262422124297219</v>
      </c>
      <c r="D14" s="36" t="n">
        <f aca="false">D13/D7</f>
        <v>-0.16</v>
      </c>
      <c r="E14" s="36" t="n">
        <f aca="false">E13/E7</f>
        <v>-0.103333333333333</v>
      </c>
      <c r="F14" s="36" t="n">
        <f aca="false">F13/F7</f>
        <v>-0.0466666666666667</v>
      </c>
      <c r="G14" s="36" t="n">
        <f aca="false">G13/G7</f>
        <v>0.01</v>
      </c>
      <c r="H14" s="36" t="n">
        <f aca="false">H13/H7</f>
        <v>0.0666666666666667</v>
      </c>
      <c r="I14" s="36" t="n">
        <f aca="false">I13/I7</f>
        <v>0.123333333333333</v>
      </c>
      <c r="J14" s="36" t="n">
        <f aca="false">J13/J7</f>
        <v>0.18</v>
      </c>
      <c r="K14" s="36" t="n">
        <f aca="false">K13/K7</f>
        <v>0.18</v>
      </c>
      <c r="L14" s="36" t="n">
        <f aca="false">L13/L7</f>
        <v>0.18</v>
      </c>
      <c r="M14" s="36" t="n">
        <f aca="false">M13/M7</f>
        <v>0.18</v>
      </c>
    </row>
    <row r="15" customFormat="false" ht="15" hidden="false" customHeight="false" outlineLevel="0" collapsed="false">
      <c r="B15" s="5" t="s">
        <v>212</v>
      </c>
      <c r="D15" s="42" t="n">
        <f aca="false">-MAX(0,D13)*tax</f>
        <v>-0</v>
      </c>
      <c r="E15" s="42" t="n">
        <f aca="false">-MAX(0,E13)*tax</f>
        <v>-0</v>
      </c>
      <c r="F15" s="42" t="n">
        <f aca="false">-MAX(0,F13)*tax</f>
        <v>-0</v>
      </c>
      <c r="G15" s="42" t="n">
        <f aca="false">-MAX(0,G13)*tax</f>
        <v>-5.52590035200001</v>
      </c>
      <c r="H15" s="42" t="n">
        <f aca="false">-MAX(0,H13)*tax</f>
        <v>-41.9968426752</v>
      </c>
      <c r="I15" s="42" t="n">
        <f aca="false">-MAX(0,I13)*tax</f>
        <v>-87.0174580230144</v>
      </c>
      <c r="J15" s="42" t="n">
        <f aca="false">-MAX(0,J13)*tax</f>
        <v>-139.698297474785</v>
      </c>
      <c r="K15" s="42" t="n">
        <f aca="false">-MAX(0,K13)*tax</f>
        <v>-150.874161272768</v>
      </c>
      <c r="L15" s="42" t="n">
        <f aca="false">-MAX(0,L13)*tax</f>
        <v>-159.926610949134</v>
      </c>
      <c r="M15" s="42" t="n">
        <f aca="false">-MAX(0,M13)*tax</f>
        <v>-167.922941496591</v>
      </c>
    </row>
    <row r="16" customFormat="false" ht="15" hidden="false" customHeight="false" outlineLevel="0" collapsed="false">
      <c r="B16" s="5" t="s">
        <v>213</v>
      </c>
      <c r="D16" s="42" t="n">
        <f aca="false">D13+D15</f>
        <v>-256.32</v>
      </c>
      <c r="E16" s="42" t="n">
        <f aca="false">E13+E15</f>
        <v>-198.648</v>
      </c>
      <c r="F16" s="42" t="n">
        <f aca="false">F13+F15</f>
        <v>-105.86016</v>
      </c>
      <c r="G16" s="42" t="n">
        <f aca="false">G13+G15</f>
        <v>20.787910848</v>
      </c>
      <c r="H16" s="42" t="n">
        <f aca="false">H13+H15</f>
        <v>157.9881224448</v>
      </c>
      <c r="I16" s="42" t="n">
        <f aca="false">I13+I15</f>
        <v>327.351389705626</v>
      </c>
      <c r="J16" s="42" t="n">
        <f aca="false">J13+J15</f>
        <v>525.531690500383</v>
      </c>
      <c r="K16" s="42" t="n">
        <f aca="false">K13+K15</f>
        <v>567.574225740414</v>
      </c>
      <c r="L16" s="42" t="n">
        <f aca="false">L13+L15</f>
        <v>601.628679284838</v>
      </c>
      <c r="M16" s="42" t="n">
        <f aca="false">M13+M15</f>
        <v>631.71011324908</v>
      </c>
    </row>
    <row r="17" customFormat="false" ht="15" hidden="false" customHeight="false" outlineLevel="0" collapsed="false">
      <c r="B17" s="5" t="s">
        <v>214</v>
      </c>
      <c r="D17" s="42" t="n">
        <f aca="false">D7*da</f>
        <v>48.06</v>
      </c>
      <c r="E17" s="42" t="n">
        <f aca="false">E7*da</f>
        <v>57.672</v>
      </c>
      <c r="F17" s="42" t="n">
        <f aca="false">F7*da</f>
        <v>68.05296</v>
      </c>
      <c r="G17" s="42" t="n">
        <f aca="false">G7*da</f>
        <v>78.9414336</v>
      </c>
      <c r="H17" s="42" t="n">
        <f aca="false">H7*da</f>
        <v>89.993234304</v>
      </c>
      <c r="I17" s="42" t="n">
        <f aca="false">I7*da</f>
        <v>100.79242242048</v>
      </c>
      <c r="J17" s="42" t="n">
        <f aca="false">J7*da</f>
        <v>110.871664662528</v>
      </c>
      <c r="K17" s="42" t="n">
        <f aca="false">K7*da</f>
        <v>119.74139783553</v>
      </c>
      <c r="L17" s="42" t="n">
        <f aca="false">L7*da</f>
        <v>126.925881705662</v>
      </c>
      <c r="M17" s="42" t="n">
        <f aca="false">M7*da</f>
        <v>133.272175790945</v>
      </c>
    </row>
    <row r="18" customFormat="false" ht="15" hidden="false" customHeight="false" outlineLevel="0" collapsed="false">
      <c r="B18" s="5" t="s">
        <v>215</v>
      </c>
      <c r="D18" s="42" t="n">
        <f aca="false">-D7*capex</f>
        <v>-48.06</v>
      </c>
      <c r="E18" s="42" t="n">
        <f aca="false">-E7*capex</f>
        <v>-57.672</v>
      </c>
      <c r="F18" s="42" t="n">
        <f aca="false">-F7*capex</f>
        <v>-68.05296</v>
      </c>
      <c r="G18" s="42" t="n">
        <f aca="false">-G7*capex</f>
        <v>-78.9414336</v>
      </c>
      <c r="H18" s="42" t="n">
        <f aca="false">-H7*capex</f>
        <v>-89.993234304</v>
      </c>
      <c r="I18" s="42" t="n">
        <f aca="false">-I7*capex</f>
        <v>-100.79242242048</v>
      </c>
      <c r="J18" s="42" t="n">
        <f aca="false">-J7*capex</f>
        <v>-110.871664662528</v>
      </c>
      <c r="K18" s="42" t="n">
        <f aca="false">-K7*capex</f>
        <v>-119.74139783553</v>
      </c>
      <c r="L18" s="42" t="n">
        <f aca="false">-L7*capex</f>
        <v>-126.925881705662</v>
      </c>
      <c r="M18" s="42" t="n">
        <f aca="false">-M7*capex</f>
        <v>-133.272175790945</v>
      </c>
    </row>
    <row r="19" customFormat="false" ht="15" hidden="false" customHeight="false" outlineLevel="0" collapsed="false">
      <c r="B19" s="5" t="s">
        <v>216</v>
      </c>
      <c r="D19" s="42" t="n">
        <f aca="false">(D7-C7)*nwc</f>
        <v>114.32</v>
      </c>
      <c r="E19" s="42" t="n">
        <f aca="false">(E7-D7)*nwc</f>
        <v>128.16</v>
      </c>
      <c r="F19" s="42" t="n">
        <f aca="false">(F7-E7)*nwc</f>
        <v>138.4128</v>
      </c>
      <c r="G19" s="42" t="n">
        <f aca="false">(G7-F7)*nwc</f>
        <v>145.179648</v>
      </c>
      <c r="H19" s="42" t="n">
        <f aca="false">(H7-G7)*nwc</f>
        <v>147.35734272</v>
      </c>
      <c r="I19" s="42" t="n">
        <f aca="false">(I7-H7)*nwc</f>
        <v>143.9891748864</v>
      </c>
      <c r="J19" s="42" t="n">
        <f aca="false">(J7-I7)*nwc</f>
        <v>134.38989656064</v>
      </c>
      <c r="K19" s="42" t="n">
        <f aca="false">(K7-J7)*nwc</f>
        <v>118.263108973363</v>
      </c>
      <c r="L19" s="42" t="n">
        <f aca="false">(L7-K7)*nwc</f>
        <v>95.7931182684242</v>
      </c>
      <c r="M19" s="42" t="n">
        <f aca="false">(M7-L7)*nwc</f>
        <v>84.6172544704416</v>
      </c>
    </row>
    <row r="20" customFormat="false" ht="15" hidden="false" customHeight="false" outlineLevel="0" collapsed="false">
      <c r="B20" s="43" t="s">
        <v>217</v>
      </c>
      <c r="C20" s="46"/>
      <c r="D20" s="47" t="n">
        <f aca="false">D16+D17+D18+D19</f>
        <v>-142</v>
      </c>
      <c r="E20" s="47" t="n">
        <f aca="false">E16+E17+E18+E19</f>
        <v>-70.4880000000001</v>
      </c>
      <c r="F20" s="47" t="n">
        <f aca="false">F16+F17+F18+F19</f>
        <v>32.55264</v>
      </c>
      <c r="G20" s="47" t="n">
        <f aca="false">G16+G17+G18+G19</f>
        <v>165.967558848</v>
      </c>
      <c r="H20" s="47" t="n">
        <f aca="false">H16+H17+H18+H19</f>
        <v>305.3454651648</v>
      </c>
      <c r="I20" s="47" t="n">
        <f aca="false">I16+I17+I18+I19</f>
        <v>471.340564592026</v>
      </c>
      <c r="J20" s="47" t="n">
        <f aca="false">J16+J17+J18+J19</f>
        <v>659.921587061023</v>
      </c>
      <c r="K20" s="47" t="n">
        <f aca="false">K16+K17+K18+K19</f>
        <v>685.837334713777</v>
      </c>
      <c r="L20" s="47" t="n">
        <f aca="false">L16+L17+L18+L19</f>
        <v>697.421797553263</v>
      </c>
      <c r="M20" s="47" t="n">
        <f aca="false">M16+M17+M18+M19</f>
        <v>716.327367719522</v>
      </c>
    </row>
    <row r="21" customFormat="false" ht="15" hidden="false" customHeight="false" outlineLevel="0" collapsed="false">
      <c r="B21" s="5" t="s">
        <v>218</v>
      </c>
      <c r="D21" s="36" t="n">
        <f aca="false">D20/D7</f>
        <v>-0.0886392009987516</v>
      </c>
      <c r="E21" s="36" t="n">
        <f aca="false">E20/E7</f>
        <v>-0.0366666666666667</v>
      </c>
      <c r="F21" s="36" t="n">
        <f aca="false">F20/F7</f>
        <v>0.0143502824858757</v>
      </c>
      <c r="G21" s="36" t="n">
        <f aca="false">G20/G7</f>
        <v>0.0630724137931034</v>
      </c>
      <c r="H21" s="36" t="n">
        <f aca="false">H20/H7</f>
        <v>0.101789473684211</v>
      </c>
      <c r="I21" s="36" t="n">
        <f aca="false">I20/I7</f>
        <v>0.140290476190476</v>
      </c>
      <c r="J21" s="36" t="n">
        <f aca="false">J20/J7</f>
        <v>0.178563636363636</v>
      </c>
      <c r="K21" s="36" t="n">
        <f aca="false">K20/K7</f>
        <v>0.17182962962963</v>
      </c>
      <c r="L21" s="36" t="n">
        <f aca="false">L20/L7</f>
        <v>0.164841509433962</v>
      </c>
      <c r="M21" s="36" t="n">
        <f aca="false">M20/M7</f>
        <v>0.161247619047619</v>
      </c>
    </row>
    <row r="23" customFormat="false" ht="15" hidden="false" customHeight="false" outlineLevel="0" collapsed="false">
      <c r="B23" s="5" t="s">
        <v>219</v>
      </c>
      <c r="D23" s="42" t="n">
        <f aca="false">D20-D12</f>
        <v>210.44</v>
      </c>
      <c r="E23" s="42" t="n">
        <f aca="false">E20-E12</f>
        <v>313.992</v>
      </c>
      <c r="F23" s="42" t="n">
        <f aca="false">F20-F12</f>
        <v>440.8704</v>
      </c>
      <c r="G23" s="42" t="n">
        <f aca="false">G20-G12</f>
        <v>586.988538048</v>
      </c>
      <c r="H23" s="42" t="n">
        <f aca="false">H20-H12</f>
        <v>725.3138919168</v>
      </c>
      <c r="I23" s="42" t="n">
        <f aca="false">I20-I12</f>
        <v>874.510254273946</v>
      </c>
      <c r="J23" s="42" t="n">
        <f aca="false">J20-J12</f>
        <v>1029.49380260278</v>
      </c>
      <c r="K23" s="42" t="n">
        <f aca="false">K20-K12</f>
        <v>1084.97532749888</v>
      </c>
      <c r="L23" s="42" t="n">
        <f aca="false">L20-L12</f>
        <v>1120.50806990547</v>
      </c>
      <c r="M23" s="42" t="n">
        <f aca="false">M20-M12</f>
        <v>1160.56795368934</v>
      </c>
    </row>
    <row r="24" customFormat="false" ht="15" hidden="false" customHeight="false" outlineLevel="0" collapsed="false">
      <c r="B24" s="5" t="s">
        <v>220</v>
      </c>
      <c r="D24" s="48" t="n">
        <f aca="false">MAX(0,(D$5-val_date)/365.25-0.5)</f>
        <v>0.272073921971253</v>
      </c>
      <c r="E24" s="48" t="n">
        <f aca="false">MAX(0,(E$5-val_date)/365.25-0.5)</f>
        <v>1.27138945927447</v>
      </c>
      <c r="F24" s="48" t="n">
        <f aca="false">MAX(0,(F$5-val_date)/365.25-0.5)</f>
        <v>2.27344284736482</v>
      </c>
      <c r="G24" s="48" t="n">
        <f aca="false">MAX(0,(G$5-val_date)/365.25-0.5)</f>
        <v>3.27275838466804</v>
      </c>
      <c r="H24" s="48" t="n">
        <f aca="false">MAX(0,(H$5-val_date)/365.25-0.5)</f>
        <v>4.27207392197125</v>
      </c>
      <c r="I24" s="48" t="n">
        <f aca="false">MAX(0,(I$5-val_date)/365.25-0.5)</f>
        <v>5.27138945927447</v>
      </c>
      <c r="J24" s="48" t="n">
        <f aca="false">MAX(0,(J$5-val_date)/365.25-0.5)</f>
        <v>6.27344284736482</v>
      </c>
      <c r="K24" s="48" t="n">
        <f aca="false">MAX(0,(K$5-val_date)/365.25-0.5)</f>
        <v>7.27275838466804</v>
      </c>
      <c r="L24" s="48" t="n">
        <f aca="false">MAX(0,(L$5-val_date)/365.25-0.5)</f>
        <v>8.27207392197125</v>
      </c>
      <c r="M24" s="48" t="n">
        <f aca="false">MAX(0,(M$5-val_date)/365.25-0.5)</f>
        <v>9.27138945927447</v>
      </c>
    </row>
    <row r="25" customFormat="false" ht="15" hidden="false" customHeight="false" outlineLevel="0" collapsed="false">
      <c r="B25" s="5" t="s">
        <v>221</v>
      </c>
      <c r="D25" s="49" t="n">
        <f aca="false">1/(1+wacc)^D24</f>
        <v>0.969909734029491</v>
      </c>
      <c r="E25" s="49" t="n">
        <f aca="false">1/(1+wacc)^E24</f>
        <v>0.866953956430531</v>
      </c>
      <c r="F25" s="49" t="n">
        <f aca="false">1/(1+wacc)^F24</f>
        <v>0.77468870950825</v>
      </c>
      <c r="G25" s="49" t="n">
        <f aca="false">1/(1+wacc)^G24</f>
        <v>0.692455615348859</v>
      </c>
      <c r="H25" s="49" t="n">
        <f aca="false">1/(1+wacc)^H24</f>
        <v>0.61895155220803</v>
      </c>
      <c r="I25" s="49" t="n">
        <f aca="false">1/(1+wacc)^I24</f>
        <v>0.553249934709134</v>
      </c>
      <c r="J25" s="49" t="n">
        <f aca="false">1/(1+wacc)^J24</f>
        <v>0.494370519652489</v>
      </c>
      <c r="K25" s="49" t="n">
        <f aca="false">1/(1+wacc)^K24</f>
        <v>0.441893160691086</v>
      </c>
      <c r="L25" s="49" t="n">
        <f aca="false">1/(1+wacc)^L24</f>
        <v>0.394986265772523</v>
      </c>
      <c r="M25" s="49" t="n">
        <f aca="false">1/(1+wacc)^M24</f>
        <v>0.353058530946548</v>
      </c>
    </row>
    <row r="26" customFormat="false" ht="15" hidden="false" customHeight="false" outlineLevel="0" collapsed="false">
      <c r="B26" s="43" t="s">
        <v>222</v>
      </c>
      <c r="C26" s="46"/>
      <c r="D26" s="47" t="n">
        <f aca="false">D20*D25</f>
        <v>-137.727182232188</v>
      </c>
      <c r="E26" s="47" t="n">
        <f aca="false">E20*E25</f>
        <v>-61.1098504808753</v>
      </c>
      <c r="F26" s="47" t="n">
        <f aca="false">F20*F25</f>
        <v>25.2181626726866</v>
      </c>
      <c r="G26" s="47" t="n">
        <f aca="false">G20*G25</f>
        <v>114.92516809004</v>
      </c>
      <c r="H26" s="47" t="n">
        <f aca="false">H20*H25</f>
        <v>188.994049623436</v>
      </c>
      <c r="I26" s="47" t="n">
        <f aca="false">I20*I25</f>
        <v>260.769136586305</v>
      </c>
      <c r="J26" s="47" t="n">
        <f aca="false">J20*J25</f>
        <v>326.245777925253</v>
      </c>
      <c r="K26" s="47" t="n">
        <f aca="false">K20*K25</f>
        <v>303.066827556621</v>
      </c>
      <c r="L26" s="47" t="n">
        <f aca="false">L20*L25</f>
        <v>275.472031483924</v>
      </c>
      <c r="M26" s="47" t="n">
        <f aca="false">M20*M25</f>
        <v>252.905488123862</v>
      </c>
    </row>
    <row r="28" customFormat="false" ht="15" hidden="false" customHeight="false" outlineLevel="0" collapsed="false">
      <c r="B28" s="6" t="s">
        <v>223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customFormat="false" ht="15" hidden="false" customHeight="false" outlineLevel="0" collapsed="false">
      <c r="B29" s="5" t="s">
        <v>224</v>
      </c>
      <c r="D29" s="35" t="n">
        <f aca="false">D7</f>
        <v>1602</v>
      </c>
      <c r="E29" s="26" t="n">
        <f aca="false">gd_rev</f>
        <v>1602</v>
      </c>
      <c r="F29" s="5" t="str">
        <f aca="false">IF(AND(D29&gt;=gd_rev_lo,D29&lt;=gd_rev_hi),"In range","Outside")</f>
        <v>In range</v>
      </c>
    </row>
    <row r="30" customFormat="false" ht="15" hidden="false" customHeight="false" outlineLevel="0" collapsed="false">
      <c r="B30" s="5" t="s">
        <v>225</v>
      </c>
      <c r="D30" s="35" t="n">
        <f aca="false">D23+int_inc</f>
        <v>260.44</v>
      </c>
      <c r="E30" s="26" t="n">
        <f aca="false">gd_fcf</f>
        <v>270</v>
      </c>
      <c r="F30" s="5" t="str">
        <f aca="false">IF(AND(D30&gt;=gd_fcf_lo-25,D30&lt;=gd_fcf_hi+25),"Within $25mn","Recalibrate")</f>
        <v>Within $25mn</v>
      </c>
    </row>
    <row r="32" customFormat="false" ht="15" hidden="false" customHeight="false" outlineLevel="0" collapsed="false">
      <c r="B32" s="6" t="s">
        <v>226</v>
      </c>
      <c r="C32" s="3"/>
      <c r="D32" s="3"/>
      <c r="E32" s="3"/>
    </row>
    <row r="33" customFormat="false" ht="15" hidden="false" customHeight="false" outlineLevel="0" collapsed="false">
      <c r="B33" s="5" t="s">
        <v>227</v>
      </c>
      <c r="C33" s="36" t="n">
        <f aca="false">rf+beta*erp</f>
        <v>0.126</v>
      </c>
    </row>
    <row r="34" customFormat="false" ht="15" hidden="false" customHeight="false" outlineLevel="0" collapsed="false">
      <c r="B34" s="5" t="s">
        <v>228</v>
      </c>
      <c r="C34" s="36" t="n">
        <f aca="false">kd*(1-tax_w)</f>
        <v>0.0395</v>
      </c>
    </row>
    <row r="35" customFormat="false" ht="15" hidden="false" customHeight="false" outlineLevel="0" collapsed="false">
      <c r="B35" s="5" t="s">
        <v>229</v>
      </c>
      <c r="C35" s="35" t="n">
        <f aca="false">price*shares</f>
        <v>12532.64</v>
      </c>
    </row>
    <row r="36" customFormat="false" ht="15" hidden="false" customHeight="false" outlineLevel="0" collapsed="false">
      <c r="B36" s="5" t="s">
        <v>230</v>
      </c>
      <c r="C36" s="35" t="n">
        <f aca="false">debt</f>
        <v>1130.7</v>
      </c>
    </row>
    <row r="37" customFormat="false" ht="15" hidden="false" customHeight="false" outlineLevel="0" collapsed="false">
      <c r="B37" s="5" t="s">
        <v>231</v>
      </c>
      <c r="C37" s="36" t="n">
        <f aca="false">mcap/(mcap+debt)</f>
        <v>0.917245710053325</v>
      </c>
    </row>
    <row r="38" customFormat="false" ht="15" hidden="false" customHeight="false" outlineLevel="0" collapsed="false">
      <c r="B38" s="4" t="s">
        <v>18</v>
      </c>
      <c r="C38" s="50" t="n">
        <f aca="false">we*ke+(1-we)*kd_at</f>
        <v>0.118841753919613</v>
      </c>
    </row>
    <row r="40" customFormat="false" ht="15" hidden="false" customHeight="false" outlineLevel="0" collapsed="false">
      <c r="B40" s="6" t="s">
        <v>232</v>
      </c>
      <c r="C40" s="3"/>
      <c r="D40" s="3"/>
      <c r="E40" s="3"/>
    </row>
    <row r="41" customFormat="false" ht="15" hidden="false" customHeight="false" outlineLevel="0" collapsed="false">
      <c r="B41" s="5" t="s">
        <v>233</v>
      </c>
      <c r="C41" s="35" t="n">
        <f aca="false">SUM(D26:M26)</f>
        <v>1548.75960934906</v>
      </c>
    </row>
    <row r="42" customFormat="false" ht="15" hidden="false" customHeight="false" outlineLevel="0" collapsed="false">
      <c r="B42" s="5" t="s">
        <v>234</v>
      </c>
      <c r="C42" s="35" t="n">
        <f aca="false">M20*(1+g)/(wacc-g)</f>
        <v>8842.83535266399</v>
      </c>
    </row>
    <row r="43" customFormat="false" ht="15" hidden="false" customHeight="false" outlineLevel="0" collapsed="false">
      <c r="B43" s="5" t="s">
        <v>235</v>
      </c>
      <c r="C43" s="35" t="n">
        <f aca="false">tv/(1+wacc)^(M24+0.5)</f>
        <v>2951.57563040801</v>
      </c>
    </row>
    <row r="44" customFormat="false" ht="15" hidden="false" customHeight="false" outlineLevel="0" collapsed="false">
      <c r="B44" s="4" t="s">
        <v>236</v>
      </c>
      <c r="C44" s="35" t="n">
        <f aca="false">sum_pv+pv_tv</f>
        <v>4500.33523975708</v>
      </c>
    </row>
    <row r="45" customFormat="false" ht="15" hidden="false" customHeight="false" outlineLevel="0" collapsed="false">
      <c r="B45" s="5" t="s">
        <v>237</v>
      </c>
      <c r="C45" s="35" t="n">
        <f aca="false">cash</f>
        <v>1675.8</v>
      </c>
    </row>
    <row r="46" customFormat="false" ht="15" hidden="false" customHeight="false" outlineLevel="0" collapsed="false">
      <c r="B46" s="5" t="s">
        <v>238</v>
      </c>
      <c r="C46" s="35" t="n">
        <f aca="false">-debt</f>
        <v>-1130.7</v>
      </c>
    </row>
    <row r="47" customFormat="false" ht="15" hidden="false" customHeight="false" outlineLevel="0" collapsed="false">
      <c r="B47" s="4" t="s">
        <v>239</v>
      </c>
      <c r="C47" s="35" t="n">
        <f aca="false">ev+cash-debt</f>
        <v>5045.43523975708</v>
      </c>
    </row>
    <row r="48" customFormat="false" ht="15" hidden="false" customHeight="false" outlineLevel="0" collapsed="false">
      <c r="B48" s="5" t="s">
        <v>101</v>
      </c>
      <c r="C48" s="42" t="n">
        <f aca="false">shares</f>
        <v>232</v>
      </c>
    </row>
    <row r="49" customFormat="false" ht="15" hidden="false" customHeight="false" outlineLevel="0" collapsed="false">
      <c r="B49" s="4" t="s">
        <v>240</v>
      </c>
      <c r="C49" s="51" t="n">
        <f aca="false">eqv/shares</f>
        <v>21.7475656886081</v>
      </c>
    </row>
    <row r="50" customFormat="false" ht="15" hidden="false" customHeight="false" outlineLevel="0" collapsed="false">
      <c r="B50" s="5" t="s">
        <v>15</v>
      </c>
      <c r="C50" s="52" t="n">
        <f aca="false">price</f>
        <v>54.02</v>
      </c>
    </row>
    <row r="51" customFormat="false" ht="15" hidden="false" customHeight="false" outlineLevel="0" collapsed="false">
      <c r="B51" s="5" t="s">
        <v>16</v>
      </c>
      <c r="C51" s="36" t="n">
        <f aca="false">vps/price-1</f>
        <v>-0.597416407097221</v>
      </c>
    </row>
    <row r="52" customFormat="false" ht="15" hidden="false" customHeight="false" outlineLevel="0" collapsed="false">
      <c r="B52" s="5" t="s">
        <v>241</v>
      </c>
      <c r="C52" s="36" t="n">
        <f aca="false">pv_tv/ev</f>
        <v>0.655856835804823</v>
      </c>
    </row>
    <row r="53" customFormat="false" ht="15" hidden="false" customHeight="false" outlineLevel="0" collapsed="false">
      <c r="B53" s="5" t="s">
        <v>242</v>
      </c>
      <c r="C53" s="53" t="n">
        <f aca="false">ev/D7</f>
        <v>2.80919802731403</v>
      </c>
    </row>
    <row r="54" customFormat="false" ht="15" hidden="false" customHeight="false" outlineLevel="0" collapsed="false">
      <c r="B54" s="5" t="s">
        <v>243</v>
      </c>
      <c r="C54" s="52" t="n">
        <f aca="false">(ev-SUMPRODUCT(D12:M12,D25:M25)-M12*(1+g)/(wacc-g)/(1+wacc)^(M24+0.5)+cash-debt)/shares</f>
        <v>40.1937395592073</v>
      </c>
      <c r="D54" s="17" t="s">
        <v>244</v>
      </c>
    </row>
    <row r="56" customFormat="false" ht="15" hidden="false" customHeight="false" outlineLevel="0" collapsed="false">
      <c r="B56" s="6" t="s">
        <v>245</v>
      </c>
      <c r="C56" s="3"/>
      <c r="D56" s="3"/>
      <c r="E56" s="3"/>
    </row>
    <row r="57" customFormat="false" ht="15" hidden="false" customHeight="false" outlineLevel="0" collapsed="false">
      <c r="B57" s="5" t="s">
        <v>246</v>
      </c>
      <c r="C57" s="35" t="n">
        <f aca="false">price*shares-cash+debt</f>
        <v>11987.54</v>
      </c>
    </row>
    <row r="58" customFormat="false" ht="15" hidden="false" customHeight="false" outlineLevel="0" collapsed="false">
      <c r="B58" s="5" t="s">
        <v>247</v>
      </c>
      <c r="C58" s="53" t="n">
        <f aca="false">mkt_ev/D7</f>
        <v>7.48285892634207</v>
      </c>
    </row>
    <row r="59" customFormat="false" ht="15" hidden="false" customHeight="false" outlineLevel="0" collapsed="false">
      <c r="B59" s="5" t="s">
        <v>248</v>
      </c>
      <c r="C59" s="35" t="n">
        <f aca="false">mkt_ev-sum_pv</f>
        <v>10438.7803906509</v>
      </c>
    </row>
    <row r="60" customFormat="false" ht="15" hidden="false" customHeight="false" outlineLevel="0" collapsed="false">
      <c r="B60" s="5" t="s">
        <v>249</v>
      </c>
      <c r="C60" s="35" t="n">
        <f aca="false">req_pvtv*(1+wacc)^(M24+0.5)</f>
        <v>31274.2845977433</v>
      </c>
    </row>
    <row r="61" customFormat="false" ht="15" hidden="false" customHeight="false" outlineLevel="0" collapsed="false">
      <c r="B61" s="5" t="s">
        <v>250</v>
      </c>
      <c r="C61" s="36" t="n">
        <f aca="false">(req_tv*wacc-M20)/(req_tv+M20)</f>
        <v>0.0937888737388525</v>
      </c>
    </row>
    <row r="62" customFormat="false" ht="15" hidden="false" customHeight="false" outlineLevel="0" collapsed="false">
      <c r="B62" s="5" t="s">
        <v>251</v>
      </c>
      <c r="C62" s="36" t="n">
        <f aca="false">Sensitivity!C26</f>
        <v>0.595931215132739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4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2"/>
    <col collapsed="false" customWidth="true" hidden="false" outlineLevel="0" max="18" min="9" style="0" width="10"/>
  </cols>
  <sheetData>
    <row r="1" customFormat="false" ht="16.15" hidden="false" customHeight="false" outlineLevel="0" collapsed="false">
      <c r="B1" s="1" t="s">
        <v>32</v>
      </c>
    </row>
    <row r="2" customFormat="false" ht="15" hidden="false" customHeight="false" outlineLevel="0" collapsed="false">
      <c r="B2" s="2" t="s">
        <v>252</v>
      </c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B4" s="5" t="s">
        <v>253</v>
      </c>
      <c r="C4" s="31" t="n">
        <v>0.01</v>
      </c>
    </row>
    <row r="5" customFormat="false" ht="15" hidden="false" customHeight="false" outlineLevel="0" collapsed="false">
      <c r="B5" s="5" t="s">
        <v>254</v>
      </c>
      <c r="C5" s="31" t="n">
        <v>0.04</v>
      </c>
    </row>
    <row r="6" customFormat="false" ht="15" hidden="false" customHeight="false" outlineLevel="0" collapsed="false">
      <c r="B6" s="5" t="s">
        <v>255</v>
      </c>
      <c r="C6" s="31" t="n">
        <v>0.005</v>
      </c>
    </row>
    <row r="8" customFormat="false" ht="15" hidden="false" customHeight="false" outlineLevel="0" collapsed="false">
      <c r="B8" s="6" t="s">
        <v>256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B9" s="4" t="s">
        <v>257</v>
      </c>
      <c r="C9" s="54" t="n">
        <f aca="false">wacc+(-2)*$C$4</f>
        <v>0.0988417539196126</v>
      </c>
      <c r="D9" s="54" t="n">
        <f aca="false">wacc+(-1)*$C$4</f>
        <v>0.108841753919613</v>
      </c>
      <c r="E9" s="54" t="n">
        <f aca="false">wacc+(0)*$C$4</f>
        <v>0.118841753919613</v>
      </c>
      <c r="F9" s="54" t="n">
        <f aca="false">wacc+(1)*$C$4</f>
        <v>0.128841753919613</v>
      </c>
      <c r="G9" s="54" t="n">
        <f aca="false">wacc+(2)*$C$4</f>
        <v>0.138841753919613</v>
      </c>
    </row>
    <row r="10" customFormat="false" ht="15" hidden="false" customHeight="false" outlineLevel="0" collapsed="false">
      <c r="B10" s="54" t="n">
        <f aca="false">m_lr+(-2)*$C$5</f>
        <v>0.2</v>
      </c>
      <c r="C10" s="52" t="n">
        <f aca="false">(SUMPRODUCT($I40:$R40,(1+C$9)^(-DCF!$D$24:$M$24))+$R40*(1+g)/(C$9-g)/(1+C$9)^(DCF!$M$24+0.5)+cash-debt)/shares</f>
        <v>18.4955799754735</v>
      </c>
      <c r="D10" s="52" t="n">
        <f aca="false">(SUMPRODUCT($I40:$R40,(1+D$9)^(-DCF!$D$24:$M$24))+$R40*(1+g)/(D$9-g)/(1+D$9)^(DCF!$M$24+0.5)+cash-debt)/shares</f>
        <v>15.6722685517365</v>
      </c>
      <c r="E10" s="52" t="n">
        <f aca="false">(SUMPRODUCT($I40:$R40,(1+E$9)^(-DCF!$D$24:$M$24))+$R40*(1+g)/(E$9-g)/(1+E$9)^(DCF!$M$24+0.5)+cash-debt)/shares</f>
        <v>13.5458452256575</v>
      </c>
      <c r="F10" s="52" t="n">
        <f aca="false">(SUMPRODUCT($I40:$R40,(1+F$9)^(-DCF!$D$24:$M$24))+$R40*(1+g)/(F$9-g)/(1+F$9)^(DCF!$M$24+0.5)+cash-debt)/shares</f>
        <v>11.8921127506955</v>
      </c>
      <c r="G10" s="52" t="n">
        <f aca="false">(SUMPRODUCT($I40:$R40,(1+G$9)^(-DCF!$D$24:$M$24))+$R40*(1+g)/(G$9-g)/(1+G$9)^(DCF!$M$24+0.5)+cash-debt)/shares</f>
        <v>10.5733528436627</v>
      </c>
    </row>
    <row r="11" customFormat="false" ht="15" hidden="false" customHeight="false" outlineLevel="0" collapsed="false">
      <c r="B11" s="54" t="n">
        <f aca="false">m_lr+(-1)*$C$5</f>
        <v>0.24</v>
      </c>
      <c r="C11" s="52" t="n">
        <f aca="false">(SUMPRODUCT($I41:$R41,(1+C$9)^(-DCF!$D$24:$M$24))+$R41*(1+g)/(C$9-g)/(1+C$9)^(DCF!$M$24+0.5)+cash-debt)/shares</f>
        <v>24.2052624807504</v>
      </c>
      <c r="D11" s="52" t="n">
        <f aca="false">(SUMPRODUCT($I41:$R41,(1+D$9)^(-DCF!$D$24:$M$24))+$R41*(1+g)/(D$9-g)/(1+D$9)^(DCF!$M$24+0.5)+cash-debt)/shares</f>
        <v>20.4694347286473</v>
      </c>
      <c r="E11" s="52" t="n">
        <f aca="false">(SUMPRODUCT($I41:$R41,(1+E$9)^(-DCF!$D$24:$M$24))+$R41*(1+g)/(E$9-g)/(1+E$9)^(DCF!$M$24+0.5)+cash-debt)/shares</f>
        <v>17.6549520966341</v>
      </c>
      <c r="F11" s="52" t="n">
        <f aca="false">(SUMPRODUCT($I41:$R41,(1+F$9)^(-DCF!$D$24:$M$24))+$R41*(1+g)/(F$9-g)/(1+F$9)^(DCF!$M$24+0.5)+cash-debt)/shares</f>
        <v>15.4653802545074</v>
      </c>
      <c r="G11" s="52" t="n">
        <f aca="false">(SUMPRODUCT($I41:$R41,(1+G$9)^(-DCF!$D$24:$M$24))+$R41*(1+g)/(G$9-g)/(1+G$9)^(DCF!$M$24+0.5)+cash-debt)/shares</f>
        <v>13.718633302531</v>
      </c>
    </row>
    <row r="12" customFormat="false" ht="15" hidden="false" customHeight="false" outlineLevel="0" collapsed="false">
      <c r="B12" s="54" t="n">
        <f aca="false">m_lr+(0)*$C$5</f>
        <v>0.28</v>
      </c>
      <c r="C12" s="52" t="n">
        <f aca="false">(SUMPRODUCT($I42:$R42,(1+C$9)^(-DCF!$D$24:$M$24))+$R42*(1+g)/(C$9-g)/(1+C$9)^(DCF!$M$24+0.5)+cash-debt)/shares</f>
        <v>29.8974487673732</v>
      </c>
      <c r="D12" s="52" t="n">
        <f aca="false">(SUMPRODUCT($I42:$R42,(1+D$9)^(-DCF!$D$24:$M$24))+$R42*(1+g)/(D$9-g)/(1+D$9)^(DCF!$M$24+0.5)+cash-debt)/shares</f>
        <v>25.2496158176455</v>
      </c>
      <c r="E12" s="51" t="n">
        <f aca="false">(SUMPRODUCT($I42:$R42,(1+E$9)^(-DCF!$D$24:$M$24))+$R42*(1+g)/(E$9-g)/(1+E$9)^(DCF!$M$24+0.5)+cash-debt)/shares</f>
        <v>21.7475656886081</v>
      </c>
      <c r="F12" s="52" t="n">
        <f aca="false">(SUMPRODUCT($I42:$R42,(1+F$9)^(-DCF!$D$24:$M$24))+$R42*(1+g)/(F$9-g)/(1+F$9)^(DCF!$M$24+0.5)+cash-debt)/shares</f>
        <v>19.0226278598286</v>
      </c>
      <c r="G12" s="52" t="n">
        <f aca="false">(SUMPRODUCT($I42:$R42,(1+G$9)^(-DCF!$D$24:$M$24))+$R42*(1+g)/(G$9-g)/(1+G$9)^(DCF!$M$24+0.5)+cash-debt)/shares</f>
        <v>16.8483496597375</v>
      </c>
    </row>
    <row r="13" customFormat="false" ht="15" hidden="false" customHeight="false" outlineLevel="0" collapsed="false">
      <c r="B13" s="54" t="n">
        <f aca="false">m_lr+(1)*$C$5</f>
        <v>0.32</v>
      </c>
      <c r="C13" s="52" t="n">
        <f aca="false">(SUMPRODUCT($I43:$R43,(1+C$9)^(-DCF!$D$24:$M$24))+$R43*(1+g)/(C$9-g)/(1+C$9)^(DCF!$M$24+0.5)+cash-debt)/shares</f>
        <v>35.5721388353418</v>
      </c>
      <c r="D13" s="52" t="n">
        <f aca="false">(SUMPRODUCT($I43:$R43,(1+D$9)^(-DCF!$D$24:$M$24))+$R43*(1+g)/(D$9-g)/(1+D$9)^(DCF!$M$24+0.5)+cash-debt)/shares</f>
        <v>30.0128118187313</v>
      </c>
      <c r="E13" s="52" t="n">
        <f aca="false">(SUMPRODUCT($I43:$R43,(1+E$9)^(-DCF!$D$24:$M$24))+$R43*(1+g)/(E$9-g)/(1+E$9)^(DCF!$M$24+0.5)+cash-debt)/shares</f>
        <v>25.8236860015795</v>
      </c>
      <c r="F13" s="52" t="n">
        <f aca="false">(SUMPRODUCT($I43:$R43,(1+F$9)^(-DCF!$D$24:$M$24))+$R43*(1+g)/(F$9-g)/(1+F$9)^(DCF!$M$24+0.5)+cash-debt)/shares</f>
        <v>22.5638555666592</v>
      </c>
      <c r="G13" s="52" t="n">
        <f aca="false">(SUMPRODUCT($I43:$R43,(1+G$9)^(-DCF!$D$24:$M$24))+$R43*(1+g)/(G$9-g)/(1+G$9)^(DCF!$M$24+0.5)+cash-debt)/shares</f>
        <v>19.9625019152821</v>
      </c>
    </row>
    <row r="14" customFormat="false" ht="15" hidden="false" customHeight="false" outlineLevel="0" collapsed="false">
      <c r="B14" s="54" t="n">
        <f aca="false">m_lr+(2)*$C$5</f>
        <v>0.36</v>
      </c>
      <c r="C14" s="52" t="n">
        <f aca="false">(SUMPRODUCT($I44:$R44,(1+C$9)^(-DCF!$D$24:$M$24))+$R44*(1+g)/(C$9-g)/(1+C$9)^(DCF!$M$24+0.5)+cash-debt)/shares</f>
        <v>41.2468289033104</v>
      </c>
      <c r="D14" s="52" t="n">
        <f aca="false">(SUMPRODUCT($I44:$R44,(1+D$9)^(-DCF!$D$24:$M$24))+$R44*(1+g)/(D$9-g)/(1+D$9)^(DCF!$M$24+0.5)+cash-debt)/shares</f>
        <v>34.7760078198171</v>
      </c>
      <c r="E14" s="52" t="n">
        <f aca="false">(SUMPRODUCT($I44:$R44,(1+E$9)^(-DCF!$D$24:$M$24))+$R44*(1+g)/(E$9-g)/(1+E$9)^(DCF!$M$24+0.5)+cash-debt)/shares</f>
        <v>29.8998063145509</v>
      </c>
      <c r="F14" s="52" t="n">
        <f aca="false">(SUMPRODUCT($I44:$R44,(1+F$9)^(-DCF!$D$24:$M$24))+$R44*(1+g)/(F$9-g)/(1+F$9)^(DCF!$M$24+0.5)+cash-debt)/shares</f>
        <v>26.1050832734898</v>
      </c>
      <c r="G14" s="52" t="n">
        <f aca="false">(SUMPRODUCT($I44:$R44,(1+G$9)^(-DCF!$D$24:$M$24))+$R44*(1+g)/(G$9-g)/(1+G$9)^(DCF!$M$24+0.5)+cash-debt)/shares</f>
        <v>23.0766541708267</v>
      </c>
    </row>
    <row r="16" customFormat="false" ht="15" hidden="false" customHeight="false" outlineLevel="0" collapsed="false">
      <c r="B16" s="17" t="s">
        <v>258</v>
      </c>
      <c r="E16" s="55" t="n">
        <f aca="false">E12-vps</f>
        <v>0</v>
      </c>
    </row>
    <row r="18" customFormat="false" ht="15" hidden="false" customHeight="false" outlineLevel="0" collapsed="false">
      <c r="B18" s="6" t="s">
        <v>259</v>
      </c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B19" s="4" t="s">
        <v>257</v>
      </c>
      <c r="C19" s="54" t="n">
        <f aca="false">C9</f>
        <v>0.0988417539196126</v>
      </c>
      <c r="D19" s="54" t="n">
        <f aca="false">D9</f>
        <v>0.108841753919613</v>
      </c>
      <c r="E19" s="54" t="n">
        <f aca="false">E9</f>
        <v>0.118841753919613</v>
      </c>
      <c r="F19" s="54" t="n">
        <f aca="false">F9</f>
        <v>0.128841753919613</v>
      </c>
      <c r="G19" s="54" t="n">
        <f aca="false">G9</f>
        <v>0.138841753919613</v>
      </c>
    </row>
    <row r="20" customFormat="false" ht="15" hidden="false" customHeight="false" outlineLevel="0" collapsed="false">
      <c r="B20" s="54" t="n">
        <f aca="false">B10</f>
        <v>0.2</v>
      </c>
      <c r="C20" s="36" t="n">
        <f aca="false">C10/price-1</f>
        <v>-0.657616068576943</v>
      </c>
      <c r="D20" s="36" t="n">
        <f aca="false">D10/price-1</f>
        <v>-0.709880256354378</v>
      </c>
      <c r="E20" s="36" t="n">
        <f aca="false">E10/price-1</f>
        <v>-0.74924388697413</v>
      </c>
      <c r="F20" s="36" t="n">
        <f aca="false">F10/price-1</f>
        <v>-0.779857224163357</v>
      </c>
      <c r="G20" s="36" t="n">
        <f aca="false">G10/price-1</f>
        <v>-0.804269662279476</v>
      </c>
    </row>
    <row r="21" customFormat="false" ht="15" hidden="false" customHeight="false" outlineLevel="0" collapsed="false">
      <c r="B21" s="54" t="n">
        <f aca="false">B11</f>
        <v>0.24</v>
      </c>
      <c r="C21" s="36" t="n">
        <f aca="false">C11/price-1</f>
        <v>-0.551920353929092</v>
      </c>
      <c r="D21" s="36" t="n">
        <f aca="false">D11/price-1</f>
        <v>-0.62107673586362</v>
      </c>
      <c r="E21" s="36" t="n">
        <f aca="false">E11/price-1</f>
        <v>-0.673177488029728</v>
      </c>
      <c r="F21" s="36" t="n">
        <f aca="false">F11/price-1</f>
        <v>-0.713710102656287</v>
      </c>
      <c r="G21" s="36" t="n">
        <f aca="false">G11/price-1</f>
        <v>-0.746045292437412</v>
      </c>
    </row>
    <row r="22" customFormat="false" ht="15" hidden="false" customHeight="false" outlineLevel="0" collapsed="false">
      <c r="B22" s="54" t="n">
        <f aca="false">B12</f>
        <v>0.28</v>
      </c>
      <c r="C22" s="36" t="n">
        <f aca="false">C12/price-1</f>
        <v>-0.446548523373321</v>
      </c>
      <c r="D22" s="36" t="n">
        <f aca="false">D12/price-1</f>
        <v>-0.532587637585236</v>
      </c>
      <c r="E22" s="36" t="n">
        <f aca="false">E12/price-1</f>
        <v>-0.597416407097221</v>
      </c>
      <c r="F22" s="36" t="n">
        <f aca="false">F12/price-1</f>
        <v>-0.647859536100915</v>
      </c>
      <c r="G22" s="36" t="n">
        <f aca="false">G12/price-1</f>
        <v>-0.68810903999005</v>
      </c>
    </row>
    <row r="23" customFormat="false" ht="15" hidden="false" customHeight="false" outlineLevel="0" collapsed="false">
      <c r="B23" s="54" t="n">
        <f aca="false">B13</f>
        <v>0.32</v>
      </c>
      <c r="C23" s="36" t="n">
        <f aca="false">C13/price-1</f>
        <v>-0.34150057690963</v>
      </c>
      <c r="D23" s="36" t="n">
        <f aca="false">D13/price-1</f>
        <v>-0.444412961519228</v>
      </c>
      <c r="E23" s="36" t="n">
        <f aca="false">E13/price-1</f>
        <v>-0.521960644176611</v>
      </c>
      <c r="F23" s="36" t="n">
        <f aca="false">F13/price-1</f>
        <v>-0.582305524497238</v>
      </c>
      <c r="G23" s="36" t="n">
        <f aca="false">G13/price-1</f>
        <v>-0.630460904937392</v>
      </c>
    </row>
    <row r="24" customFormat="false" ht="15" hidden="false" customHeight="false" outlineLevel="0" collapsed="false">
      <c r="B24" s="54" t="n">
        <f aca="false">B14</f>
        <v>0.36</v>
      </c>
      <c r="C24" s="36" t="n">
        <f aca="false">C14/price-1</f>
        <v>-0.236452630445939</v>
      </c>
      <c r="D24" s="36" t="n">
        <f aca="false">D14/price-1</f>
        <v>-0.356238285453219</v>
      </c>
      <c r="E24" s="36" t="n">
        <f aca="false">E14/price-1</f>
        <v>-0.446504881256</v>
      </c>
      <c r="F24" s="36" t="n">
        <f aca="false">F14/price-1</f>
        <v>-0.516751512893562</v>
      </c>
      <c r="G24" s="36" t="n">
        <f aca="false">G14/price-1</f>
        <v>-0.572812769884734</v>
      </c>
    </row>
    <row r="26" customFormat="false" ht="15" hidden="false" customHeight="false" outlineLevel="0" collapsed="false">
      <c r="B26" s="4" t="s">
        <v>260</v>
      </c>
      <c r="C26" s="50" t="n">
        <f aca="false">FORECAST(price,B10:B14,E10:E14)</f>
        <v>0.595931215132739</v>
      </c>
    </row>
    <row r="28" customFormat="false" ht="15" hidden="false" customHeight="false" outlineLevel="0" collapsed="false">
      <c r="B28" s="6" t="s">
        <v>261</v>
      </c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B29" s="4" t="s">
        <v>262</v>
      </c>
      <c r="C29" s="54" t="n">
        <f aca="false">C9</f>
        <v>0.0988417539196126</v>
      </c>
      <c r="D29" s="54" t="n">
        <f aca="false">D9</f>
        <v>0.108841753919613</v>
      </c>
      <c r="E29" s="54" t="n">
        <f aca="false">E9</f>
        <v>0.118841753919613</v>
      </c>
      <c r="F29" s="54" t="n">
        <f aca="false">F9</f>
        <v>0.128841753919613</v>
      </c>
      <c r="G29" s="54" t="n">
        <f aca="false">G9</f>
        <v>0.138841753919613</v>
      </c>
    </row>
    <row r="30" customFormat="false" ht="15" hidden="false" customHeight="false" outlineLevel="0" collapsed="false">
      <c r="B30" s="54" t="n">
        <f aca="false">g+(-2)*$C$6</f>
        <v>0.025</v>
      </c>
      <c r="C30" s="52" t="n">
        <f aca="false">(SUMPRODUCT(DCF!$D$20:$M$20,(1+C$29)^(-DCF!$D$24:$M$24))+DCF!$M$20*(1+$B30)/(C$29-$B30)/(1+C$29)^(DCF!$M$24+0.5)+cash-debt)/shares</f>
        <v>27.0322248208293</v>
      </c>
      <c r="D30" s="52" t="n">
        <f aca="false">(SUMPRODUCT(DCF!$D$20:$M$20,(1+D$29)^(-DCF!$D$24:$M$24))+DCF!$M$20*(1+$B30)/(D$29-$B30)/(1+D$29)^(DCF!$M$24+0.5)+cash-debt)/shares</f>
        <v>23.2345338471855</v>
      </c>
      <c r="E30" s="52" t="n">
        <f aca="false">(SUMPRODUCT(DCF!$D$20:$M$20,(1+E$29)^(-DCF!$D$24:$M$24))+DCF!$M$20*(1+$B30)/(E$29-$B30)/(1+E$29)^(DCF!$M$24+0.5)+cash-debt)/shares</f>
        <v>20.2820241566168</v>
      </c>
      <c r="F30" s="52" t="n">
        <f aca="false">(SUMPRODUCT(DCF!$D$20:$M$20,(1+F$29)^(-DCF!$D$24:$M$24))+DCF!$M$20*(1+$B30)/(F$29-$B30)/(1+F$29)^(DCF!$M$24+0.5)+cash-debt)/shares</f>
        <v>17.9281919919664</v>
      </c>
      <c r="G30" s="52" t="n">
        <f aca="false">(SUMPRODUCT(DCF!$D$20:$M$20,(1+G$29)^(-DCF!$D$24:$M$24))+DCF!$M$20*(1+$B30)/(G$29-$B30)/(1+G$29)^(DCF!$M$24+0.5)+cash-debt)/shares</f>
        <v>16.0133473889935</v>
      </c>
    </row>
    <row r="31" customFormat="false" ht="15" hidden="false" customHeight="false" outlineLevel="0" collapsed="false">
      <c r="B31" s="54" t="n">
        <f aca="false">g+(-1)*$C$6</f>
        <v>0.03</v>
      </c>
      <c r="C31" s="52" t="n">
        <f aca="false">(SUMPRODUCT(DCF!$D$20:$M$20,(1+C$29)^(-DCF!$D$24:$M$24))+DCF!$M$20*(1+$B31)/(C$29-$B31)/(1+C$29)^(DCF!$M$24+0.5)+cash-debt)/shares</f>
        <v>28.3607856992566</v>
      </c>
      <c r="D31" s="52" t="n">
        <f aca="false">(SUMPRODUCT(DCF!$D$20:$M$20,(1+D$29)^(-DCF!$D$24:$M$24))+DCF!$M$20*(1+$B31)/(D$29-$B31)/(1+D$29)^(DCF!$M$24+0.5)+cash-debt)/shares</f>
        <v>24.1781784237779</v>
      </c>
      <c r="E31" s="52" t="n">
        <f aca="false">(SUMPRODUCT(DCF!$D$20:$M$20,(1+E$29)^(-DCF!$D$24:$M$24))+DCF!$M$20*(1+$B31)/(E$29-$B31)/(1+E$29)^(DCF!$M$24+0.5)+cash-debt)/shares</f>
        <v>20.9735546986374</v>
      </c>
      <c r="F31" s="52" t="n">
        <f aca="false">(SUMPRODUCT(DCF!$D$20:$M$20,(1+F$29)^(-DCF!$D$24:$M$24))+DCF!$M$20*(1+$B31)/(F$29-$B31)/(1+F$29)^(DCF!$M$24+0.5)+cash-debt)/shares</f>
        <v>18.4477284091179</v>
      </c>
      <c r="G31" s="52" t="n">
        <f aca="false">(SUMPRODUCT(DCF!$D$20:$M$20,(1+G$29)^(-DCF!$D$24:$M$24))+DCF!$M$20*(1+$B31)/(G$29-$B31)/(1+G$29)^(DCF!$M$24+0.5)+cash-debt)/shares</f>
        <v>16.4116692516904</v>
      </c>
    </row>
    <row r="32" customFormat="false" ht="15" hidden="false" customHeight="false" outlineLevel="0" collapsed="false">
      <c r="B32" s="54" t="n">
        <f aca="false">g+(0)*$C$6</f>
        <v>0.035</v>
      </c>
      <c r="C32" s="52" t="n">
        <f aca="false">(SUMPRODUCT(DCF!$D$20:$M$20,(1+C$29)^(-DCF!$D$24:$M$24))+DCF!$M$20*(1+$B32)/(C$29-$B32)/(1+C$29)^(DCF!$M$24+0.5)+cash-debt)/shares</f>
        <v>29.8974487673732</v>
      </c>
      <c r="D32" s="52" t="n">
        <f aca="false">(SUMPRODUCT(DCF!$D$20:$M$20,(1+D$29)^(-DCF!$D$24:$M$24))+DCF!$M$20*(1+$B32)/(D$29-$B32)/(1+D$29)^(DCF!$M$24+0.5)+cash-debt)/shares</f>
        <v>25.2496158176455</v>
      </c>
      <c r="E32" s="51" t="n">
        <f aca="false">(SUMPRODUCT(DCF!$D$20:$M$20,(1+E$29)^(-DCF!$D$24:$M$24))+DCF!$M$20*(1+$B32)/(E$29-$B32)/(1+E$29)^(DCF!$M$24+0.5)+cash-debt)/shares</f>
        <v>21.7475656886081</v>
      </c>
      <c r="F32" s="52" t="n">
        <f aca="false">(SUMPRODUCT(DCF!$D$20:$M$20,(1+F$29)^(-DCF!$D$24:$M$24))+DCF!$M$20*(1+$B32)/(F$29-$B32)/(1+F$29)^(DCF!$M$24+0.5)+cash-debt)/shares</f>
        <v>19.0226278598286</v>
      </c>
      <c r="G32" s="52" t="n">
        <f aca="false">(SUMPRODUCT(DCF!$D$20:$M$20,(1+G$29)^(-DCF!$D$24:$M$24))+DCF!$M$20*(1+$B32)/(G$29-$B32)/(1+G$29)^(DCF!$M$24+0.5)+cash-debt)/shares</f>
        <v>16.8483496597375</v>
      </c>
    </row>
    <row r="33" customFormat="false" ht="15" hidden="false" customHeight="false" outlineLevel="0" collapsed="false">
      <c r="B33" s="54" t="n">
        <f aca="false">g+(1)*$C$6</f>
        <v>0.04</v>
      </c>
      <c r="C33" s="52" t="n">
        <f aca="false">(SUMPRODUCT(DCF!$D$20:$M$20,(1+C$29)^(-DCF!$D$24:$M$24))+DCF!$M$20*(1+$B33)/(C$29-$B33)/(1+C$29)^(DCF!$M$24+0.5)+cash-debt)/shares</f>
        <v>31.6952636478942</v>
      </c>
      <c r="D33" s="52" t="n">
        <f aca="false">(SUMPRODUCT(DCF!$D$20:$M$20,(1+D$29)^(-DCF!$D$24:$M$24))+DCF!$M$20*(1+$B33)/(D$29-$B33)/(1+D$29)^(DCF!$M$24+0.5)+cash-debt)/shares</f>
        <v>26.4766909361299</v>
      </c>
      <c r="E33" s="52" t="n">
        <f aca="false">(SUMPRODUCT(DCF!$D$20:$M$20,(1+E$29)^(-DCF!$D$24:$M$24))+DCF!$M$20*(1+$B33)/(E$29-$B33)/(1+E$29)^(DCF!$M$24+0.5)+cash-debt)/shares</f>
        <v>22.6197494045128</v>
      </c>
      <c r="F33" s="52" t="n">
        <f aca="false">(SUMPRODUCT(DCF!$D$20:$M$20,(1+F$29)^(-DCF!$D$24:$M$24))+DCF!$M$20*(1+$B33)/(F$29-$B33)/(1+F$29)^(DCF!$M$24+0.5)+cash-debt)/shares</f>
        <v>19.662237812679</v>
      </c>
      <c r="G33" s="52" t="n">
        <f aca="false">(SUMPRODUCT(DCF!$D$20:$M$20,(1+G$29)^(-DCF!$D$24:$M$24))+DCF!$M$20*(1+$B33)/(G$29-$B33)/(1+G$29)^(DCF!$M$24+0.5)+cash-debt)/shares</f>
        <v>17.329209818824</v>
      </c>
    </row>
    <row r="34" customFormat="false" ht="15" hidden="false" customHeight="false" outlineLevel="0" collapsed="false">
      <c r="B34" s="54" t="n">
        <f aca="false">g+(2)*$C$6</f>
        <v>0.045</v>
      </c>
      <c r="C34" s="52" t="n">
        <f aca="false">(SUMPRODUCT(DCF!$D$20:$M$20,(1+C$29)^(-DCF!$D$24:$M$24))+DCF!$M$20*(1+$B34)/(C$29-$B34)/(1+C$29)^(DCF!$M$24+0.5)+cash-debt)/shares</f>
        <v>33.8269857193298</v>
      </c>
      <c r="D34" s="52" t="n">
        <f aca="false">(SUMPRODUCT(DCF!$D$20:$M$20,(1+D$29)^(-DCF!$D$24:$M$24))+DCF!$M$20*(1+$B34)/(D$29-$B34)/(1+D$29)^(DCF!$M$24+0.5)+cash-debt)/shares</f>
        <v>27.895971788816</v>
      </c>
      <c r="E34" s="52" t="n">
        <f aca="false">(SUMPRODUCT(DCF!$D$20:$M$20,(1+E$29)^(-DCF!$D$24:$M$24))+DCF!$M$20*(1+$B34)/(E$29-$B34)/(1+E$29)^(DCF!$M$24+0.5)+cash-debt)/shares</f>
        <v>23.610048369529</v>
      </c>
      <c r="F34" s="52" t="n">
        <f aca="false">(SUMPRODUCT(DCF!$D$20:$M$20,(1+F$29)^(-DCF!$D$24:$M$24))+DCF!$M$20*(1+$B34)/(F$29-$B34)/(1+F$29)^(DCF!$M$24+0.5)+cash-debt)/shares</f>
        <v>20.3781355246647</v>
      </c>
      <c r="G34" s="52" t="n">
        <f aca="false">(SUMPRODUCT(DCF!$D$20:$M$20,(1+G$29)^(-DCF!$D$24:$M$24))+DCF!$M$20*(1+$B34)/(G$29-$B34)/(1+G$29)^(DCF!$M$24+0.5)+cash-debt)/shares</f>
        <v>17.8613115776252</v>
      </c>
    </row>
    <row r="38" customFormat="false" ht="15" hidden="false" customHeight="false" outlineLevel="0" collapsed="false">
      <c r="B38" s="4" t="s">
        <v>263</v>
      </c>
    </row>
    <row r="39" customFormat="false" ht="15" hidden="false" customHeight="false" outlineLevel="0" collapsed="false">
      <c r="I39" s="4" t="s">
        <v>80</v>
      </c>
      <c r="J39" s="4" t="s">
        <v>81</v>
      </c>
      <c r="K39" s="4" t="s">
        <v>82</v>
      </c>
      <c r="L39" s="4" t="s">
        <v>83</v>
      </c>
      <c r="M39" s="4" t="s">
        <v>84</v>
      </c>
      <c r="N39" s="4" t="s">
        <v>85</v>
      </c>
      <c r="O39" s="4" t="s">
        <v>86</v>
      </c>
      <c r="P39" s="4" t="s">
        <v>87</v>
      </c>
      <c r="Q39" s="4" t="s">
        <v>88</v>
      </c>
      <c r="R39" s="4" t="s">
        <v>89</v>
      </c>
    </row>
    <row r="40" customFormat="false" ht="15" hidden="false" customHeight="false" outlineLevel="0" collapsed="false">
      <c r="B40" s="36" t="n">
        <f aca="false">B10</f>
        <v>0.2</v>
      </c>
      <c r="I40" s="35" t="n">
        <f aca="false">(DCF!D7*((m27+($B40-m27)*MIN(1,(DCF!D$6-1)/ramp))-DCF!D11))-MAX(0,(DCF!D7*((m27+($B40-m27)*MIN(1,(DCF!D$6-1)/ramp))-DCF!D11)))*tax+DCF!D7*(da-capex)+(DCF!D7-DCF!C7)*nwc</f>
        <v>-142</v>
      </c>
      <c r="J40" s="35" t="n">
        <f aca="false">(DCF!E7*((m27+($B40-m27)*MIN(1,(DCF!E$6-1)/ramp))-DCF!E11))-MAX(0,(DCF!E7*((m27+($B40-m27)*MIN(1,(DCF!E$6-1)/ramp))-DCF!E11)))*tax+DCF!E7*(da-capex)+(DCF!E7-DCF!D7)*nwc</f>
        <v>-96.1200000000001</v>
      </c>
      <c r="K40" s="35" t="n">
        <f aca="false">(DCF!F7*((m27+($B40-m27)*MIN(1,(DCF!F$6-1)/ramp))-DCF!F11))-MAX(0,(DCF!F7*((m27+($B40-m27)*MIN(1,(DCF!F$6-1)/ramp))-DCF!F11)))*tax+DCF!F7*(da-capex)+(DCF!F7-DCF!E7)*nwc</f>
        <v>-27.93888</v>
      </c>
      <c r="L40" s="35" t="n">
        <f aca="false">(DCF!G7*((m27+($B40-m27)*MIN(1,(DCF!G$6-1)/ramp))-DCF!G11))-MAX(0,(DCF!G7*((m27+($B40-m27)*MIN(1,(DCF!G$6-1)/ramp))-DCF!G11)))*tax+DCF!G7*(da-capex)+(DCF!G7-DCF!F7)*nwc</f>
        <v>66.2382143999999</v>
      </c>
      <c r="M40" s="35" t="n">
        <f aca="false">(DCF!H7*((m27+($B40-m27)*MIN(1,(DCF!H$6-1)/ramp))-DCF!H11))-MAX(0,(DCF!H7*((m27+($B40-m27)*MIN(1,(DCF!H$6-1)/ramp))-DCF!H11)))*tax+DCF!H7*(da-capex)+(DCF!H7-DCF!G7)*nwc</f>
        <v>178.95496720896</v>
      </c>
      <c r="N40" s="35" t="n">
        <f aca="false">(DCF!I7*((m27+($B40-m27)*MIN(1,(DCF!I$6-1)/ramp))-DCF!I11))-MAX(0,(DCF!I7*((m27+($B40-m27)*MIN(1,(DCF!I$6-1)/ramp))-DCF!I11)))*tax+DCF!I7*(da-capex)+(DCF!I7-DCF!H7)*nwc</f>
        <v>294.39386745385</v>
      </c>
      <c r="O40" s="35" t="n">
        <f aca="false">(DCF!J7*((m27+($B40-m27)*MIN(1,(DCF!J$6-1)/ramp))-DCF!J11))-MAX(0,(DCF!J7*((m27+($B40-m27)*MIN(1,(DCF!J$6-1)/ramp))-DCF!J11)))*tax+DCF!J7*(da-capex)+(DCF!J7-DCF!I7)*nwc</f>
        <v>426.351946838631</v>
      </c>
      <c r="P40" s="35" t="n">
        <f aca="false">(DCF!K7*((m27+($B40-m27)*MIN(1,(DCF!K$6-1)/ramp))-DCF!K11))-MAX(0,(DCF!K7*((m27+($B40-m27)*MIN(1,(DCF!K$6-1)/ramp))-DCF!K11)))*tax+DCF!K7*(da-capex)+(DCF!K7-DCF!J7)*nwc</f>
        <v>433.582123273593</v>
      </c>
      <c r="Q40" s="35" t="n">
        <f aca="false">(DCF!L7*((m27+($B40-m27)*MIN(1,(DCF!L$6-1)/ramp))-DCF!L11))-MAX(0,(DCF!L7*((m27+($B40-m27)*MIN(1,(DCF!L$6-1)/ramp))-DCF!L11)))*tax+DCF!L7*(da-capex)+(DCF!L7-DCF!K7)*nwc</f>
        <v>430.031273426668</v>
      </c>
      <c r="R40" s="35" t="n">
        <f aca="false">(DCF!M7*((m27+($B40-m27)*MIN(1,(DCF!M$6-1)/ramp))-DCF!M11))-MAX(0,(DCF!M7*((m27+($B40-m27)*MIN(1,(DCF!M$6-1)/ramp))-DCF!M11)))*tax+DCF!M7*(da-capex)+(DCF!M7-DCF!L7)*nwc</f>
        <v>435.567317386597</v>
      </c>
    </row>
    <row r="41" customFormat="false" ht="15" hidden="false" customHeight="false" outlineLevel="0" collapsed="false">
      <c r="B41" s="36" t="n">
        <f aca="false">B11</f>
        <v>0.24</v>
      </c>
      <c r="I41" s="35" t="n">
        <f aca="false">(DCF!D7*((m27+($B41-m27)*MIN(1,(DCF!D$6-1)/ramp))-DCF!D11))-MAX(0,(DCF!D7*((m27+($B41-m27)*MIN(1,(DCF!D$6-1)/ramp))-DCF!D11)))*tax+DCF!D7*(da-capex)+(DCF!D7-DCF!C7)*nwc</f>
        <v>-142</v>
      </c>
      <c r="J41" s="35" t="n">
        <f aca="false">(DCF!E7*((m27+($B41-m27)*MIN(1,(DCF!E$6-1)/ramp))-DCF!E11))-MAX(0,(DCF!E7*((m27+($B41-m27)*MIN(1,(DCF!E$6-1)/ramp))-DCF!E11)))*tax+DCF!E7*(da-capex)+(DCF!E7-DCF!D7)*nwc</f>
        <v>-83.3040000000001</v>
      </c>
      <c r="K41" s="35" t="n">
        <f aca="false">(DCF!F7*((m27+($B41-m27)*MIN(1,(DCF!F$6-1)/ramp))-DCF!F11))-MAX(0,(DCF!F7*((m27+($B41-m27)*MIN(1,(DCF!F$6-1)/ramp))-DCF!F11)))*tax+DCF!F7*(da-capex)+(DCF!F7-DCF!E7)*nwc</f>
        <v>2.30688000000001</v>
      </c>
      <c r="L41" s="35" t="n">
        <f aca="false">(DCF!G7*((m27+($B41-m27)*MIN(1,(DCF!G$6-1)/ramp))-DCF!G11))-MAX(0,(DCF!G7*((m27+($B41-m27)*MIN(1,(DCF!G$6-1)/ramp))-DCF!G11)))*tax+DCF!G7*(da-capex)+(DCF!G7-DCF!F7)*nwc</f>
        <v>118.8658368</v>
      </c>
      <c r="M41" s="35" t="n">
        <f aca="false">(DCF!H7*((m27+($B41-m27)*MIN(1,(DCF!H$6-1)/ramp))-DCF!H11))-MAX(0,(DCF!H7*((m27+($B41-m27)*MIN(1,(DCF!H$6-1)/ramp))-DCF!H11)))*tax+DCF!H7*(da-capex)+(DCF!H7-DCF!G7)*nwc</f>
        <v>242.15021618688</v>
      </c>
      <c r="N41" s="35" t="n">
        <f aca="false">(DCF!I7*((m27+($B41-m27)*MIN(1,(DCF!I$6-1)/ramp))-DCF!I11))-MAX(0,(DCF!I7*((m27+($B41-m27)*MIN(1,(DCF!I$6-1)/ramp))-DCF!I11)))*tax+DCF!I7*(da-capex)+(DCF!I7-DCF!H7)*nwc</f>
        <v>382.867216022938</v>
      </c>
      <c r="O41" s="35" t="n">
        <f aca="false">(DCF!J7*((m27+($B41-m27)*MIN(1,(DCF!J$6-1)/ramp))-DCF!J11))-MAX(0,(DCF!J7*((m27+($B41-m27)*MIN(1,(DCF!J$6-1)/ramp))-DCF!J11)))*tax+DCF!J7*(da-capex)+(DCF!J7-DCF!I7)*nwc</f>
        <v>543.136766949827</v>
      </c>
      <c r="P41" s="35" t="n">
        <f aca="false">(DCF!K7*((m27+($B41-m27)*MIN(1,(DCF!K$6-1)/ramp))-DCF!K11))-MAX(0,(DCF!K7*((m27+($B41-m27)*MIN(1,(DCF!K$6-1)/ramp))-DCF!K11)))*tax+DCF!K7*(da-capex)+(DCF!K7-DCF!J7)*nwc</f>
        <v>559.709728993685</v>
      </c>
      <c r="Q41" s="35" t="n">
        <f aca="false">(DCF!L7*((m27+($B41-m27)*MIN(1,(DCF!L$6-1)/ramp))-DCF!L11))-MAX(0,(DCF!L7*((m27+($B41-m27)*MIN(1,(DCF!L$6-1)/ramp))-DCF!L11)))*tax+DCF!L7*(da-capex)+(DCF!L7-DCF!K7)*nwc</f>
        <v>563.726535489965</v>
      </c>
      <c r="R41" s="35" t="n">
        <f aca="false">(DCF!M7*((m27+($B41-m27)*MIN(1,(DCF!M$6-1)/ramp))-DCF!M11))-MAX(0,(DCF!M7*((m27+($B41-m27)*MIN(1,(DCF!M$6-1)/ramp))-DCF!M11)))*tax+DCF!M7*(da-capex)+(DCF!M7-DCF!L7)*nwc</f>
        <v>575.94734255306</v>
      </c>
    </row>
    <row r="42" customFormat="false" ht="15" hidden="false" customHeight="false" outlineLevel="0" collapsed="false">
      <c r="B42" s="36" t="n">
        <f aca="false">B12</f>
        <v>0.28</v>
      </c>
      <c r="I42" s="35" t="n">
        <f aca="false">(DCF!D7*((m27+($B42-m27)*MIN(1,(DCF!D$6-1)/ramp))-DCF!D11))-MAX(0,(DCF!D7*((m27+($B42-m27)*MIN(1,(DCF!D$6-1)/ramp))-DCF!D11)))*tax+DCF!D7*(da-capex)+(DCF!D7-DCF!C7)*nwc</f>
        <v>-142</v>
      </c>
      <c r="J42" s="35" t="n">
        <f aca="false">(DCF!E7*((m27+($B42-m27)*MIN(1,(DCF!E$6-1)/ramp))-DCF!E11))-MAX(0,(DCF!E7*((m27+($B42-m27)*MIN(1,(DCF!E$6-1)/ramp))-DCF!E11)))*tax+DCF!E7*(da-capex)+(DCF!E7-DCF!D7)*nwc</f>
        <v>-70.4880000000001</v>
      </c>
      <c r="K42" s="35" t="n">
        <f aca="false">(DCF!F7*((m27+($B42-m27)*MIN(1,(DCF!F$6-1)/ramp))-DCF!F11))-MAX(0,(DCF!F7*((m27+($B42-m27)*MIN(1,(DCF!F$6-1)/ramp))-DCF!F11)))*tax+DCF!F7*(da-capex)+(DCF!F7-DCF!E7)*nwc</f>
        <v>32.55264</v>
      </c>
      <c r="L42" s="35" t="n">
        <f aca="false">(DCF!G7*((m27+($B42-m27)*MIN(1,(DCF!G$6-1)/ramp))-DCF!G11))-MAX(0,(DCF!G7*((m27+($B42-m27)*MIN(1,(DCF!G$6-1)/ramp))-DCF!G11)))*tax+DCF!G7*(da-capex)+(DCF!G7-DCF!F7)*nwc</f>
        <v>165.967558848</v>
      </c>
      <c r="M42" s="35" t="n">
        <f aca="false">(DCF!H7*((m27+($B42-m27)*MIN(1,(DCF!H$6-1)/ramp))-DCF!H11))-MAX(0,(DCF!H7*((m27+($B42-m27)*MIN(1,(DCF!H$6-1)/ramp))-DCF!H11)))*tax+DCF!H7*(da-capex)+(DCF!H7-DCF!G7)*nwc</f>
        <v>305.3454651648</v>
      </c>
      <c r="N42" s="35" t="n">
        <f aca="false">(DCF!I7*((m27+($B42-m27)*MIN(1,(DCF!I$6-1)/ramp))-DCF!I11))-MAX(0,(DCF!I7*((m27+($B42-m27)*MIN(1,(DCF!I$6-1)/ramp))-DCF!I11)))*tax+DCF!I7*(da-capex)+(DCF!I7-DCF!H7)*nwc</f>
        <v>471.340564592026</v>
      </c>
      <c r="O42" s="35" t="n">
        <f aca="false">(DCF!J7*((m27+($B42-m27)*MIN(1,(DCF!J$6-1)/ramp))-DCF!J11))-MAX(0,(DCF!J7*((m27+($B42-m27)*MIN(1,(DCF!J$6-1)/ramp))-DCF!J11)))*tax+DCF!J7*(da-capex)+(DCF!J7-DCF!I7)*nwc</f>
        <v>659.921587061023</v>
      </c>
      <c r="P42" s="35" t="n">
        <f aca="false">(DCF!K7*((m27+($B42-m27)*MIN(1,(DCF!K$6-1)/ramp))-DCF!K11))-MAX(0,(DCF!K7*((m27+($B42-m27)*MIN(1,(DCF!K$6-1)/ramp))-DCF!K11)))*tax+DCF!K7*(da-capex)+(DCF!K7-DCF!J7)*nwc</f>
        <v>685.837334713777</v>
      </c>
      <c r="Q42" s="35" t="n">
        <f aca="false">(DCF!L7*((m27+($B42-m27)*MIN(1,(DCF!L$6-1)/ramp))-DCF!L11))-MAX(0,(DCF!L7*((m27+($B42-m27)*MIN(1,(DCF!L$6-1)/ramp))-DCF!L11)))*tax+DCF!L7*(da-capex)+(DCF!L7-DCF!K7)*nwc</f>
        <v>697.421797553263</v>
      </c>
      <c r="R42" s="35" t="n">
        <f aca="false">(DCF!M7*((m27+($B42-m27)*MIN(1,(DCF!M$6-1)/ramp))-DCF!M11))-MAX(0,(DCF!M7*((m27+($B42-m27)*MIN(1,(DCF!M$6-1)/ramp))-DCF!M11)))*tax+DCF!M7*(da-capex)+(DCF!M7-DCF!L7)*nwc</f>
        <v>716.327367719522</v>
      </c>
    </row>
    <row r="43" customFormat="false" ht="15" hidden="false" customHeight="false" outlineLevel="0" collapsed="false">
      <c r="B43" s="36" t="n">
        <f aca="false">B13</f>
        <v>0.32</v>
      </c>
      <c r="I43" s="35" t="n">
        <f aca="false">(DCF!D7*((m27+($B43-m27)*MIN(1,(DCF!D$6-1)/ramp))-DCF!D11))-MAX(0,(DCF!D7*((m27+($B43-m27)*MIN(1,(DCF!D$6-1)/ramp))-DCF!D11)))*tax+DCF!D7*(da-capex)+(DCF!D7-DCF!C7)*nwc</f>
        <v>-142</v>
      </c>
      <c r="J43" s="35" t="n">
        <f aca="false">(DCF!E7*((m27+($B43-m27)*MIN(1,(DCF!E$6-1)/ramp))-DCF!E11))-MAX(0,(DCF!E7*((m27+($B43-m27)*MIN(1,(DCF!E$6-1)/ramp))-DCF!E11)))*tax+DCF!E7*(da-capex)+(DCF!E7-DCF!D7)*nwc</f>
        <v>-57.6720000000001</v>
      </c>
      <c r="K43" s="35" t="n">
        <f aca="false">(DCF!F7*((m27+($B43-m27)*MIN(1,(DCF!F$6-1)/ramp))-DCF!F11))-MAX(0,(DCF!F7*((m27+($B43-m27)*MIN(1,(DCF!F$6-1)/ramp))-DCF!F11)))*tax+DCF!F7*(da-capex)+(DCF!F7-DCF!E7)*nwc</f>
        <v>62.7984</v>
      </c>
      <c r="L43" s="35" t="n">
        <f aca="false">(DCF!G7*((m27+($B43-m27)*MIN(1,(DCF!G$6-1)/ramp))-DCF!G11))-MAX(0,(DCF!G7*((m27+($B43-m27)*MIN(1,(DCF!G$6-1)/ramp))-DCF!G11)))*tax+DCF!G7*(da-capex)+(DCF!G7-DCF!F7)*nwc</f>
        <v>207.543380544</v>
      </c>
      <c r="M43" s="35" t="n">
        <f aca="false">(DCF!H7*((m27+($B43-m27)*MIN(1,(DCF!H$6-1)/ramp))-DCF!H11))-MAX(0,(DCF!H7*((m27+($B43-m27)*MIN(1,(DCF!H$6-1)/ramp))-DCF!H11)))*tax+DCF!H7*(da-capex)+(DCF!H7-DCF!G7)*nwc</f>
        <v>368.54071414272</v>
      </c>
      <c r="N43" s="35" t="n">
        <f aca="false">(DCF!I7*((m27+($B43-m27)*MIN(1,(DCF!I$6-1)/ramp))-DCF!I11))-MAX(0,(DCF!I7*((m27+($B43-m27)*MIN(1,(DCF!I$6-1)/ramp))-DCF!I11)))*tax+DCF!I7*(da-capex)+(DCF!I7-DCF!H7)*nwc</f>
        <v>559.813913161114</v>
      </c>
      <c r="O43" s="35" t="n">
        <f aca="false">(DCF!J7*((m27+($B43-m27)*MIN(1,(DCF!J$6-1)/ramp))-DCF!J11))-MAX(0,(DCF!J7*((m27+($B43-m27)*MIN(1,(DCF!J$6-1)/ramp))-DCF!J11)))*tax+DCF!J7*(da-capex)+(DCF!J7-DCF!I7)*nwc</f>
        <v>776.706407172219</v>
      </c>
      <c r="P43" s="35" t="n">
        <f aca="false">(DCF!K7*((m27+($B43-m27)*MIN(1,(DCF!K$6-1)/ramp))-DCF!K11))-MAX(0,(DCF!K7*((m27+($B43-m27)*MIN(1,(DCF!K$6-1)/ramp))-DCF!K11)))*tax+DCF!K7*(da-capex)+(DCF!K7-DCF!J7)*nwc</f>
        <v>811.964940433869</v>
      </c>
      <c r="Q43" s="35" t="n">
        <f aca="false">(DCF!L7*((m27+($B43-m27)*MIN(1,(DCF!L$6-1)/ramp))-DCF!L11))-MAX(0,(DCF!L7*((m27+($B43-m27)*MIN(1,(DCF!L$6-1)/ramp))-DCF!L11)))*tax+DCF!L7*(da-capex)+(DCF!L7-DCF!K7)*nwc</f>
        <v>831.11705961656</v>
      </c>
      <c r="R43" s="35" t="n">
        <f aca="false">(DCF!M7*((m27+($B43-m27)*MIN(1,(DCF!M$6-1)/ramp))-DCF!M11))-MAX(0,(DCF!M7*((m27+($B43-m27)*MIN(1,(DCF!M$6-1)/ramp))-DCF!M11)))*tax+DCF!M7*(da-capex)+(DCF!M7-DCF!L7)*nwc</f>
        <v>856.707392885984</v>
      </c>
    </row>
    <row r="44" customFormat="false" ht="15" hidden="false" customHeight="false" outlineLevel="0" collapsed="false">
      <c r="B44" s="36" t="n">
        <f aca="false">B14</f>
        <v>0.36</v>
      </c>
      <c r="I44" s="35" t="n">
        <f aca="false">(DCF!D7*((m27+($B44-m27)*MIN(1,(DCF!D$6-1)/ramp))-DCF!D11))-MAX(0,(DCF!D7*((m27+($B44-m27)*MIN(1,(DCF!D$6-1)/ramp))-DCF!D11)))*tax+DCF!D7*(da-capex)+(DCF!D7-DCF!C7)*nwc</f>
        <v>-142</v>
      </c>
      <c r="J44" s="35" t="n">
        <f aca="false">(DCF!E7*((m27+($B44-m27)*MIN(1,(DCF!E$6-1)/ramp))-DCF!E11))-MAX(0,(DCF!E7*((m27+($B44-m27)*MIN(1,(DCF!E$6-1)/ramp))-DCF!E11)))*tax+DCF!E7*(da-capex)+(DCF!E7-DCF!D7)*nwc</f>
        <v>-44.8560000000001</v>
      </c>
      <c r="K44" s="35" t="n">
        <f aca="false">(DCF!F7*((m27+($B44-m27)*MIN(1,(DCF!F$6-1)/ramp))-DCF!F11))-MAX(0,(DCF!F7*((m27+($B44-m27)*MIN(1,(DCF!F$6-1)/ramp))-DCF!F11)))*tax+DCF!F7*(da-capex)+(DCF!F7-DCF!E7)*nwc</f>
        <v>93.04416</v>
      </c>
      <c r="L44" s="35" t="n">
        <f aca="false">(DCF!G7*((m27+($B44-m27)*MIN(1,(DCF!G$6-1)/ramp))-DCF!G11))-MAX(0,(DCF!G7*((m27+($B44-m27)*MIN(1,(DCF!G$6-1)/ramp))-DCF!G11)))*tax+DCF!G7*(da-capex)+(DCF!G7-DCF!F7)*nwc</f>
        <v>249.11920224</v>
      </c>
      <c r="M44" s="35" t="n">
        <f aca="false">(DCF!H7*((m27+($B44-m27)*MIN(1,(DCF!H$6-1)/ramp))-DCF!H11))-MAX(0,(DCF!H7*((m27+($B44-m27)*MIN(1,(DCF!H$6-1)/ramp))-DCF!H11)))*tax+DCF!H7*(da-capex)+(DCF!H7-DCF!G7)*nwc</f>
        <v>431.73596312064</v>
      </c>
      <c r="N44" s="35" t="n">
        <f aca="false">(DCF!I7*((m27+($B44-m27)*MIN(1,(DCF!I$6-1)/ramp))-DCF!I11))-MAX(0,(DCF!I7*((m27+($B44-m27)*MIN(1,(DCF!I$6-1)/ramp))-DCF!I11)))*tax+DCF!I7*(da-capex)+(DCF!I7-DCF!H7)*nwc</f>
        <v>648.287261730202</v>
      </c>
      <c r="O44" s="35" t="n">
        <f aca="false">(DCF!J7*((m27+($B44-m27)*MIN(1,(DCF!J$6-1)/ramp))-DCF!J11))-MAX(0,(DCF!J7*((m27+($B44-m27)*MIN(1,(DCF!J$6-1)/ramp))-DCF!J11)))*tax+DCF!J7*(da-capex)+(DCF!J7-DCF!I7)*nwc</f>
        <v>893.491227283415</v>
      </c>
      <c r="P44" s="35" t="n">
        <f aca="false">(DCF!K7*((m27+($B44-m27)*MIN(1,(DCF!K$6-1)/ramp))-DCF!K11))-MAX(0,(DCF!K7*((m27+($B44-m27)*MIN(1,(DCF!K$6-1)/ramp))-DCF!K11)))*tax+DCF!K7*(da-capex)+(DCF!K7-DCF!J7)*nwc</f>
        <v>938.092546153961</v>
      </c>
      <c r="Q44" s="35" t="n">
        <f aca="false">(DCF!L7*((m27+($B44-m27)*MIN(1,(DCF!L$6-1)/ramp))-DCF!L11))-MAX(0,(DCF!L7*((m27+($B44-m27)*MIN(1,(DCF!L$6-1)/ramp))-DCF!L11)))*tax+DCF!L7*(da-capex)+(DCF!L7-DCF!K7)*nwc</f>
        <v>964.812321679857</v>
      </c>
      <c r="R44" s="35" t="n">
        <f aca="false">(DCF!M7*((m27+($B44-m27)*MIN(1,(DCF!M$6-1)/ramp))-DCF!M11))-MAX(0,(DCF!M7*((m27+($B44-m27)*MIN(1,(DCF!M$6-1)/ramp))-DCF!M11)))*tax+DCF!M7*(da-capex)+(DCF!M7-DCF!L7)*nwc</f>
        <v>997.087418052446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9" min="8" style="0" width="12"/>
  </cols>
  <sheetData>
    <row r="1" customFormat="false" ht="16.15" hidden="false" customHeight="false" outlineLevel="0" collapsed="false">
      <c r="B1" s="1" t="s">
        <v>264</v>
      </c>
    </row>
    <row r="2" customFormat="false" ht="15" hidden="false" customHeight="false" outlineLevel="0" collapsed="false">
      <c r="B2" s="2" t="s">
        <v>265</v>
      </c>
      <c r="C2" s="3"/>
      <c r="D2" s="3"/>
      <c r="E2" s="3"/>
      <c r="F2" s="3"/>
      <c r="G2" s="3"/>
      <c r="H2" s="3"/>
      <c r="I2" s="3"/>
    </row>
    <row r="4" customFormat="false" ht="15" hidden="false" customHeight="false" outlineLevel="0" collapsed="false">
      <c r="B4" s="5" t="s">
        <v>266</v>
      </c>
      <c r="C4" s="26" t="n">
        <f aca="false">DCF!D7</f>
        <v>1602</v>
      </c>
    </row>
    <row r="5" customFormat="false" ht="15" hidden="false" customHeight="false" outlineLevel="0" collapsed="false">
      <c r="B5" s="5" t="s">
        <v>19</v>
      </c>
      <c r="C5" s="21" t="n">
        <f aca="false">mkt_ev_ntm</f>
        <v>7.48285892634207</v>
      </c>
    </row>
    <row r="6" customFormat="false" ht="15" hidden="false" customHeight="false" outlineLevel="0" collapsed="false">
      <c r="B6" s="5" t="s">
        <v>267</v>
      </c>
      <c r="C6" s="21" t="n">
        <f aca="false">ev_ntm_dcf</f>
        <v>2.80919802731403</v>
      </c>
    </row>
    <row r="8" customFormat="false" ht="15" hidden="false" customHeight="false" outlineLevel="0" collapsed="false">
      <c r="B8" s="23" t="s">
        <v>158</v>
      </c>
      <c r="C8" s="24" t="s">
        <v>268</v>
      </c>
      <c r="D8" s="24" t="s">
        <v>269</v>
      </c>
      <c r="E8" s="24" t="s">
        <v>270</v>
      </c>
      <c r="F8" s="24" t="s">
        <v>271</v>
      </c>
      <c r="G8" s="24" t="s">
        <v>239</v>
      </c>
      <c r="H8" s="24" t="s">
        <v>272</v>
      </c>
      <c r="I8" s="24" t="s">
        <v>273</v>
      </c>
    </row>
    <row r="9" customFormat="false" ht="15" hidden="false" customHeight="false" outlineLevel="0" collapsed="false">
      <c r="B9" s="14" t="str">
        <f aca="false">Inputs!B47</f>
        <v>Bear</v>
      </c>
      <c r="C9" s="21" t="n">
        <f aca="false">Inputs!C47</f>
        <v>4</v>
      </c>
      <c r="D9" s="35" t="n">
        <f aca="false">C9*$C$4</f>
        <v>6408</v>
      </c>
      <c r="E9" s="35" t="n">
        <f aca="false">cash</f>
        <v>1675.8</v>
      </c>
      <c r="F9" s="35" t="n">
        <f aca="false">-debt</f>
        <v>-1130.7</v>
      </c>
      <c r="G9" s="35" t="n">
        <f aca="false">D9+E9+F9</f>
        <v>6953.1</v>
      </c>
      <c r="H9" s="52" t="n">
        <f aca="false">G9/shares</f>
        <v>29.9702586206897</v>
      </c>
      <c r="I9" s="36" t="n">
        <f aca="false">H9/price-1</f>
        <v>-0.445200691953172</v>
      </c>
    </row>
    <row r="10" customFormat="false" ht="15" hidden="false" customHeight="false" outlineLevel="0" collapsed="false">
      <c r="B10" s="14" t="str">
        <f aca="false">Inputs!B48</f>
        <v>Low</v>
      </c>
      <c r="C10" s="21" t="n">
        <f aca="false">Inputs!C48</f>
        <v>6</v>
      </c>
      <c r="D10" s="35" t="n">
        <f aca="false">C10*$C$4</f>
        <v>9612</v>
      </c>
      <c r="E10" s="35" t="n">
        <f aca="false">cash</f>
        <v>1675.8</v>
      </c>
      <c r="F10" s="35" t="n">
        <f aca="false">-debt</f>
        <v>-1130.7</v>
      </c>
      <c r="G10" s="35" t="n">
        <f aca="false">D10+E10+F10</f>
        <v>10157.1</v>
      </c>
      <c r="H10" s="52" t="n">
        <f aca="false">G10/shares</f>
        <v>43.7806034482759</v>
      </c>
      <c r="I10" s="36" t="n">
        <f aca="false">H10/price-1</f>
        <v>-0.189548251605408</v>
      </c>
    </row>
    <row r="11" customFormat="false" ht="15" hidden="false" customHeight="false" outlineLevel="0" collapsed="false">
      <c r="B11" s="14" t="str">
        <f aca="false">Inputs!B49</f>
        <v>Base</v>
      </c>
      <c r="C11" s="21" t="n">
        <f aca="false">Inputs!C49</f>
        <v>8.5</v>
      </c>
      <c r="D11" s="35" t="n">
        <f aca="false">C11*$C$4</f>
        <v>13617</v>
      </c>
      <c r="E11" s="35" t="n">
        <f aca="false">cash</f>
        <v>1675.8</v>
      </c>
      <c r="F11" s="35" t="n">
        <f aca="false">-debt</f>
        <v>-1130.7</v>
      </c>
      <c r="G11" s="35" t="n">
        <f aca="false">D11+E11+F11</f>
        <v>14162.1</v>
      </c>
      <c r="H11" s="51" t="n">
        <f aca="false">G11/shares</f>
        <v>61.0435344827586</v>
      </c>
      <c r="I11" s="36" t="n">
        <f aca="false">H11/price-1</f>
        <v>0.130017298829297</v>
      </c>
    </row>
    <row r="12" customFormat="false" ht="15" hidden="false" customHeight="false" outlineLevel="0" collapsed="false">
      <c r="B12" s="14" t="str">
        <f aca="false">Inputs!B50</f>
        <v>High</v>
      </c>
      <c r="C12" s="21" t="n">
        <f aca="false">Inputs!C50</f>
        <v>12</v>
      </c>
      <c r="D12" s="35" t="n">
        <f aca="false">C12*$C$4</f>
        <v>19224</v>
      </c>
      <c r="E12" s="35" t="n">
        <f aca="false">cash</f>
        <v>1675.8</v>
      </c>
      <c r="F12" s="35" t="n">
        <f aca="false">-debt</f>
        <v>-1130.7</v>
      </c>
      <c r="G12" s="35" t="n">
        <f aca="false">D12+E12+F12</f>
        <v>19769.1</v>
      </c>
      <c r="H12" s="52" t="n">
        <f aca="false">G12/shares</f>
        <v>85.2116379310345</v>
      </c>
      <c r="I12" s="36" t="n">
        <f aca="false">H12/price-1</f>
        <v>0.577409069437884</v>
      </c>
    </row>
    <row r="13" customFormat="false" ht="15" hidden="false" customHeight="false" outlineLevel="0" collapsed="false">
      <c r="B13" s="14" t="str">
        <f aca="false">Inputs!B51</f>
        <v>Bull</v>
      </c>
      <c r="C13" s="21" t="n">
        <f aca="false">Inputs!C51</f>
        <v>16</v>
      </c>
      <c r="D13" s="35" t="n">
        <f aca="false">C13*$C$4</f>
        <v>25632</v>
      </c>
      <c r="E13" s="35" t="n">
        <f aca="false">cash</f>
        <v>1675.8</v>
      </c>
      <c r="F13" s="35" t="n">
        <f aca="false">-debt</f>
        <v>-1130.7</v>
      </c>
      <c r="G13" s="35" t="n">
        <f aca="false">D13+E13+F13</f>
        <v>26177.1</v>
      </c>
      <c r="H13" s="52" t="n">
        <f aca="false">G13/shares</f>
        <v>112.832327586207</v>
      </c>
      <c r="I13" s="36" t="n">
        <f aca="false">H13/price-1</f>
        <v>1.08871395013341</v>
      </c>
    </row>
    <row r="15" customFormat="false" ht="15" hidden="false" customHeight="false" outlineLevel="0" collapsed="false">
      <c r="B15" s="17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2026-10-19T06:15:32Z</dcterms:created>
  <dc:creator>Jung Ryul Lee</dc:creator>
  <dc:description/>
  <dc:language>en-US</dc:language>
  <cp:lastModifiedBy/>
  <dcterms:modified xsi:type="dcterms:W3CDTF">2026-10-19T15:15:40Z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