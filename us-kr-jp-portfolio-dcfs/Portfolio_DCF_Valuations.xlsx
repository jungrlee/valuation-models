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8"/>
  </bookViews>
  <sheets>
    <sheet name="Cover" sheetId="1" state="visible" r:id="rId3"/>
    <sheet name="Summary" sheetId="2" state="visible" r:id="rId4"/>
    <sheet name="Assumptions" sheetId="3" state="visible" r:id="rId5"/>
    <sheet name="UNH" sheetId="4" state="visible" r:id="rId6"/>
    <sheet name="ADBE" sheetId="5" state="visible" r:id="rId7"/>
    <sheet name="CRM" sheetId="6" state="visible" r:id="rId8"/>
    <sheet name="MSFT" sheetId="7" state="visible" r:id="rId9"/>
    <sheet name="GOOGL" sheetId="8" state="visible" r:id="rId10"/>
    <sheet name="JNJ" sheetId="9" state="visible" r:id="rId11"/>
    <sheet name="CI" sheetId="10" state="visible" r:id="rId12"/>
    <sheet name="VICI" sheetId="11" state="visible" r:id="rId13"/>
    <sheet name="T" sheetId="12" state="visible" r:id="rId14"/>
    <sheet name="VZ" sheetId="13" state="visible" r:id="rId15"/>
    <sheet name="CMCSA" sheetId="14" state="visible" r:id="rId16"/>
    <sheet name="PYPL" sheetId="15" state="visible" r:id="rId17"/>
    <sheet name="KT" sheetId="16" state="visible" r:id="rId18"/>
    <sheet name="LG Uplus" sheetId="17" state="visible" r:id="rId19"/>
    <sheet name="Krafton" sheetId="18" state="visible" r:id="rId20"/>
    <sheet name="Hankook Tire" sheetId="19" state="visible" r:id="rId21"/>
    <sheet name="Coway" sheetId="20" state="visible" r:id="rId22"/>
    <sheet name="Astellas" sheetId="21" state="visible" r:id="rId2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<sst xmlns="http://schemas.openxmlformats.org/spreadsheetml/2006/main" count="1021" uniqueCount="277">
  <si>
    <t xml:space="preserve">Hedged US–Korea–Japan portfolio — DCF valuations of 18 stocks</t>
  </si>
  <si>
    <t xml:space="preserve">Every DCF-able stock considered for the portfolio, valued on one set of market assumptions. Prices 22–28 Sep 2026. Not investment advice.</t>
  </si>
  <si>
    <t xml:space="preserve">Prepared by</t>
  </si>
  <si>
    <t xml:space="preserve">Jung Ryul Lee</t>
  </si>
  <si>
    <t xml:space="preserve">Data as of</t>
  </si>
  <si>
    <t xml:space="preserve">Prices 22–28 Sep 2026</t>
  </si>
  <si>
    <t xml:space="preserve">Units</t>
  </si>
  <si>
    <t xml:space="preserve">Local currency; US models in US$ bn, KR/JP in trillions</t>
  </si>
  <si>
    <t xml:space="preserve">What this model does</t>
  </si>
  <si>
    <t xml:space="preserve">Six US large caps with hand-built 10-year FCFF DCFs (revenue × fading FCF margin, WACC, Gordon terminal value).</t>
  </si>
  <si>
    <t xml:space="preserve">Four US income stocks with FCFE / AFFO models (perpetuity or two-stage), discounted at the cost of equity.</t>
  </si>
  <si>
    <t xml:space="preserve">Six Korean and one Japanese stock with a systematic 10-year model: discounted earnings (payout = 1 − g/ROE) blended 50/50 with discounted FCF, with guard-rails on beta, growth and ROE.</t>
  </si>
  <si>
    <t xml:space="preserve">Summary ranks the names against a 15% upside hurdle used in the portfolio selection.</t>
  </si>
  <si>
    <t xml:space="preserve">Key outputs (live links)</t>
  </si>
  <si>
    <t xml:space="preserve">Stocks valued</t>
  </si>
  <si>
    <t xml:space="preserve">Clear the 15% hurdle</t>
  </si>
  <si>
    <t xml:space="preserve">Held names: median upside</t>
  </si>
  <si>
    <t xml:space="preserve">Not-held names: median upside</t>
  </si>
  <si>
    <t xml:space="preserve">US risk-free / ERP</t>
  </si>
  <si>
    <t xml:space="preserve">Korea risk-free / ERP</t>
  </si>
  <si>
    <t xml:space="preserve">Japan risk-free / ERP</t>
  </si>
  <si>
    <t xml:space="preserve">Contents</t>
  </si>
  <si>
    <t xml:space="preserve">Summary</t>
  </si>
  <si>
    <t xml:space="preserve">All 18 valuations: method, discount rate, price, value, upside, hurdle test, weight</t>
  </si>
  <si>
    <t xml:space="preserve">Assumptions</t>
  </si>
  <si>
    <t xml:space="preserve">Risk-free rates, equity risk premia and terminal growth by market; guard-rails</t>
  </si>
  <si>
    <t xml:space="preserve">UNH</t>
  </si>
  <si>
    <t xml:space="preserve">10-yr FCFF DCF</t>
  </si>
  <si>
    <t xml:space="preserve">ADBE</t>
  </si>
  <si>
    <t xml:space="preserve">CRM</t>
  </si>
  <si>
    <t xml:space="preserve">MSFT</t>
  </si>
  <si>
    <t xml:space="preserve">GOOGL</t>
  </si>
  <si>
    <t xml:space="preserve">JNJ</t>
  </si>
  <si>
    <t xml:space="preserve">CI</t>
  </si>
  <si>
    <t xml:space="preserve">Two-stage FCFE</t>
  </si>
  <si>
    <t xml:space="preserve">VICI</t>
  </si>
  <si>
    <t xml:space="preserve">Two-stage AFFO</t>
  </si>
  <si>
    <t xml:space="preserve">T</t>
  </si>
  <si>
    <t xml:space="preserve">FCFE perpetuity</t>
  </si>
  <si>
    <t xml:space="preserve">VZ</t>
  </si>
  <si>
    <t xml:space="preserve">CMCSA</t>
  </si>
  <si>
    <t xml:space="preserve">PYPL</t>
  </si>
  <si>
    <t xml:space="preserve">KT</t>
  </si>
  <si>
    <t xml:space="preserve">Systematic model</t>
  </si>
  <si>
    <t xml:space="preserve">LG Uplus</t>
  </si>
  <si>
    <t xml:space="preserve">Krafton</t>
  </si>
  <si>
    <t xml:space="preserve">Hankook Tire</t>
  </si>
  <si>
    <t xml:space="preserve">Coway</t>
  </si>
  <si>
    <t xml:space="preserve">Astellas</t>
  </si>
  <si>
    <t xml:space="preserve">Colour code</t>
  </si>
  <si>
    <t xml:space="preserve">1,234  Blue text: hard-coded input</t>
  </si>
  <si>
    <t xml:space="preserve">1,234  Black text: formula</t>
  </si>
  <si>
    <t xml:space="preserve">1,234  Green text: link to another sheet</t>
  </si>
  <si>
    <t xml:space="preserve">Shaded yellow: key assumption to flex</t>
  </si>
  <si>
    <t xml:space="preserve">Shaded green: key output</t>
  </si>
  <si>
    <t xml:space="preserve">Method notes and limitations</t>
  </si>
  <si>
    <t xml:space="preserve">• The systematic Korean/Japanese models are a screening tool, not a full company model: they use data-feed consensus and statistics, so large upsides mostly reflect low P/E multiples rather than company-specific forecasts.</t>
  </si>
  <si>
    <t xml:space="preserve">• Banks, insurers and other financials in the portfolio are valued with justified P/B in the memo, not here.</t>
  </si>
  <si>
    <t xml:space="preserve">• Portfolio weights are typed in from the optimiser and do not move when valuations change.</t>
  </si>
  <si>
    <t xml:space="preserve">• Single-point CAPM inputs per market; betas outside 0.8–1.6 are clipped in the systematic models.</t>
  </si>
  <si>
    <t xml:space="preserve">Review log (changes in this published version)</t>
  </si>
  <si>
    <t xml:space="preserve">• Audit: no formula errors; every model links to the shared Assumptions sheet. Logic unchanged.</t>
  </si>
  <si>
    <t xml:space="preserve">• Restyled to the house format and added this cover sheet.</t>
  </si>
  <si>
    <t xml:space="preserve">Disclaimer</t>
  </si>
  <si>
    <t xml:space="preserve">Built from public information for training and portfolio purposes. Not investment advice and not a recommendation to buy or sell any security. Figures marked approximate should be checked against the original filings.</t>
  </si>
  <si>
    <t xml:space="preserve">DCF valuations: every stock valued with a discounted-cash-flow model</t>
  </si>
  <si>
    <t xml:space="preserve">Hedged US–Korea–Japan Multi-Asset Portfolio · Jung Ryul Lee · Prices 22–28 Sep 2026 · For discussion only, not investment advice</t>
  </si>
  <si>
    <t xml:space="preserve">Colour code: blue = hardcoded input · black = formula · green = link to another sheet · yellow fill = key assumption. Change any input and the whole workbook recalculates.</t>
  </si>
  <si>
    <t xml:space="preserve">Company</t>
  </si>
  <si>
    <t xml:space="preserve">Ticker / code</t>
  </si>
  <si>
    <t xml:space="preserve">Market</t>
  </si>
  <si>
    <t xml:space="preserve">Model</t>
  </si>
  <si>
    <t xml:space="preserve">Discount rate</t>
  </si>
  <si>
    <t xml:space="preserve">Rate type</t>
  </si>
  <si>
    <t xml:space="preserve">Price</t>
  </si>
  <si>
    <t xml:space="preserve">DCF value / share</t>
  </si>
  <si>
    <t xml:space="preserve">Upside</t>
  </si>
  <si>
    <t xml:space="preserve">Clears 15% hurdle?</t>
  </si>
  <si>
    <t xml:space="preserve">Held?</t>
  </si>
  <si>
    <t xml:space="preserve">Portfolio weight</t>
  </si>
  <si>
    <t xml:space="preserve">Held in the portfolio</t>
  </si>
  <si>
    <t xml:space="preserve">AT&amp;T</t>
  </si>
  <si>
    <t xml:space="preserve">US</t>
  </si>
  <si>
    <t xml:space="preserve">Cost of equity</t>
  </si>
  <si>
    <t xml:space="preserve">Yes</t>
  </si>
  <si>
    <t xml:space="preserve">Cigna Group</t>
  </si>
  <si>
    <t xml:space="preserve">VICI Properties</t>
  </si>
  <si>
    <t xml:space="preserve">Two-stage AFFO discount</t>
  </si>
  <si>
    <t xml:space="preserve">KT Corp</t>
  </si>
  <si>
    <t xml:space="preserve">030200</t>
  </si>
  <si>
    <t xml:space="preserve">KR</t>
  </si>
  <si>
    <t xml:space="preserve">Systematic 10-yr earnings/FCF</t>
  </si>
  <si>
    <t xml:space="preserve">032640</t>
  </si>
  <si>
    <t xml:space="preserve">259960</t>
  </si>
  <si>
    <t xml:space="preserve">Hankook Tire &amp; Technology</t>
  </si>
  <si>
    <t xml:space="preserve">161390</t>
  </si>
  <si>
    <t xml:space="preserve">021240</t>
  </si>
  <si>
    <t xml:space="preserve">Astellas Pharma</t>
  </si>
  <si>
    <t xml:space="preserve">4503</t>
  </si>
  <si>
    <t xml:space="preserve">JP</t>
  </si>
  <si>
    <t xml:space="preserve">Valued with a DCF but not held</t>
  </si>
  <si>
    <t xml:space="preserve">UnitedHealth Group</t>
  </si>
  <si>
    <t xml:space="preserve">WACC</t>
  </si>
  <si>
    <t xml:space="preserve">No</t>
  </si>
  <si>
    <t xml:space="preserve">Adobe</t>
  </si>
  <si>
    <t xml:space="preserve">Salesforce</t>
  </si>
  <si>
    <t xml:space="preserve">Microsoft</t>
  </si>
  <si>
    <t xml:space="preserve">Alphabet</t>
  </si>
  <si>
    <t xml:space="preserve">Johnson &amp; Johnson</t>
  </si>
  <si>
    <t xml:space="preserve">Verizon</t>
  </si>
  <si>
    <t xml:space="preserve">Comcast</t>
  </si>
  <si>
    <t xml:space="preserve">PayPal</t>
  </si>
  <si>
    <t xml:space="preserve">Notes</t>
  </si>
  <si>
    <t xml:space="preserve">• Only 9 of the 19 stocks held are valued with a DCF. The other 10 (Woori, IBK, JB Financial, DB Insurance, MS&amp;AD, Sompo, ORIX, KEPCO, KT&amp;G, Hyundai Glovis) use justified P/B = (ROE − g)/(k − g), the standard equity-based method for banks and insurers, where free cash flow is not meaningful. They are in the memo, not in this workbook.</t>
  </si>
  <si>
    <t xml:space="preserve">• US hand-built models use prices of 22–26 Sep 2026; the systematic Korean/Japanese models use prices of 22–28 Sep 2026.</t>
  </si>
  <si>
    <t xml:space="preserve">• Weights are from the final optimisation and are typed in (blue); they do not update if valuations change. Re-run the optimiser for that.</t>
  </si>
  <si>
    <t xml:space="preserve">• The hurdle test (column J) recalculates, but for Korean names the memo counts upside above 60% only up to 60% when setting expected returns.</t>
  </si>
  <si>
    <t xml:space="preserve">Market assumptions (CAPM)</t>
  </si>
  <si>
    <t xml:space="preserve">Blue = hardcoded input. Every model sheet links here (green), so changing a cell below re-values every stock in that market.</t>
  </si>
  <si>
    <t xml:space="preserve">Risk-free rate</t>
  </si>
  <si>
    <t xml:space="preserve">Equity risk premium</t>
  </si>
  <si>
    <t xml:space="preserve">Terminal growth</t>
  </si>
  <si>
    <t xml:space="preserve">Source / note</t>
  </si>
  <si>
    <t xml:space="preserve">US 10-yr Treasury 5.23% (Washington Trust weekly review, 25 Sep 2026); ERP and terminal growth are author assumptions</t>
  </si>
  <si>
    <t xml:space="preserve">Korea 10-yr KTB 4.41% (Trading Economics, Sep 2026); ERP and terminal growth are author assumptions</t>
  </si>
  <si>
    <t xml:space="preserve">JGB 10-yr 3.07% (Trading Economics, 25 Sep 2026); ERP and terminal growth are author assumptions</t>
  </si>
  <si>
    <t xml:space="preserve">Beta floor / cap (systematic models)</t>
  </si>
  <si>
    <t xml:space="preserve">Data-feed betas are clipped to this range so no stock gets a cost of equity far below its market's</t>
  </si>
  <si>
    <t xml:space="preserve">Growth cap (systematic models)</t>
  </si>
  <si>
    <t xml:space="preserve">B = max first-stage growth; C = max growth as a multiple of ROE (payout floor 40%)</t>
  </si>
  <si>
    <t xml:space="preserve">Growth floor</t>
  </si>
  <si>
    <t xml:space="preserve">ROE clip for payout (low / high)</t>
  </si>
  <si>
    <t xml:space="preserve">Hurdle (min. upside to hold)</t>
  </si>
  <si>
    <t xml:space="preserve">UnitedHealth Group (UNH)</t>
  </si>
  <si>
    <t xml:space="preserve">10-year FCFF DCF: revenue × FCF margin, both fading linearly, discounted at WACC; Gordon terminal value</t>
  </si>
  <si>
    <t xml:space="preserve">Inputs: company filings and market data as cited in the portfolio memo (not included) (Tickzen, Stock Titan, company guidance); prices 22–26 Sep 2026. $ in billions unless per share.</t>
  </si>
  <si>
    <t xml:space="preserve">Inputs</t>
  </si>
  <si>
    <t xml:space="preserve">Share price ($)</t>
  </si>
  <si>
    <t xml:space="preserve">Beta</t>
  </si>
  <si>
    <t xml:space="preserve">CAPM</t>
  </si>
  <si>
    <t xml:space="preserve">Debt weight</t>
  </si>
  <si>
    <t xml:space="preserve">Share of capital in debt</t>
  </si>
  <si>
    <t xml:space="preserve">Pre-tax cost of debt</t>
  </si>
  <si>
    <t xml:space="preserve">Tax rate</t>
  </si>
  <si>
    <t xml:space="preserve">WACC adjustment</t>
  </si>
  <si>
    <t xml:space="preserve">Revenue, last 12 months ($bn)</t>
  </si>
  <si>
    <t xml:space="preserve">Revenue growth, year 1</t>
  </si>
  <si>
    <t xml:space="preserve">Revenue growth, year 10</t>
  </si>
  <si>
    <t xml:space="preserve">FCF margin, year 1</t>
  </si>
  <si>
    <t xml:space="preserve">FCF margin, year 10</t>
  </si>
  <si>
    <t xml:space="preserve">Stock-specific; see Assumptions for market defaults</t>
  </si>
  <si>
    <t xml:space="preserve">Net debt ($bn)</t>
  </si>
  <si>
    <t xml:space="preserve">Negative = net cash</t>
  </si>
  <si>
    <t xml:space="preserve">Diluted shares (bn)</t>
  </si>
  <si>
    <t xml:space="preserve">Market cap ÷ price at data date</t>
  </si>
  <si>
    <t xml:space="preserve">Rev $460bn; FCF margin repairs only to 5.5% (2019–23 avg ≈7%) after the FY25 medical-cost shock</t>
  </si>
  <si>
    <t xml:space="preserve">Projection ($bn)</t>
  </si>
  <si>
    <t xml:space="preserve">Year</t>
  </si>
  <si>
    <t xml:space="preserve">Revenue growth</t>
  </si>
  <si>
    <t xml:space="preserve">FCF margin</t>
  </si>
  <si>
    <t xml:space="preserve">Revenue</t>
  </si>
  <si>
    <t xml:space="preserve">Free cash flow to firm</t>
  </si>
  <si>
    <t xml:space="preserve">Discount factor</t>
  </si>
  <si>
    <t xml:space="preserve">PV of FCFF</t>
  </si>
  <si>
    <t xml:space="preserve">Valuation</t>
  </si>
  <si>
    <t xml:space="preserve">Sum of PV of FCFF, years 1–10</t>
  </si>
  <si>
    <t xml:space="preserve">Terminal value (year 10)</t>
  </si>
  <si>
    <t xml:space="preserve">PV of terminal value</t>
  </si>
  <si>
    <t xml:space="preserve">Enterprise value</t>
  </si>
  <si>
    <t xml:space="preserve">Less: net debt</t>
  </si>
  <si>
    <t xml:space="preserve">Equity value</t>
  </si>
  <si>
    <t xml:space="preserve">Value per share ($)</t>
  </si>
  <si>
    <t xml:space="preserve">Upside / (downside)</t>
  </si>
  <si>
    <t xml:space="preserve">Terminal value share of EV</t>
  </si>
  <si>
    <t xml:space="preserve">Implied exit multiple (TV ÷ year-10 FCFF)</t>
  </si>
  <si>
    <t xml:space="preserve">Sensitivity: value per share ($)</t>
  </si>
  <si>
    <t xml:space="preserve">WACC ↓  /  terminal growth →</t>
  </si>
  <si>
    <t xml:space="preserve">Adobe (ADBE)</t>
  </si>
  <si>
    <t xml:space="preserve">AI-disruption case: growth fades to 0%, FCF margin compresses 38% → 30%</t>
  </si>
  <si>
    <t xml:space="preserve">Salesforce (CRM)</t>
  </si>
  <si>
    <t xml:space="preserve">Small haircut used for mega-caps with net cash / low leverage</t>
  </si>
  <si>
    <t xml:space="preserve">Rev $45.6bn TTM; growth 9% → 2%; FCF margin 35% → 33%</t>
  </si>
  <si>
    <t xml:space="preserve">Microsoft (MSFT)</t>
  </si>
  <si>
    <t xml:space="preserve">Deliberately generous margins (22% → 33%); still below the price</t>
  </si>
  <si>
    <t xml:space="preserve">Alphabet (GOOGL)</t>
  </si>
  <si>
    <t xml:space="preserve">Deliberately generous margins (18% → 27%); net cash $122bn</t>
  </si>
  <si>
    <t xml:space="preserve">Johnson &amp; Johnson (JNJ)</t>
  </si>
  <si>
    <t xml:space="preserve">Generous margin path (17.3% → 21%)</t>
  </si>
  <si>
    <t xml:space="preserve">Cigna Group (CI)</t>
  </si>
  <si>
    <t xml:space="preserve">Two-stage FCFE: +4%/yr for 5 years, then 0% forever (prices PBM reform)</t>
  </si>
  <si>
    <t xml:space="preserve">Free cash flow to equity, last 12 months ($bn)</t>
  </si>
  <si>
    <t xml:space="preserve">Stage-1 growth</t>
  </si>
  <si>
    <t xml:space="preserve">Stage-1 years</t>
  </si>
  <si>
    <t xml:space="preserve">Shares (bn)</t>
  </si>
  <si>
    <t xml:space="preserve">Cash flow</t>
  </si>
  <si>
    <t xml:space="preserve">PV</t>
  </si>
  <si>
    <t xml:space="preserve">Sum of PV, years 1–5</t>
  </si>
  <si>
    <t xml:space="preserve">Terminal value (year 5)</t>
  </si>
  <si>
    <t xml:space="preserve">Price ÷ current cash flow</t>
  </si>
  <si>
    <t xml:space="preserve">Cost of equity ↓  /  terminal growth →</t>
  </si>
  <si>
    <t xml:space="preserve">VICI Properties (VICI)</t>
  </si>
  <si>
    <t xml:space="preserve">Two-stage AFFO discount: organic rent growth only (2% for 5 years, then 1.5%)</t>
  </si>
  <si>
    <t xml:space="preserve">AFFO per share, forward ($)</t>
  </si>
  <si>
    <t xml:space="preserve">Per-share model (shares = 1)</t>
  </si>
  <si>
    <t xml:space="preserve">Projection ($/share)</t>
  </si>
  <si>
    <t xml:space="preserve">AT&amp;T (T)</t>
  </si>
  <si>
    <t xml:space="preserve">FCFE perpetuity: value = FCFE × (1 + g) / (cost of equity − g)</t>
  </si>
  <si>
    <t xml:space="preserve">Free cash flow to equity ($bn)</t>
  </si>
  <si>
    <t xml:space="preserve">Perpetual growth</t>
  </si>
  <si>
    <t xml:space="preserve">2026 FCF guidance $18bn+ (~10% yield); valued at zero growth</t>
  </si>
  <si>
    <t xml:space="preserve">Equity value ($bn)</t>
  </si>
  <si>
    <t xml:space="preserve">FCFE yield at current price</t>
  </si>
  <si>
    <t xml:space="preserve">Implied growth at current price</t>
  </si>
  <si>
    <t xml:space="preserve">Cost of equity ↓  /  growth →</t>
  </si>
  <si>
    <t xml:space="preserve">Verizon (VZ)</t>
  </si>
  <si>
    <t xml:space="preserve">FCFE ≈ $18bn (OCF $37.1bn − capex); zero growth</t>
  </si>
  <si>
    <t xml:space="preserve">Comcast (CMCSA)</t>
  </si>
  <si>
    <t xml:space="preserve">FCFE $12.7bn; broadband losses priced as −2%/yr forever</t>
  </si>
  <si>
    <t xml:space="preserve">PayPal (PYPL)</t>
  </si>
  <si>
    <t xml:space="preserve">FY25 FCF $5.6bn (~12% yield); 1.5% growth</t>
  </si>
  <si>
    <t xml:space="preserve">KT Corporation (030200 · KRX)</t>
  </si>
  <si>
    <t xml:space="preserve">Systematic 10-year model: discounted earnings (payout = 1 − g/ROE) blended 50/50 with discounted free cash flow; growth = ½ consensus + ½ terminal for 5 years, then a 5-year fade</t>
  </si>
  <si>
    <t xml:space="preserve">Inputs: Stock Analysis statistics page, 22–28 Sep 2026. Per-share figures in local currency; FCF and market cap in trillions.</t>
  </si>
  <si>
    <t xml:space="preserve">Share price (KRW)</t>
  </si>
  <si>
    <t xml:space="preserve">Forward P/E</t>
  </si>
  <si>
    <t xml:space="preserve">Trailing P/E</t>
  </si>
  <si>
    <t xml:space="preserve">Forward EPS (year 1)</t>
  </si>
  <si>
    <t xml:space="preserve">Consensus EPS growth (3-yr)</t>
  </si>
  <si>
    <t xml:space="preserve">Analyst consensus from data feed</t>
  </si>
  <si>
    <t xml:space="preserve">ROE (reported)</t>
  </si>
  <si>
    <t xml:space="preserve">ROE used in payout</t>
  </si>
  <si>
    <t xml:space="preserve">Clipped 8–30%</t>
  </si>
  <si>
    <t xml:space="preserve">Beta (data feed)</t>
  </si>
  <si>
    <t xml:space="preserve">Beta used</t>
  </si>
  <si>
    <t xml:space="preserve">Clipped to 0.8–1.6</t>
  </si>
  <si>
    <t xml:space="preserve">Market terminal growth</t>
  </si>
  <si>
    <t xml:space="preserve">Consensus shrunk halfway to terminal, capped</t>
  </si>
  <si>
    <t xml:space="preserve">Terminal growth used</t>
  </si>
  <si>
    <t xml:space="preserve">Shrinking firms get no market terminal growth</t>
  </si>
  <si>
    <t xml:space="preserve">Free cash flow (₩ tn)</t>
  </si>
  <si>
    <t xml:space="preserve">Market cap (₩ tn)</t>
  </si>
  <si>
    <t xml:space="preserve">FCF per share</t>
  </si>
  <si>
    <t xml:space="preserve">FCF leg base (capped at EPS)</t>
  </si>
  <si>
    <t xml:space="preserve">FCF is never credited above earnings</t>
  </si>
  <si>
    <t xml:space="preserve">Projection (per share, KRW)</t>
  </si>
  <si>
    <t xml:space="preserve">Year 11 feeds the terminal value</t>
  </si>
  <si>
    <t xml:space="preserve">Growth into next year</t>
  </si>
  <si>
    <t xml:space="preserve">EPS</t>
  </si>
  <si>
    <t xml:space="preserve">Payout = 1 − g/ROE</t>
  </si>
  <si>
    <t xml:space="preserve">Distributable earnings</t>
  </si>
  <si>
    <t xml:space="preserve">PV of distributable earnings</t>
  </si>
  <si>
    <t xml:space="preserve">PV of FCF</t>
  </si>
  <si>
    <t xml:space="preserve">Valuation (per share)</t>
  </si>
  <si>
    <t xml:space="preserve">Earnings leg: PV years 1–10</t>
  </si>
  <si>
    <t xml:space="preserve">Earnings leg: PV of terminal value</t>
  </si>
  <si>
    <t xml:space="preserve">Earnings-model value</t>
  </si>
  <si>
    <t xml:space="preserve">FCF leg: PV years 1–10</t>
  </si>
  <si>
    <t xml:space="preserve">FCF leg: PV of terminal value</t>
  </si>
  <si>
    <t xml:space="preserve">FCF-model value</t>
  </si>
  <si>
    <t xml:space="preserve">Blended value per share</t>
  </si>
  <si>
    <t xml:space="preserve">50/50 blend of the two legs</t>
  </si>
  <si>
    <t xml:space="preserve">Share price</t>
  </si>
  <si>
    <t xml:space="preserve">Sensitivity: value per share to cost of equity</t>
  </si>
  <si>
    <t xml:space="preserve">Cost of equity →</t>
  </si>
  <si>
    <t xml:space="preserve">Value per share</t>
  </si>
  <si>
    <t xml:space="preserve">LG Uplus Corp. (032640 · KRX)</t>
  </si>
  <si>
    <t xml:space="preserve">KRAFTON, Inc. (259960 · KRX)</t>
  </si>
  <si>
    <t xml:space="preserve">Hankook Tire &amp; Technology Co., Ltd. (161390 · KRX)</t>
  </si>
  <si>
    <t xml:space="preserve">COWAY Co., Ltd. (021240 · KRX)</t>
  </si>
  <si>
    <t xml:space="preserve">Earnings model only when FCF ≤ 0</t>
  </si>
  <si>
    <t xml:space="preserve">Astellas Pharma Inc. (4503 · TSE)</t>
  </si>
  <si>
    <t xml:space="preserve">Share price (JPY)</t>
  </si>
  <si>
    <t xml:space="preserve">EPS growth proxy (trailing → forward)</t>
  </si>
  <si>
    <t xml:space="preserve">No 3-yr consensus; capped at 8%</t>
  </si>
  <si>
    <t xml:space="preserve">Free cash flow (¥ tn)</t>
  </si>
  <si>
    <t xml:space="preserve">Market cap (¥ tn)</t>
  </si>
  <si>
    <t xml:space="preserve">Projection (per share, JPY)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</si>
</sst>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"/>
    <numFmt numFmtId="166" formatCode="0.0%;\(0.0%\);\-"/>
    <numFmt numFmtId="167" formatCode="0.00%;\(0.00%\);\-"/>
    <numFmt numFmtId="168" formatCode="\$#,##0.00;&quot;($&quot;#,##0.00\);\-"/>
    <numFmt numFmtId="169" formatCode="0.0%;\(0.0%\);\-"/>
    <numFmt numFmtId="170" formatCode="\₩#,##0;&quot;(₩&quot;#,##0\);\-"/>
    <numFmt numFmtId="171" formatCode="\¥#,##0;&quot;(¥&quot;#,##0\);\-"/>
    <numFmt numFmtId="172" formatCode="0.00"/>
    <numFmt numFmtId="173" formatCode="#,##0.00;\(#,##0.00\);\-"/>
    <numFmt numFmtId="174" formatCode="0.000"/>
    <numFmt numFmtId="175" formatCode="0.0\x"/>
    <numFmt numFmtId="176" formatCode="#,##0.000;\(#,##0.000\);\-"/>
    <numFmt numFmtId="177" formatCode="#,##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A1A1A"/>
      <name val="Arial"/>
      <family val="0"/>
      <charset val="1"/>
    </font>
    <font>
      <sz val="8"/>
      <color rgb="FF808080"/>
      <name val="Arial"/>
      <family val="0"/>
      <charset val="1"/>
    </font>
    <font>
      <b val="true"/>
      <sz val="9"/>
      <color rgb="FF1A1A1A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sz val="9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ortfolio_DCF_Valuations.xlsx" TargetMode="External"/><Relationship Id="rId2" Type="http://schemas.openxmlformats.org/officeDocument/2006/relationships/hyperlink" Target="Portfolio_DCF_Valuations.xlsx" TargetMode="External"/><Relationship Id="rId3" Type="http://schemas.openxmlformats.org/officeDocument/2006/relationships/hyperlink" Target="Portfolio_DCF_Valuations.xlsx" TargetMode="External"/><Relationship Id="rId4" Type="http://schemas.openxmlformats.org/officeDocument/2006/relationships/hyperlink" Target="Portfolio_DCF_Valuations.xlsx" TargetMode="External"/><Relationship Id="rId5" Type="http://schemas.openxmlformats.org/officeDocument/2006/relationships/hyperlink" Target="Portfolio_DCF_Valuations.xlsx" TargetMode="External"/><Relationship Id="rId6" Type="http://schemas.openxmlformats.org/officeDocument/2006/relationships/hyperlink" Target="Portfolio_DCF_Valuations.xlsx" TargetMode="External"/><Relationship Id="rId7" Type="http://schemas.openxmlformats.org/officeDocument/2006/relationships/hyperlink" Target="Portfolio_DCF_Valuations.xlsx" TargetMode="External"/><Relationship Id="rId8" Type="http://schemas.openxmlformats.org/officeDocument/2006/relationships/hyperlink" Target="Portfolio_DCF_Valuations.xlsx" TargetMode="External"/><Relationship Id="rId9" Type="http://schemas.openxmlformats.org/officeDocument/2006/relationships/hyperlink" Target="Portfolio_DCF_Valuations.xlsx" TargetMode="External"/><Relationship Id="rId10" Type="http://schemas.openxmlformats.org/officeDocument/2006/relationships/hyperlink" Target="Portfolio_DCF_Valuations.xlsx" TargetMode="External"/><Relationship Id="rId11" Type="http://schemas.openxmlformats.org/officeDocument/2006/relationships/hyperlink" Target="Portfolio_DCF_Valuations.xlsx" TargetMode="External"/><Relationship Id="rId12" Type="http://schemas.openxmlformats.org/officeDocument/2006/relationships/hyperlink" Target="Portfolio_DCF_Valuations.xlsx" TargetMode="External"/><Relationship Id="rId13" Type="http://schemas.openxmlformats.org/officeDocument/2006/relationships/hyperlink" Target="Portfolio_DCF_Valuations.xlsx" TargetMode="External"/><Relationship Id="rId14" Type="http://schemas.openxmlformats.org/officeDocument/2006/relationships/hyperlink" Target="Portfolio_DCF_Valuations.xlsx" TargetMode="External"/><Relationship Id="rId15" Type="http://schemas.openxmlformats.org/officeDocument/2006/relationships/hyperlink" Target="Portfolio_DCF_Valuations.xlsx" TargetMode="External"/><Relationship Id="rId16" Type="http://schemas.openxmlformats.org/officeDocument/2006/relationships/hyperlink" Target="Portfolio_DCF_Valuations.xlsx" TargetMode="External"/><Relationship Id="rId17" Type="http://schemas.openxmlformats.org/officeDocument/2006/relationships/hyperlink" Target="Portfolio_DCF_Valuations.xlsx" TargetMode="External"/><Relationship Id="rId18" Type="http://schemas.openxmlformats.org/officeDocument/2006/relationships/hyperlink" Target="Portfolio_DCF_Valuations.xlsx" TargetMode="External"/><Relationship Id="rId19" Type="http://schemas.openxmlformats.org/officeDocument/2006/relationships/hyperlink" Target="Portfolio_DCF_Valuations.xlsx" TargetMode="External"/><Relationship Id="rId20" Type="http://schemas.openxmlformats.org/officeDocument/2006/relationships/hyperlink" Target="Portfolio_DCF_Valuations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DCF_Valuations.xlsx" TargetMode="External"/><Relationship Id="rId2" Type="http://schemas.openxmlformats.org/officeDocument/2006/relationships/hyperlink" Target="DCF_Valuations.xlsx" TargetMode="External"/><Relationship Id="rId3" Type="http://schemas.openxmlformats.org/officeDocument/2006/relationships/hyperlink" Target="DCF_Valuations.xlsx" TargetMode="External"/><Relationship Id="rId4" Type="http://schemas.openxmlformats.org/officeDocument/2006/relationships/hyperlink" Target="DCF_Valuations.xlsx" TargetMode="External"/><Relationship Id="rId5" Type="http://schemas.openxmlformats.org/officeDocument/2006/relationships/hyperlink" Target="DCF_Valuations.xlsx" TargetMode="External"/><Relationship Id="rId6" Type="http://schemas.openxmlformats.org/officeDocument/2006/relationships/hyperlink" Target="DCF_Valuations.xlsx" TargetMode="External"/><Relationship Id="rId7" Type="http://schemas.openxmlformats.org/officeDocument/2006/relationships/hyperlink" Target="DCF_Valuations.xlsx" TargetMode="External"/><Relationship Id="rId8" Type="http://schemas.openxmlformats.org/officeDocument/2006/relationships/hyperlink" Target="DCF_Valuations.xlsx" TargetMode="External"/><Relationship Id="rId9" Type="http://schemas.openxmlformats.org/officeDocument/2006/relationships/hyperlink" Target="DCF_Valuations.xlsx" TargetMode="External"/><Relationship Id="rId10" Type="http://schemas.openxmlformats.org/officeDocument/2006/relationships/hyperlink" Target="DCF_Valuations.xlsx" TargetMode="External"/><Relationship Id="rId11" Type="http://schemas.openxmlformats.org/officeDocument/2006/relationships/hyperlink" Target="DCF_Valuations.xlsx" TargetMode="External"/><Relationship Id="rId12" Type="http://schemas.openxmlformats.org/officeDocument/2006/relationships/hyperlink" Target="DCF_Valuations.xlsx" TargetMode="External"/><Relationship Id="rId13" Type="http://schemas.openxmlformats.org/officeDocument/2006/relationships/hyperlink" Target="DCF_Valuations.xlsx" TargetMode="External"/><Relationship Id="rId14" Type="http://schemas.openxmlformats.org/officeDocument/2006/relationships/hyperlink" Target="DCF_Valuations.xlsx" TargetMode="External"/><Relationship Id="rId15" Type="http://schemas.openxmlformats.org/officeDocument/2006/relationships/hyperlink" Target="DCF_Valuations.xlsx" TargetMode="External"/><Relationship Id="rId16" Type="http://schemas.openxmlformats.org/officeDocument/2006/relationships/hyperlink" Target="DCF_Valuations.xlsx" TargetMode="External"/><Relationship Id="rId17" Type="http://schemas.openxmlformats.org/officeDocument/2006/relationships/hyperlink" Target="DCF_Valuations.xlsx" TargetMode="External"/><Relationship Id="rId18" Type="http://schemas.openxmlformats.org/officeDocument/2006/relationships/hyperlink" Target="DCF_Valuations.xlsx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6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4" min="3" style="0" width="18"/>
    <col collapsed="false" customWidth="true" hidden="false" outlineLevel="0" max="5" min="5" style="0" width="60"/>
  </cols>
  <sheetData>
    <row r="1" customFormat="false" ht="16.1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  <c r="C2" s="3"/>
      <c r="D2" s="3"/>
      <c r="E2" s="3"/>
    </row>
    <row r="4" customFormat="false" ht="15" hidden="false" customHeight="false" outlineLevel="0" collapsed="false">
      <c r="B4" s="4" t="s">
        <v>2</v>
      </c>
      <c r="C4" s="5" t="s">
        <v>3</v>
      </c>
    </row>
    <row r="5" customFormat="false" ht="15" hidden="false" customHeight="false" outlineLevel="0" collapsed="false">
      <c r="B5" s="4" t="s">
        <v>4</v>
      </c>
      <c r="C5" s="5" t="s">
        <v>5</v>
      </c>
    </row>
    <row r="6" customFormat="false" ht="15" hidden="false" customHeight="false" outlineLevel="0" collapsed="false">
      <c r="B6" s="4" t="s">
        <v>6</v>
      </c>
      <c r="C6" s="5" t="s">
        <v>7</v>
      </c>
    </row>
    <row r="8" customFormat="false" ht="15" hidden="false" customHeight="false" outlineLevel="0" collapsed="false">
      <c r="B8" s="6" t="s">
        <v>8</v>
      </c>
      <c r="C8" s="3"/>
      <c r="D8" s="3"/>
      <c r="E8" s="3"/>
    </row>
    <row r="9" customFormat="false" ht="15" hidden="false" customHeight="false" outlineLevel="0" collapsed="false">
      <c r="B9" s="5" t="s">
        <v>9</v>
      </c>
    </row>
    <row r="10" customFormat="false" ht="15" hidden="false" customHeight="false" outlineLevel="0" collapsed="false">
      <c r="B10" s="5" t="s">
        <v>10</v>
      </c>
    </row>
    <row r="11" customFormat="false" ht="15" hidden="false" customHeight="false" outlineLevel="0" collapsed="false">
      <c r="B11" s="5" t="s">
        <v>11</v>
      </c>
    </row>
    <row r="12" customFormat="false" ht="15" hidden="false" customHeight="false" outlineLevel="0" collapsed="false">
      <c r="B12" s="5" t="s">
        <v>12</v>
      </c>
    </row>
    <row r="14" customFormat="false" ht="15" hidden="false" customHeight="false" outlineLevel="0" collapsed="false">
      <c r="B14" s="6" t="s">
        <v>13</v>
      </c>
      <c r="C14" s="3"/>
      <c r="D14" s="3"/>
      <c r="E14" s="3"/>
    </row>
    <row r="15" customFormat="false" ht="15" hidden="false" customHeight="false" outlineLevel="0" collapsed="false">
      <c r="B15" s="5" t="s">
        <v>14</v>
      </c>
      <c r="C15" s="7" t="n">
        <f aca="false">COUNTA(Summary!B7:B15)+COUNTA(Summary!B18:B26)</f>
        <v>18</v>
      </c>
    </row>
    <row r="16" customFormat="false" ht="15" hidden="false" customHeight="false" outlineLevel="0" collapsed="false">
      <c r="B16" s="5" t="s">
        <v>15</v>
      </c>
      <c r="C16" s="7" t="n">
        <f aca="false">COUNTIF(Summary!J7:J26,"Yes")</f>
        <v>14</v>
      </c>
    </row>
    <row r="17" customFormat="false" ht="15" hidden="false" customHeight="false" outlineLevel="0" collapsed="false">
      <c r="B17" s="5" t="s">
        <v>16</v>
      </c>
      <c r="C17" s="8" t="n">
        <f aca="false">MEDIAN(Summary!I7:I15)</f>
        <v>0.613565868334357</v>
      </c>
    </row>
    <row r="18" customFormat="false" ht="15" hidden="false" customHeight="false" outlineLevel="0" collapsed="false">
      <c r="B18" s="5" t="s">
        <v>17</v>
      </c>
      <c r="C18" s="8" t="n">
        <f aca="false">MEDIAN(Summary!I18:I26)</f>
        <v>0.193844458382948</v>
      </c>
    </row>
    <row r="19" customFormat="false" ht="15" hidden="false" customHeight="false" outlineLevel="0" collapsed="false">
      <c r="B19" s="5" t="s">
        <v>18</v>
      </c>
      <c r="C19" s="9" t="str">
        <f aca="false">TEXT(Assumptions!B5,"0.00%")&amp;" / "&amp;TEXT(Assumptions!C5,"0.0%")</f>
        <v>5.23% / 4.5%</v>
      </c>
    </row>
    <row r="20" customFormat="false" ht="15" hidden="false" customHeight="false" outlineLevel="0" collapsed="false">
      <c r="B20" s="5" t="s">
        <v>19</v>
      </c>
      <c r="C20" s="9" t="str">
        <f aca="false">TEXT(Assumptions!B6,"0.00%")&amp;" / "&amp;TEXT(Assumptions!C6,"0.0%")</f>
        <v>4.41% / 5.5%</v>
      </c>
    </row>
    <row r="21" customFormat="false" ht="15" hidden="false" customHeight="false" outlineLevel="0" collapsed="false">
      <c r="B21" s="5" t="s">
        <v>20</v>
      </c>
      <c r="C21" s="9" t="str">
        <f aca="false">TEXT(Assumptions!B7,"0.00%")&amp;" / "&amp;TEXT(Assumptions!C7,"0.0%")</f>
        <v>3.07% / 5.0%</v>
      </c>
    </row>
    <row r="23" customFormat="false" ht="15" hidden="false" customHeight="false" outlineLevel="0" collapsed="false">
      <c r="B23" s="6" t="s">
        <v>21</v>
      </c>
      <c r="C23" s="3"/>
      <c r="D23" s="3"/>
      <c r="E23" s="3"/>
    </row>
    <row r="24" customFormat="false" ht="15" hidden="false" customHeight="false" outlineLevel="0" collapsed="false">
      <c r="B24" s="10" t="s">
        <v>22</v>
      </c>
      <c r="C24" s="5" t="s">
        <v>23</v>
      </c>
    </row>
    <row r="25" customFormat="false" ht="15" hidden="false" customHeight="false" outlineLevel="0" collapsed="false">
      <c r="B25" s="10" t="s">
        <v>24</v>
      </c>
      <c r="C25" s="5" t="s">
        <v>25</v>
      </c>
    </row>
    <row r="26" customFormat="false" ht="15" hidden="false" customHeight="false" outlineLevel="0" collapsed="false">
      <c r="B26" s="10" t="s">
        <v>26</v>
      </c>
      <c r="C26" s="5" t="s">
        <v>27</v>
      </c>
    </row>
    <row r="27" customFormat="false" ht="15" hidden="false" customHeight="false" outlineLevel="0" collapsed="false">
      <c r="B27" s="10" t="s">
        <v>28</v>
      </c>
      <c r="C27" s="5" t="s">
        <v>27</v>
      </c>
    </row>
    <row r="28" customFormat="false" ht="15" hidden="false" customHeight="false" outlineLevel="0" collapsed="false">
      <c r="B28" s="10" t="s">
        <v>29</v>
      </c>
      <c r="C28" s="5" t="s">
        <v>27</v>
      </c>
    </row>
    <row r="29" customFormat="false" ht="15" hidden="false" customHeight="false" outlineLevel="0" collapsed="false">
      <c r="B29" s="10" t="s">
        <v>30</v>
      </c>
      <c r="C29" s="5" t="s">
        <v>27</v>
      </c>
    </row>
    <row r="30" customFormat="false" ht="15" hidden="false" customHeight="false" outlineLevel="0" collapsed="false">
      <c r="B30" s="10" t="s">
        <v>31</v>
      </c>
      <c r="C30" s="5" t="s">
        <v>27</v>
      </c>
    </row>
    <row r="31" customFormat="false" ht="15" hidden="false" customHeight="false" outlineLevel="0" collapsed="false">
      <c r="B31" s="10" t="s">
        <v>32</v>
      </c>
      <c r="C31" s="5" t="s">
        <v>27</v>
      </c>
    </row>
    <row r="32" customFormat="false" ht="15" hidden="false" customHeight="false" outlineLevel="0" collapsed="false">
      <c r="B32" s="10" t="s">
        <v>33</v>
      </c>
      <c r="C32" s="5" t="s">
        <v>34</v>
      </c>
    </row>
    <row r="33" customFormat="false" ht="15" hidden="false" customHeight="false" outlineLevel="0" collapsed="false">
      <c r="B33" s="10" t="s">
        <v>35</v>
      </c>
      <c r="C33" s="5" t="s">
        <v>36</v>
      </c>
    </row>
    <row r="34" customFormat="false" ht="15" hidden="false" customHeight="false" outlineLevel="0" collapsed="false">
      <c r="B34" s="10" t="s">
        <v>37</v>
      </c>
      <c r="C34" s="5" t="s">
        <v>38</v>
      </c>
    </row>
    <row r="35" customFormat="false" ht="15" hidden="false" customHeight="false" outlineLevel="0" collapsed="false">
      <c r="B35" s="10" t="s">
        <v>39</v>
      </c>
      <c r="C35" s="5" t="s">
        <v>38</v>
      </c>
    </row>
    <row r="36" customFormat="false" ht="15" hidden="false" customHeight="false" outlineLevel="0" collapsed="false">
      <c r="B36" s="10" t="s">
        <v>40</v>
      </c>
      <c r="C36" s="5" t="s">
        <v>38</v>
      </c>
    </row>
    <row r="37" customFormat="false" ht="15" hidden="false" customHeight="false" outlineLevel="0" collapsed="false">
      <c r="B37" s="10" t="s">
        <v>41</v>
      </c>
      <c r="C37" s="5" t="s">
        <v>38</v>
      </c>
    </row>
    <row r="38" customFormat="false" ht="15" hidden="false" customHeight="false" outlineLevel="0" collapsed="false">
      <c r="B38" s="10" t="s">
        <v>42</v>
      </c>
      <c r="C38" s="5" t="s">
        <v>43</v>
      </c>
    </row>
    <row r="39" customFormat="false" ht="15" hidden="false" customHeight="false" outlineLevel="0" collapsed="false">
      <c r="B39" s="10" t="s">
        <v>44</v>
      </c>
      <c r="C39" s="5" t="s">
        <v>43</v>
      </c>
    </row>
    <row r="40" customFormat="false" ht="15" hidden="false" customHeight="false" outlineLevel="0" collapsed="false">
      <c r="B40" s="10" t="s">
        <v>45</v>
      </c>
      <c r="C40" s="5" t="s">
        <v>43</v>
      </c>
    </row>
    <row r="41" customFormat="false" ht="15" hidden="false" customHeight="false" outlineLevel="0" collapsed="false">
      <c r="B41" s="10" t="s">
        <v>46</v>
      </c>
      <c r="C41" s="5" t="s">
        <v>43</v>
      </c>
    </row>
    <row r="42" customFormat="false" ht="15" hidden="false" customHeight="false" outlineLevel="0" collapsed="false">
      <c r="B42" s="10" t="s">
        <v>47</v>
      </c>
      <c r="C42" s="5" t="s">
        <v>43</v>
      </c>
    </row>
    <row r="43" customFormat="false" ht="15" hidden="false" customHeight="false" outlineLevel="0" collapsed="false">
      <c r="B43" s="10" t="s">
        <v>48</v>
      </c>
      <c r="C43" s="5" t="s">
        <v>43</v>
      </c>
    </row>
    <row r="45" customFormat="false" ht="15" hidden="false" customHeight="false" outlineLevel="0" collapsed="false">
      <c r="B45" s="6" t="s">
        <v>49</v>
      </c>
      <c r="C45" s="3"/>
      <c r="D45" s="3"/>
      <c r="E45" s="3"/>
    </row>
    <row r="46" customFormat="false" ht="15" hidden="false" customHeight="false" outlineLevel="0" collapsed="false">
      <c r="B46" s="11" t="s">
        <v>50</v>
      </c>
    </row>
    <row r="47" customFormat="false" ht="15" hidden="false" customHeight="false" outlineLevel="0" collapsed="false">
      <c r="B47" s="5" t="s">
        <v>51</v>
      </c>
    </row>
    <row r="48" customFormat="false" ht="15" hidden="false" customHeight="false" outlineLevel="0" collapsed="false">
      <c r="B48" s="12" t="s">
        <v>52</v>
      </c>
    </row>
    <row r="49" customFormat="false" ht="15" hidden="false" customHeight="false" outlineLevel="0" collapsed="false">
      <c r="B49" s="13" t="s">
        <v>53</v>
      </c>
    </row>
    <row r="50" customFormat="false" ht="15" hidden="false" customHeight="false" outlineLevel="0" collapsed="false">
      <c r="B50" s="14" t="s">
        <v>54</v>
      </c>
    </row>
    <row r="52" customFormat="false" ht="15" hidden="false" customHeight="false" outlineLevel="0" collapsed="false">
      <c r="B52" s="6" t="s">
        <v>55</v>
      </c>
      <c r="C52" s="3"/>
      <c r="D52" s="3"/>
      <c r="E52" s="3"/>
    </row>
    <row r="53" customFormat="false" ht="15" hidden="false" customHeight="false" outlineLevel="0" collapsed="false">
      <c r="B53" s="5" t="s">
        <v>56</v>
      </c>
    </row>
    <row r="54" customFormat="false" ht="15" hidden="false" customHeight="false" outlineLevel="0" collapsed="false">
      <c r="B54" s="5" t="s">
        <v>57</v>
      </c>
    </row>
    <row r="55" customFormat="false" ht="15" hidden="false" customHeight="false" outlineLevel="0" collapsed="false">
      <c r="B55" s="5" t="s">
        <v>58</v>
      </c>
    </row>
    <row r="56" customFormat="false" ht="15" hidden="false" customHeight="false" outlineLevel="0" collapsed="false">
      <c r="B56" s="5" t="s">
        <v>59</v>
      </c>
    </row>
    <row r="58" customFormat="false" ht="15" hidden="false" customHeight="false" outlineLevel="0" collapsed="false">
      <c r="B58" s="6" t="s">
        <v>60</v>
      </c>
      <c r="C58" s="3"/>
      <c r="D58" s="3"/>
      <c r="E58" s="3"/>
    </row>
    <row r="59" customFormat="false" ht="15" hidden="false" customHeight="false" outlineLevel="0" collapsed="false">
      <c r="B59" s="5" t="s">
        <v>61</v>
      </c>
    </row>
    <row r="60" customFormat="false" ht="15" hidden="false" customHeight="false" outlineLevel="0" collapsed="false">
      <c r="B60" s="5" t="s">
        <v>62</v>
      </c>
    </row>
    <row r="62" customFormat="false" ht="15" hidden="false" customHeight="false" outlineLevel="0" collapsed="false">
      <c r="B62" s="4" t="s">
        <v>63</v>
      </c>
    </row>
    <row r="63" customFormat="false" ht="15" hidden="false" customHeight="false" outlineLevel="0" collapsed="false">
      <c r="B63" s="15" t="s">
        <v>64</v>
      </c>
    </row>
  </sheetData>
  <hyperlinks>
    <hyperlink ref="B24" r:id="rId1" location="'Summary'!A1" display="Summary"/>
    <hyperlink ref="B25" r:id="rId2" location="'Assumptions'!A1" display="Assumptions"/>
    <hyperlink ref="B26" r:id="rId3" location="'UNH'!A1" display="UNH"/>
    <hyperlink ref="B27" r:id="rId4" location="'ADBE'!A1" display="ADBE"/>
    <hyperlink ref="B28" r:id="rId5" location="'CRM'!A1" display="CRM"/>
    <hyperlink ref="B29" r:id="rId6" location="'MSFT'!A1" display="MSFT"/>
    <hyperlink ref="B30" r:id="rId7" location="'GOOGL'!A1" display="GOOGL"/>
    <hyperlink ref="B31" r:id="rId8" location="'JNJ'!A1" display="JNJ"/>
    <hyperlink ref="B32" r:id="rId9" location="'CI'!A1" display="CI"/>
    <hyperlink ref="B33" r:id="rId10" location="'VICI'!A1" display="VICI"/>
    <hyperlink ref="B34" r:id="rId11" location="'T'!A1" display="T"/>
    <hyperlink ref="B35" r:id="rId12" location="'VZ'!A1" display="VZ"/>
    <hyperlink ref="B36" r:id="rId13" location="'CMCSA'!A1" display="CMCSA"/>
    <hyperlink ref="B37" r:id="rId14" location="'PYPL'!A1" display="PYPL"/>
    <hyperlink ref="B38" r:id="rId15" location="'KT'!A1" display="KT"/>
    <hyperlink ref="B39" r:id="rId16" location="'LG%20Uplus'!A1" display="LG Uplus"/>
    <hyperlink ref="B40" r:id="rId17" location="'Krafton'!A1" display="Krafton"/>
    <hyperlink ref="B41" r:id="rId18" location="'Hankook%20Tire'!A1" display="Hankook Tire"/>
    <hyperlink ref="B42" r:id="rId19" location="'Coway'!A1" display="Coway"/>
    <hyperlink ref="B43" r:id="rId20" location="'Astellas'!A1" display="Astella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0" ySplit="5" topLeftCell="A6" activePane="bottomLeft" state="frozen"/>
      <selection pane="topLeft" activeCell="A1" activeCellId="0" sqref="A1"/>
      <selection pane="bottomLeft" activeCell="A8" activeCellId="0" sqref="A8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4" min="4" style="0" width="3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8"/>
    <col collapsed="false" customWidth="true" hidden="false" outlineLevel="0" max="12" min="12" style="0" width="11"/>
  </cols>
  <sheetData>
    <row r="1" customFormat="false" ht="18" hidden="false" customHeight="true" outlineLevel="0" collapsed="false">
      <c r="A1" s="1" t="s">
        <v>65</v>
      </c>
    </row>
    <row r="2" customFormat="false" ht="15" hidden="false" customHeight="false" outlineLevel="0" collapsed="false">
      <c r="A2" s="16" t="s">
        <v>66</v>
      </c>
    </row>
    <row r="3" customFormat="false" ht="15" hidden="false" customHeight="false" outlineLevel="0" collapsed="false">
      <c r="A3" s="16" t="s">
        <v>67</v>
      </c>
    </row>
    <row r="5" customFormat="false" ht="30" hidden="false" customHeight="true" outlineLevel="0" collapsed="false">
      <c r="A5" s="17" t="s">
        <v>68</v>
      </c>
      <c r="B5" s="17" t="s">
        <v>69</v>
      </c>
      <c r="C5" s="17" t="s">
        <v>70</v>
      </c>
      <c r="D5" s="17" t="s">
        <v>71</v>
      </c>
      <c r="E5" s="17" t="s">
        <v>72</v>
      </c>
      <c r="F5" s="17" t="s">
        <v>73</v>
      </c>
      <c r="G5" s="17" t="s">
        <v>74</v>
      </c>
      <c r="H5" s="17" t="s">
        <v>75</v>
      </c>
      <c r="I5" s="17" t="s">
        <v>76</v>
      </c>
      <c r="J5" s="17" t="s">
        <v>77</v>
      </c>
      <c r="K5" s="17" t="s">
        <v>78</v>
      </c>
      <c r="L5" s="17" t="s">
        <v>79</v>
      </c>
    </row>
    <row r="6" customFormat="false" ht="15" hidden="false" customHeight="false" outlineLevel="0" collapsed="false">
      <c r="A6" s="4" t="s">
        <v>80</v>
      </c>
    </row>
    <row r="7" customFormat="false" ht="15" hidden="false" customHeight="false" outlineLevel="0" collapsed="false">
      <c r="A7" s="11" t="s">
        <v>81</v>
      </c>
      <c r="B7" s="5" t="s">
        <v>37</v>
      </c>
      <c r="C7" s="5" t="s">
        <v>82</v>
      </c>
      <c r="D7" s="5" t="s">
        <v>38</v>
      </c>
      <c r="E7" s="18" t="n">
        <f aca="false">T!B10</f>
        <v>0.07255</v>
      </c>
      <c r="F7" s="5" t="s">
        <v>83</v>
      </c>
      <c r="G7" s="19" t="n">
        <f aca="false">T!B19</f>
        <v>25.38</v>
      </c>
      <c r="H7" s="20" t="n">
        <f aca="false">T!B18</f>
        <v>35.4934822758482</v>
      </c>
      <c r="I7" s="21" t="n">
        <f aca="false">H7/G7-1</f>
        <v>0.398482359174477</v>
      </c>
      <c r="J7" s="11" t="str">
        <f aca="false">IF(I7&gt;=Assumptions!$B$13,"Yes","No")</f>
        <v>Yes</v>
      </c>
      <c r="K7" s="11" t="s">
        <v>84</v>
      </c>
      <c r="L7" s="22" t="n">
        <v>0.02</v>
      </c>
    </row>
    <row r="8" customFormat="false" ht="15" hidden="false" customHeight="false" outlineLevel="0" collapsed="false">
      <c r="A8" s="11" t="s">
        <v>85</v>
      </c>
      <c r="B8" s="5" t="s">
        <v>33</v>
      </c>
      <c r="C8" s="5" t="s">
        <v>82</v>
      </c>
      <c r="D8" s="5" t="s">
        <v>34</v>
      </c>
      <c r="E8" s="18" t="n">
        <f aca="false">CI!B10</f>
        <v>0.0838</v>
      </c>
      <c r="F8" s="5" t="s">
        <v>83</v>
      </c>
      <c r="G8" s="19" t="n">
        <f aca="false">CI!B29</f>
        <v>274.47</v>
      </c>
      <c r="H8" s="20" t="n">
        <f aca="false">CI!B28</f>
        <v>425.443018161639</v>
      </c>
      <c r="I8" s="21" t="n">
        <f aca="false">H8/G8-1</f>
        <v>0.550052895258641</v>
      </c>
      <c r="J8" s="11" t="str">
        <f aca="false">IF(I8&gt;=Assumptions!$B$13,"Yes","No")</f>
        <v>Yes</v>
      </c>
      <c r="K8" s="11" t="s">
        <v>84</v>
      </c>
      <c r="L8" s="22" t="n">
        <v>0.0175</v>
      </c>
    </row>
    <row r="9" customFormat="false" ht="15" hidden="false" customHeight="false" outlineLevel="0" collapsed="false">
      <c r="A9" s="11" t="s">
        <v>86</v>
      </c>
      <c r="B9" s="5" t="s">
        <v>35</v>
      </c>
      <c r="C9" s="5" t="s">
        <v>82</v>
      </c>
      <c r="D9" s="5" t="s">
        <v>87</v>
      </c>
      <c r="E9" s="18" t="n">
        <f aca="false">VICI!B10</f>
        <v>0.0928</v>
      </c>
      <c r="F9" s="5" t="s">
        <v>83</v>
      </c>
      <c r="G9" s="19" t="n">
        <f aca="false">VICI!B29</f>
        <v>23.71</v>
      </c>
      <c r="H9" s="20" t="n">
        <f aca="false">VICI!B28</f>
        <v>33.5060700698833</v>
      </c>
      <c r="I9" s="21" t="n">
        <f aca="false">H9/G9-1</f>
        <v>0.413161959927594</v>
      </c>
      <c r="J9" s="11" t="str">
        <f aca="false">IF(I9&gt;=Assumptions!$B$13,"Yes","No")</f>
        <v>Yes</v>
      </c>
      <c r="K9" s="11" t="s">
        <v>84</v>
      </c>
      <c r="L9" s="22" t="n">
        <v>0.0125</v>
      </c>
    </row>
    <row r="10" customFormat="false" ht="15" hidden="false" customHeight="false" outlineLevel="0" collapsed="false">
      <c r="A10" s="11" t="s">
        <v>88</v>
      </c>
      <c r="B10" s="5" t="s">
        <v>89</v>
      </c>
      <c r="C10" s="5" t="s">
        <v>90</v>
      </c>
      <c r="D10" s="5" t="s">
        <v>91</v>
      </c>
      <c r="E10" s="18" t="n">
        <f aca="false">KT!B17</f>
        <v>0.0881</v>
      </c>
      <c r="F10" s="5" t="s">
        <v>83</v>
      </c>
      <c r="G10" s="23" t="n">
        <f aca="false">KT!B45</f>
        <v>53400</v>
      </c>
      <c r="H10" s="24" t="n">
        <f aca="false">KT!B44</f>
        <v>86167.5544769806</v>
      </c>
      <c r="I10" s="21" t="n">
        <f aca="false">H10/G10-1</f>
        <v>0.613624615673794</v>
      </c>
      <c r="J10" s="11" t="str">
        <f aca="false">IF(I10&gt;=Assumptions!$B$13,"Yes","No")</f>
        <v>Yes</v>
      </c>
      <c r="K10" s="11" t="s">
        <v>84</v>
      </c>
      <c r="L10" s="22" t="n">
        <v>0.025</v>
      </c>
    </row>
    <row r="11" customFormat="false" ht="15" hidden="false" customHeight="false" outlineLevel="0" collapsed="false">
      <c r="A11" s="11" t="s">
        <v>44</v>
      </c>
      <c r="B11" s="5" t="s">
        <v>92</v>
      </c>
      <c r="C11" s="5" t="s">
        <v>90</v>
      </c>
      <c r="D11" s="5" t="s">
        <v>91</v>
      </c>
      <c r="E11" s="18" t="n">
        <f aca="false">'LG Uplus'!B17</f>
        <v>0.0881</v>
      </c>
      <c r="F11" s="5" t="s">
        <v>83</v>
      </c>
      <c r="G11" s="23" t="n">
        <f aca="false">'LG Uplus'!B45</f>
        <v>15020</v>
      </c>
      <c r="H11" s="24" t="n">
        <f aca="false">'LG Uplus'!B44</f>
        <v>26836.2705889924</v>
      </c>
      <c r="I11" s="21" t="n">
        <f aca="false">H11/G11-1</f>
        <v>0.786702436018135</v>
      </c>
      <c r="J11" s="11" t="str">
        <f aca="false">IF(I11&gt;=Assumptions!$B$13,"Yes","No")</f>
        <v>Yes</v>
      </c>
      <c r="K11" s="11" t="s">
        <v>84</v>
      </c>
      <c r="L11" s="22" t="n">
        <v>0.025</v>
      </c>
    </row>
    <row r="12" customFormat="false" ht="15" hidden="false" customHeight="false" outlineLevel="0" collapsed="false">
      <c r="A12" s="11" t="s">
        <v>45</v>
      </c>
      <c r="B12" s="5" t="s">
        <v>93</v>
      </c>
      <c r="C12" s="5" t="s">
        <v>90</v>
      </c>
      <c r="D12" s="5" t="s">
        <v>91</v>
      </c>
      <c r="E12" s="18" t="n">
        <f aca="false">Krafton!B17</f>
        <v>0.0881</v>
      </c>
      <c r="F12" s="5" t="s">
        <v>83</v>
      </c>
      <c r="G12" s="23" t="n">
        <f aca="false">Krafton!B45</f>
        <v>200000</v>
      </c>
      <c r="H12" s="24" t="n">
        <f aca="false">Krafton!B44</f>
        <v>395321.767133193</v>
      </c>
      <c r="I12" s="21" t="n">
        <f aca="false">H12/G12-1</f>
        <v>0.976608835665965</v>
      </c>
      <c r="J12" s="11" t="str">
        <f aca="false">IF(I12&gt;=Assumptions!$B$13,"Yes","No")</f>
        <v>Yes</v>
      </c>
      <c r="K12" s="11" t="s">
        <v>84</v>
      </c>
      <c r="L12" s="22" t="n">
        <v>0.025</v>
      </c>
    </row>
    <row r="13" customFormat="false" ht="15" hidden="false" customHeight="false" outlineLevel="0" collapsed="false">
      <c r="A13" s="11" t="s">
        <v>94</v>
      </c>
      <c r="B13" s="5" t="s">
        <v>95</v>
      </c>
      <c r="C13" s="5" t="s">
        <v>90</v>
      </c>
      <c r="D13" s="5" t="s">
        <v>91</v>
      </c>
      <c r="E13" s="18" t="n">
        <f aca="false">'Hankook Tire'!B17</f>
        <v>0.0881</v>
      </c>
      <c r="F13" s="5" t="s">
        <v>83</v>
      </c>
      <c r="G13" s="23" t="n">
        <f aca="false">'Hankook Tire'!B45</f>
        <v>63500</v>
      </c>
      <c r="H13" s="24" t="n">
        <f aca="false">'Hankook Tire'!B44</f>
        <v>102461.432639232</v>
      </c>
      <c r="I13" s="21" t="n">
        <f aca="false">H13/G13-1</f>
        <v>0.613565868334357</v>
      </c>
      <c r="J13" s="11" t="str">
        <f aca="false">IF(I13&gt;=Assumptions!$B$13,"Yes","No")</f>
        <v>Yes</v>
      </c>
      <c r="K13" s="11" t="s">
        <v>84</v>
      </c>
      <c r="L13" s="22" t="n">
        <v>0.025</v>
      </c>
    </row>
    <row r="14" customFormat="false" ht="15" hidden="false" customHeight="false" outlineLevel="0" collapsed="false">
      <c r="A14" s="11" t="s">
        <v>47</v>
      </c>
      <c r="B14" s="5" t="s">
        <v>96</v>
      </c>
      <c r="C14" s="5" t="s">
        <v>90</v>
      </c>
      <c r="D14" s="5" t="s">
        <v>91</v>
      </c>
      <c r="E14" s="18" t="n">
        <f aca="false">Coway!B17</f>
        <v>0.0881</v>
      </c>
      <c r="F14" s="5" t="s">
        <v>83</v>
      </c>
      <c r="G14" s="23" t="n">
        <f aca="false">Coway!B45</f>
        <v>95200</v>
      </c>
      <c r="H14" s="24" t="n">
        <f aca="false">Coway!B44</f>
        <v>170910.161394169</v>
      </c>
      <c r="I14" s="21" t="n">
        <f aca="false">H14/G14-1</f>
        <v>0.795274804560594</v>
      </c>
      <c r="J14" s="11" t="str">
        <f aca="false">IF(I14&gt;=Assumptions!$B$13,"Yes","No")</f>
        <v>Yes</v>
      </c>
      <c r="K14" s="11" t="s">
        <v>84</v>
      </c>
      <c r="L14" s="22" t="n">
        <v>0.025</v>
      </c>
    </row>
    <row r="15" customFormat="false" ht="15" hidden="false" customHeight="false" outlineLevel="0" collapsed="false">
      <c r="A15" s="11" t="s">
        <v>97</v>
      </c>
      <c r="B15" s="5" t="s">
        <v>98</v>
      </c>
      <c r="C15" s="5" t="s">
        <v>99</v>
      </c>
      <c r="D15" s="5" t="s">
        <v>91</v>
      </c>
      <c r="E15" s="18" t="n">
        <f aca="false">Astellas!B17</f>
        <v>0.0707</v>
      </c>
      <c r="F15" s="5" t="s">
        <v>83</v>
      </c>
      <c r="G15" s="25" t="n">
        <f aca="false">Astellas!B45</f>
        <v>2399</v>
      </c>
      <c r="H15" s="26" t="n">
        <f aca="false">Astellas!B44</f>
        <v>3695.71157906017</v>
      </c>
      <c r="I15" s="21" t="n">
        <f aca="false">H15/G15-1</f>
        <v>0.540521708653678</v>
      </c>
      <c r="J15" s="11" t="str">
        <f aca="false">IF(I15&gt;=Assumptions!$B$13,"Yes","No")</f>
        <v>Yes</v>
      </c>
      <c r="K15" s="11" t="s">
        <v>84</v>
      </c>
      <c r="L15" s="22" t="n">
        <v>0.0225</v>
      </c>
    </row>
    <row r="17" customFormat="false" ht="15" hidden="false" customHeight="false" outlineLevel="0" collapsed="false">
      <c r="A17" s="4" t="s">
        <v>100</v>
      </c>
    </row>
    <row r="18" customFormat="false" ht="15" hidden="false" customHeight="false" outlineLevel="0" collapsed="false">
      <c r="A18" s="11" t="s">
        <v>101</v>
      </c>
      <c r="B18" s="5" t="s">
        <v>26</v>
      </c>
      <c r="C18" s="5" t="s">
        <v>82</v>
      </c>
      <c r="D18" s="5" t="s">
        <v>27</v>
      </c>
      <c r="E18" s="18" t="n">
        <f aca="false">UNH!B15</f>
        <v>0.081691</v>
      </c>
      <c r="F18" s="5" t="s">
        <v>102</v>
      </c>
      <c r="G18" s="19" t="n">
        <f aca="false">UNH!B43</f>
        <v>376.59</v>
      </c>
      <c r="H18" s="20" t="n">
        <f aca="false">UNH!B42</f>
        <v>572.012937565981</v>
      </c>
      <c r="I18" s="21" t="n">
        <f aca="false">H18/G18-1</f>
        <v>0.518927580567676</v>
      </c>
      <c r="J18" s="11" t="str">
        <f aca="false">IF(I18&gt;=Assumptions!$B$13,"Yes","No")</f>
        <v>Yes</v>
      </c>
      <c r="K18" s="11" t="s">
        <v>103</v>
      </c>
      <c r="L18" s="22" t="n">
        <v>0</v>
      </c>
    </row>
    <row r="19" customFormat="false" ht="15" hidden="false" customHeight="false" outlineLevel="0" collapsed="false">
      <c r="A19" s="11" t="s">
        <v>104</v>
      </c>
      <c r="B19" s="5" t="s">
        <v>28</v>
      </c>
      <c r="C19" s="5" t="s">
        <v>82</v>
      </c>
      <c r="D19" s="5" t="s">
        <v>27</v>
      </c>
      <c r="E19" s="18" t="n">
        <f aca="false">ADBE!B15</f>
        <v>0.1018</v>
      </c>
      <c r="F19" s="5" t="s">
        <v>102</v>
      </c>
      <c r="G19" s="19" t="n">
        <f aca="false">ADBE!B43</f>
        <v>240.69</v>
      </c>
      <c r="H19" s="20" t="n">
        <f aca="false">ADBE!B42</f>
        <v>309.395417700763</v>
      </c>
      <c r="I19" s="21" t="n">
        <f aca="false">H19/G19-1</f>
        <v>0.285451899541996</v>
      </c>
      <c r="J19" s="11" t="str">
        <f aca="false">IF(I19&gt;=Assumptions!$B$13,"Yes","No")</f>
        <v>Yes</v>
      </c>
      <c r="K19" s="11" t="s">
        <v>103</v>
      </c>
      <c r="L19" s="22" t="n">
        <v>0</v>
      </c>
    </row>
    <row r="20" customFormat="false" ht="15" hidden="false" customHeight="false" outlineLevel="0" collapsed="false">
      <c r="A20" s="11" t="s">
        <v>105</v>
      </c>
      <c r="B20" s="5" t="s">
        <v>29</v>
      </c>
      <c r="C20" s="5" t="s">
        <v>82</v>
      </c>
      <c r="D20" s="5" t="s">
        <v>27</v>
      </c>
      <c r="E20" s="18" t="n">
        <f aca="false">CRM!B15</f>
        <v>0.0988</v>
      </c>
      <c r="F20" s="5" t="s">
        <v>102</v>
      </c>
      <c r="G20" s="19" t="n">
        <f aca="false">CRM!B43</f>
        <v>234.02</v>
      </c>
      <c r="H20" s="20" t="n">
        <f aca="false">CRM!B42</f>
        <v>255.457892236287</v>
      </c>
      <c r="I20" s="21" t="n">
        <f aca="false">H20/G20-1</f>
        <v>0.0916070944205076</v>
      </c>
      <c r="J20" s="11" t="str">
        <f aca="false">IF(I20&gt;=Assumptions!$B$13,"Yes","No")</f>
        <v>No</v>
      </c>
      <c r="K20" s="11" t="s">
        <v>103</v>
      </c>
      <c r="L20" s="22" t="n">
        <v>0</v>
      </c>
    </row>
    <row r="21" customFormat="false" ht="15" hidden="false" customHeight="false" outlineLevel="0" collapsed="false">
      <c r="A21" s="11" t="s">
        <v>106</v>
      </c>
      <c r="B21" s="5" t="s">
        <v>30</v>
      </c>
      <c r="C21" s="5" t="s">
        <v>82</v>
      </c>
      <c r="D21" s="5" t="s">
        <v>27</v>
      </c>
      <c r="E21" s="18" t="n">
        <f aca="false">MSFT!B15</f>
        <v>0.0953</v>
      </c>
      <c r="F21" s="5" t="s">
        <v>102</v>
      </c>
      <c r="G21" s="19" t="n">
        <f aca="false">MSFT!B43</f>
        <v>516.17</v>
      </c>
      <c r="H21" s="20" t="n">
        <f aca="false">MSFT!B42</f>
        <v>392.896594415719</v>
      </c>
      <c r="I21" s="21" t="n">
        <f aca="false">H21/G21-1</f>
        <v>-0.238823266722749</v>
      </c>
      <c r="J21" s="11" t="str">
        <f aca="false">IF(I21&gt;=Assumptions!$B$13,"Yes","No")</f>
        <v>No</v>
      </c>
      <c r="K21" s="11" t="s">
        <v>103</v>
      </c>
      <c r="L21" s="22" t="n">
        <v>0</v>
      </c>
    </row>
    <row r="22" customFormat="false" ht="15" hidden="false" customHeight="false" outlineLevel="0" collapsed="false">
      <c r="A22" s="11" t="s">
        <v>107</v>
      </c>
      <c r="B22" s="5" t="s">
        <v>31</v>
      </c>
      <c r="C22" s="5" t="s">
        <v>82</v>
      </c>
      <c r="D22" s="5" t="s">
        <v>27</v>
      </c>
      <c r="E22" s="18" t="n">
        <f aca="false">GOOGL!B15</f>
        <v>0.10205</v>
      </c>
      <c r="F22" s="5" t="s">
        <v>102</v>
      </c>
      <c r="G22" s="19" t="n">
        <f aca="false">GOOGL!B43</f>
        <v>343.92</v>
      </c>
      <c r="H22" s="20" t="n">
        <f aca="false">GOOGL!B42</f>
        <v>241.28156672781</v>
      </c>
      <c r="I22" s="21" t="n">
        <f aca="false">H22/G22-1</f>
        <v>-0.298436942522071</v>
      </c>
      <c r="J22" s="11" t="str">
        <f aca="false">IF(I22&gt;=Assumptions!$B$13,"Yes","No")</f>
        <v>No</v>
      </c>
      <c r="K22" s="11" t="s">
        <v>103</v>
      </c>
      <c r="L22" s="22" t="n">
        <v>0</v>
      </c>
    </row>
    <row r="23" customFormat="false" ht="15" hidden="false" customHeight="false" outlineLevel="0" collapsed="false">
      <c r="A23" s="11" t="s">
        <v>108</v>
      </c>
      <c r="B23" s="5" t="s">
        <v>32</v>
      </c>
      <c r="C23" s="5" t="s">
        <v>82</v>
      </c>
      <c r="D23" s="5" t="s">
        <v>27</v>
      </c>
      <c r="E23" s="18" t="n">
        <f aca="false">JNJ!B15</f>
        <v>0.07505</v>
      </c>
      <c r="F23" s="5" t="s">
        <v>102</v>
      </c>
      <c r="G23" s="19" t="n">
        <f aca="false">JNJ!B43</f>
        <v>271.22</v>
      </c>
      <c r="H23" s="20" t="n">
        <f aca="false">JNJ!B42</f>
        <v>231.418499341239</v>
      </c>
      <c r="I23" s="21" t="n">
        <f aca="false">H23/G23-1</f>
        <v>-0.146749873382349</v>
      </c>
      <c r="J23" s="11" t="str">
        <f aca="false">IF(I23&gt;=Assumptions!$B$13,"Yes","No")</f>
        <v>No</v>
      </c>
      <c r="K23" s="11" t="s">
        <v>103</v>
      </c>
      <c r="L23" s="22" t="n">
        <v>0</v>
      </c>
    </row>
    <row r="24" customFormat="false" ht="15" hidden="false" customHeight="false" outlineLevel="0" collapsed="false">
      <c r="A24" s="11" t="s">
        <v>109</v>
      </c>
      <c r="B24" s="5" t="s">
        <v>39</v>
      </c>
      <c r="C24" s="5" t="s">
        <v>82</v>
      </c>
      <c r="D24" s="5" t="s">
        <v>38</v>
      </c>
      <c r="E24" s="18" t="n">
        <f aca="false">VZ!B10</f>
        <v>0.07255</v>
      </c>
      <c r="F24" s="5" t="s">
        <v>83</v>
      </c>
      <c r="G24" s="19" t="n">
        <f aca="false">VZ!B19</f>
        <v>47.08</v>
      </c>
      <c r="H24" s="20" t="n">
        <f aca="false">VZ!B18</f>
        <v>56.2061971006692</v>
      </c>
      <c r="I24" s="21" t="n">
        <f aca="false">H24/G24-1</f>
        <v>0.193844458382948</v>
      </c>
      <c r="J24" s="11" t="str">
        <f aca="false">IF(I24&gt;=Assumptions!$B$13,"Yes","No")</f>
        <v>Yes</v>
      </c>
      <c r="K24" s="11" t="s">
        <v>103</v>
      </c>
      <c r="L24" s="22" t="n">
        <v>0</v>
      </c>
    </row>
    <row r="25" customFormat="false" ht="15" hidden="false" customHeight="false" outlineLevel="0" collapsed="false">
      <c r="A25" s="11" t="s">
        <v>110</v>
      </c>
      <c r="B25" s="5" t="s">
        <v>40</v>
      </c>
      <c r="C25" s="5" t="s">
        <v>82</v>
      </c>
      <c r="D25" s="5" t="s">
        <v>38</v>
      </c>
      <c r="E25" s="18" t="n">
        <f aca="false">CMCSA!B10</f>
        <v>0.08605</v>
      </c>
      <c r="F25" s="5" t="s">
        <v>83</v>
      </c>
      <c r="G25" s="19" t="n">
        <f aca="false">CMCSA!B19</f>
        <v>21.91</v>
      </c>
      <c r="H25" s="20" t="n">
        <f aca="false">CMCSA!B18</f>
        <v>27.2215944863595</v>
      </c>
      <c r="I25" s="21" t="n">
        <f aca="false">H25/G25-1</f>
        <v>0.242427863366475</v>
      </c>
      <c r="J25" s="11" t="str">
        <f aca="false">IF(I25&gt;=Assumptions!$B$13,"Yes","No")</f>
        <v>Yes</v>
      </c>
      <c r="K25" s="11" t="s">
        <v>103</v>
      </c>
      <c r="L25" s="22" t="n">
        <v>0</v>
      </c>
    </row>
    <row r="26" customFormat="false" ht="15" hidden="false" customHeight="false" outlineLevel="0" collapsed="false">
      <c r="A26" s="11" t="s">
        <v>111</v>
      </c>
      <c r="B26" s="5" t="s">
        <v>41</v>
      </c>
      <c r="C26" s="5" t="s">
        <v>82</v>
      </c>
      <c r="D26" s="5" t="s">
        <v>38</v>
      </c>
      <c r="E26" s="18" t="n">
        <f aca="false">PYPL!B10</f>
        <v>0.10495</v>
      </c>
      <c r="F26" s="5" t="s">
        <v>83</v>
      </c>
      <c r="G26" s="19" t="n">
        <f aca="false">PYPL!B19</f>
        <v>55.04</v>
      </c>
      <c r="H26" s="20" t="n">
        <f aca="false">PYPL!B18</f>
        <v>77.203418596717</v>
      </c>
      <c r="I26" s="21" t="n">
        <f aca="false">H26/G26-1</f>
        <v>0.40267839020198</v>
      </c>
      <c r="J26" s="11" t="str">
        <f aca="false">IF(I26&gt;=Assumptions!$B$13,"Yes","No")</f>
        <v>Yes</v>
      </c>
      <c r="K26" s="11" t="s">
        <v>103</v>
      </c>
      <c r="L26" s="22" t="n">
        <v>0</v>
      </c>
    </row>
    <row r="28" customFormat="false" ht="15" hidden="false" customHeight="false" outlineLevel="0" collapsed="false">
      <c r="A28" s="4" t="s">
        <v>112</v>
      </c>
    </row>
    <row r="29" customFormat="false" ht="15" hidden="false" customHeight="false" outlineLevel="0" collapsed="false">
      <c r="A29" s="16" t="s">
        <v>113</v>
      </c>
    </row>
    <row r="30" customFormat="false" ht="15" hidden="false" customHeight="false" outlineLevel="0" collapsed="false">
      <c r="A30" s="16" t="s">
        <v>114</v>
      </c>
    </row>
    <row r="31" customFormat="false" ht="15" hidden="false" customHeight="false" outlineLevel="0" collapsed="false">
      <c r="A31" s="16" t="s">
        <v>115</v>
      </c>
    </row>
    <row r="32" customFormat="false" ht="15" hidden="false" customHeight="false" outlineLevel="0" collapsed="false">
      <c r="A32" s="16" t="s">
        <v>116</v>
      </c>
    </row>
  </sheetData>
  <hyperlinks>
    <hyperlink ref="A7" r:id="rId1" location="T!A1" display="AT&amp;T"/>
    <hyperlink ref="A8" r:id="rId2" location="CI!A1" display="Cigna Group"/>
    <hyperlink ref="A9" r:id="rId3" location="VICI!A1" display="VICI Properties"/>
    <hyperlink ref="A10" r:id="rId4" location="KT!A1" display="KT Corp"/>
    <hyperlink ref="A11" r:id="rId5" location="'LG%20Uplus'!A1" display="LG Uplus"/>
    <hyperlink ref="A12" r:id="rId6" location="Krafton!A1" display="Krafton"/>
    <hyperlink ref="A13" r:id="rId7" location="'Hankook%20Tire'!A1" display="Hankook Tire &amp; Technology"/>
    <hyperlink ref="A14" r:id="rId8" location="Coway!A1" display="Coway"/>
    <hyperlink ref="A15" r:id="rId9" location="Astellas!A1" display="Astellas Pharma"/>
    <hyperlink ref="A18" r:id="rId10" location="UNH!A1" display="UnitedHealth Group"/>
    <hyperlink ref="A19" r:id="rId11" location="ADBE!A1" display="Adobe"/>
    <hyperlink ref="A20" r:id="rId12" location="CRM!A1" display="Salesforce"/>
    <hyperlink ref="A21" r:id="rId13" location="MSFT!A1" display="Microsoft"/>
    <hyperlink ref="A22" r:id="rId14" location="GOOGL!A1" display="Alphabet"/>
    <hyperlink ref="A23" r:id="rId15" location="JNJ!A1" display="Johnson &amp; Johnson"/>
    <hyperlink ref="A24" r:id="rId16" location="VZ!A1" display="Verizon"/>
    <hyperlink ref="A25" r:id="rId17" location="CMCSA!A1" display="Comcast"/>
    <hyperlink ref="A26" r:id="rId18" location="PYPL!A1" display="PayPa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4" min="2" style="0" width="16"/>
    <col collapsed="false" customWidth="true" hidden="false" outlineLevel="0" max="5" min="5" style="0" width="110"/>
  </cols>
  <sheetData>
    <row r="1" customFormat="false" ht="18" hidden="false" customHeight="true" outlineLevel="0" collapsed="false">
      <c r="A1" s="1" t="s">
        <v>117</v>
      </c>
    </row>
    <row r="2" customFormat="false" ht="15" hidden="false" customHeight="false" outlineLevel="0" collapsed="false">
      <c r="A2" s="16" t="s">
        <v>118</v>
      </c>
    </row>
    <row r="4" customFormat="false" ht="15" hidden="false" customHeight="false" outlineLevel="0" collapsed="false">
      <c r="A4" s="27" t="s">
        <v>70</v>
      </c>
      <c r="B4" s="27" t="s">
        <v>119</v>
      </c>
      <c r="C4" s="27" t="s">
        <v>120</v>
      </c>
      <c r="D4" s="27" t="s">
        <v>121</v>
      </c>
      <c r="E4" s="27" t="s">
        <v>122</v>
      </c>
    </row>
    <row r="5" customFormat="false" ht="15" hidden="false" customHeight="false" outlineLevel="0" collapsed="false">
      <c r="A5" s="4" t="s">
        <v>82</v>
      </c>
      <c r="B5" s="22" t="n">
        <v>0.0523</v>
      </c>
      <c r="C5" s="22" t="n">
        <v>0.045</v>
      </c>
      <c r="D5" s="28" t="n">
        <v>0.03</v>
      </c>
      <c r="E5" s="16" t="s">
        <v>123</v>
      </c>
    </row>
    <row r="6" customFormat="false" ht="15" hidden="false" customHeight="false" outlineLevel="0" collapsed="false">
      <c r="A6" s="4" t="s">
        <v>90</v>
      </c>
      <c r="B6" s="22" t="n">
        <v>0.0441</v>
      </c>
      <c r="C6" s="22" t="n">
        <v>0.055</v>
      </c>
      <c r="D6" s="28" t="n">
        <v>0.025</v>
      </c>
      <c r="E6" s="16" t="s">
        <v>124</v>
      </c>
    </row>
    <row r="7" customFormat="false" ht="15" hidden="false" customHeight="false" outlineLevel="0" collapsed="false">
      <c r="A7" s="4" t="s">
        <v>99</v>
      </c>
      <c r="B7" s="22" t="n">
        <v>0.0307</v>
      </c>
      <c r="C7" s="22" t="n">
        <v>0.05</v>
      </c>
      <c r="D7" s="28" t="n">
        <v>0.015</v>
      </c>
      <c r="E7" s="16" t="s">
        <v>125</v>
      </c>
    </row>
    <row r="9" customFormat="false" ht="15" hidden="false" customHeight="false" outlineLevel="0" collapsed="false">
      <c r="A9" s="4" t="s">
        <v>126</v>
      </c>
      <c r="B9" s="29" t="n">
        <v>0.8</v>
      </c>
      <c r="C9" s="29" t="n">
        <v>1.6</v>
      </c>
      <c r="E9" s="16" t="s">
        <v>127</v>
      </c>
    </row>
    <row r="10" customFormat="false" ht="15" hidden="false" customHeight="false" outlineLevel="0" collapsed="false">
      <c r="A10" s="4" t="s">
        <v>128</v>
      </c>
      <c r="B10" s="30" t="n">
        <v>0.1</v>
      </c>
      <c r="C10" s="29" t="n">
        <v>0.6</v>
      </c>
      <c r="E10" s="16" t="s">
        <v>129</v>
      </c>
    </row>
    <row r="11" customFormat="false" ht="15" hidden="false" customHeight="false" outlineLevel="0" collapsed="false">
      <c r="A11" s="4" t="s">
        <v>130</v>
      </c>
      <c r="B11" s="30" t="n">
        <v>-0.05</v>
      </c>
    </row>
    <row r="12" customFormat="false" ht="15" hidden="false" customHeight="false" outlineLevel="0" collapsed="false">
      <c r="A12" s="4" t="s">
        <v>131</v>
      </c>
      <c r="B12" s="30" t="n">
        <v>0.08</v>
      </c>
      <c r="C12" s="30" t="n">
        <v>0.3</v>
      </c>
    </row>
    <row r="13" customFormat="false" ht="15" hidden="false" customHeight="false" outlineLevel="0" collapsed="false">
      <c r="A13" s="4" t="s">
        <v>132</v>
      </c>
      <c r="B13" s="31" t="n">
        <v>0.15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133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376.59</v>
      </c>
    </row>
    <row r="7" customFormat="false" ht="15" hidden="false" customHeight="false" outlineLevel="0" collapsed="false">
      <c r="A7" s="5" t="s">
        <v>138</v>
      </c>
      <c r="B7" s="33" t="n">
        <v>0.8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0.0883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0.15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0.056</v>
      </c>
    </row>
    <row r="13" customFormat="false" ht="15" hidden="false" customHeight="false" outlineLevel="0" collapsed="false">
      <c r="A13" s="5" t="s">
        <v>143</v>
      </c>
      <c r="B13" s="30" t="n">
        <v>0.21</v>
      </c>
    </row>
    <row r="14" customFormat="false" ht="15" hidden="false" customHeight="false" outlineLevel="0" collapsed="false">
      <c r="A14" s="5" t="s">
        <v>144</v>
      </c>
      <c r="B14" s="22" t="n">
        <v>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0.081691</v>
      </c>
    </row>
    <row r="16" customFormat="false" ht="15" hidden="false" customHeight="false" outlineLevel="0" collapsed="false">
      <c r="A16" s="5" t="s">
        <v>145</v>
      </c>
      <c r="B16" s="35" t="n">
        <v>460</v>
      </c>
    </row>
    <row r="17" customFormat="false" ht="15" hidden="false" customHeight="false" outlineLevel="0" collapsed="false">
      <c r="A17" s="5" t="s">
        <v>146</v>
      </c>
      <c r="B17" s="31" t="n">
        <v>0.06</v>
      </c>
    </row>
    <row r="18" customFormat="false" ht="15" hidden="false" customHeight="false" outlineLevel="0" collapsed="false">
      <c r="A18" s="5" t="s">
        <v>147</v>
      </c>
      <c r="B18" s="31" t="n">
        <v>0.04</v>
      </c>
    </row>
    <row r="19" customFormat="false" ht="15" hidden="false" customHeight="false" outlineLevel="0" collapsed="false">
      <c r="A19" s="5" t="s">
        <v>148</v>
      </c>
      <c r="B19" s="31" t="n">
        <v>0.045</v>
      </c>
    </row>
    <row r="20" customFormat="false" ht="15" hidden="false" customHeight="false" outlineLevel="0" collapsed="false">
      <c r="A20" s="5" t="s">
        <v>149</v>
      </c>
      <c r="B20" s="31" t="n">
        <v>0.055</v>
      </c>
    </row>
    <row r="21" customFormat="false" ht="15" hidden="false" customHeight="false" outlineLevel="0" collapsed="false">
      <c r="A21" s="5" t="s">
        <v>121</v>
      </c>
      <c r="B21" s="31" t="n">
        <v>0.03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41.86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0.928144666613559</v>
      </c>
      <c r="C23" s="16" t="s">
        <v>154</v>
      </c>
    </row>
    <row r="24" customFormat="false" ht="15" hidden="false" customHeight="false" outlineLevel="0" collapsed="false">
      <c r="C24" s="16" t="s">
        <v>155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0.06</v>
      </c>
      <c r="D28" s="38" t="n">
        <f aca="false">$B$17+($B$18-$B$17)*(D27-1)/9</f>
        <v>0.0577777777777778</v>
      </c>
      <c r="E28" s="38" t="n">
        <f aca="false">$B$17+($B$18-$B$17)*(E27-1)/9</f>
        <v>0.0555555555555556</v>
      </c>
      <c r="F28" s="38" t="n">
        <f aca="false">$B$17+($B$18-$B$17)*(F27-1)/9</f>
        <v>0.0533333333333333</v>
      </c>
      <c r="G28" s="38" t="n">
        <f aca="false">$B$17+($B$18-$B$17)*(G27-1)/9</f>
        <v>0.0511111111111111</v>
      </c>
      <c r="H28" s="38" t="n">
        <f aca="false">$B$17+($B$18-$B$17)*(H27-1)/9</f>
        <v>0.0488888888888889</v>
      </c>
      <c r="I28" s="38" t="n">
        <f aca="false">$B$17+($B$18-$B$17)*(I27-1)/9</f>
        <v>0.0466666666666667</v>
      </c>
      <c r="J28" s="38" t="n">
        <f aca="false">$B$17+($B$18-$B$17)*(J27-1)/9</f>
        <v>0.0444444444444444</v>
      </c>
      <c r="K28" s="38" t="n">
        <f aca="false">$B$17+($B$18-$B$17)*(K27-1)/9</f>
        <v>0.0422222222222222</v>
      </c>
      <c r="L28" s="38" t="n">
        <f aca="false">$B$17+($B$18-$B$17)*(L27-1)/9</f>
        <v>0.04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0.045</v>
      </c>
      <c r="D29" s="38" t="n">
        <f aca="false">$B$19+($B$20-$B$19)*(D27-1)/9</f>
        <v>0.0461111111111111</v>
      </c>
      <c r="E29" s="38" t="n">
        <f aca="false">$B$19+($B$20-$B$19)*(E27-1)/9</f>
        <v>0.0472222222222222</v>
      </c>
      <c r="F29" s="38" t="n">
        <f aca="false">$B$19+($B$20-$B$19)*(F27-1)/9</f>
        <v>0.0483333333333333</v>
      </c>
      <c r="G29" s="38" t="n">
        <f aca="false">$B$19+($B$20-$B$19)*(G27-1)/9</f>
        <v>0.0494444444444444</v>
      </c>
      <c r="H29" s="38" t="n">
        <f aca="false">$B$19+($B$20-$B$19)*(H27-1)/9</f>
        <v>0.0505555555555556</v>
      </c>
      <c r="I29" s="38" t="n">
        <f aca="false">$B$19+($B$20-$B$19)*(I27-1)/9</f>
        <v>0.0516666666666667</v>
      </c>
      <c r="J29" s="38" t="n">
        <f aca="false">$B$19+($B$20-$B$19)*(J27-1)/9</f>
        <v>0.0527777777777778</v>
      </c>
      <c r="K29" s="38" t="n">
        <f aca="false">$B$19+($B$20-$B$19)*(K27-1)/9</f>
        <v>0.0538888888888889</v>
      </c>
      <c r="L29" s="38" t="n">
        <f aca="false">$B$19+($B$20-$B$19)*(L27-1)/9</f>
        <v>0.055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487.6</v>
      </c>
      <c r="D30" s="39" t="n">
        <f aca="false">C30*(1+D28)</f>
        <v>515.772444444444</v>
      </c>
      <c r="E30" s="39" t="n">
        <f aca="false">D30*(1+E28)</f>
        <v>544.426469135802</v>
      </c>
      <c r="F30" s="39" t="n">
        <f aca="false">E30*(1+F28)</f>
        <v>573.462547489712</v>
      </c>
      <c r="G30" s="39" t="n">
        <f aca="false">F30*(1+G28)</f>
        <v>602.772855472519</v>
      </c>
      <c r="H30" s="39" t="n">
        <f aca="false">G30*(1+H28)</f>
        <v>632.241750628954</v>
      </c>
      <c r="I30" s="39" t="n">
        <f aca="false">H30*(1+I28)</f>
        <v>661.746365658305</v>
      </c>
      <c r="J30" s="39" t="n">
        <f aca="false">I30*(1+J28)</f>
        <v>691.157315243118</v>
      </c>
      <c r="K30" s="39" t="n">
        <f aca="false">J30*(1+K28)</f>
        <v>720.339512997828</v>
      </c>
      <c r="L30" s="39" t="n">
        <f aca="false">K30*(1+L28)</f>
        <v>749.153093517741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21.942</v>
      </c>
      <c r="D31" s="39" t="n">
        <f aca="false">D30*D29</f>
        <v>23.7828404938272</v>
      </c>
      <c r="E31" s="39" t="n">
        <f aca="false">E30*E29</f>
        <v>25.7090277091907</v>
      </c>
      <c r="F31" s="39" t="n">
        <f aca="false">F30*F29</f>
        <v>27.7173564620027</v>
      </c>
      <c r="G31" s="39" t="n">
        <f aca="false">G30*G29</f>
        <v>29.8037689650301</v>
      </c>
      <c r="H31" s="39" t="n">
        <f aca="false">H30*H29</f>
        <v>31.9633329484638</v>
      </c>
      <c r="I31" s="39" t="n">
        <f aca="false">I30*I29</f>
        <v>34.1902288923457</v>
      </c>
      <c r="J31" s="39" t="n">
        <f aca="false">J30*J29</f>
        <v>36.4777471933868</v>
      </c>
      <c r="K31" s="39" t="n">
        <f aca="false">K30*K29</f>
        <v>38.8182959782163</v>
      </c>
      <c r="L31" s="39" t="n">
        <f aca="false">L30*L29</f>
        <v>41.2034201434757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0.924478432380412</v>
      </c>
      <c r="D32" s="40" t="n">
        <f aca="false">1/(1+$B$15)^D27</f>
        <v>0.854660371936544</v>
      </c>
      <c r="E32" s="40" t="n">
        <f aca="false">1/(1+$B$15)^E27</f>
        <v>0.790115080865556</v>
      </c>
      <c r="F32" s="40" t="n">
        <f aca="false">1/(1+$B$15)^F27</f>
        <v>0.730444351358711</v>
      </c>
      <c r="G32" s="40" t="n">
        <f aca="false">1/(1+$B$15)^G27</f>
        <v>0.675280048885228</v>
      </c>
      <c r="H32" s="40" t="n">
        <f aca="false">1/(1+$B$15)^H27</f>
        <v>0.624281841011183</v>
      </c>
      <c r="I32" s="40" t="n">
        <f aca="false">1/(1+$B$15)^I27</f>
        <v>0.577135097741576</v>
      </c>
      <c r="J32" s="40" t="n">
        <f aca="false">1/(1+$B$15)^J27</f>
        <v>0.533548950431848</v>
      </c>
      <c r="K32" s="40" t="n">
        <f aca="false">1/(1+$B$15)^K27</f>
        <v>0.493254497293449</v>
      </c>
      <c r="L32" s="40" t="n">
        <f aca="false">1/(1+$B$15)^L27</f>
        <v>0.456003144422436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20.284905763291</v>
      </c>
      <c r="D33" s="39" t="n">
        <f aca="false">D31*D32</f>
        <v>20.3262513021618</v>
      </c>
      <c r="E33" s="39" t="n">
        <f aca="false">E31*E32</f>
        <v>20.313090507422</v>
      </c>
      <c r="F33" s="39" t="n">
        <f aca="false">F31*F32</f>
        <v>20.2459864622658</v>
      </c>
      <c r="G33" s="39" t="n">
        <f aca="false">G31*G32</f>
        <v>20.1258905636696</v>
      </c>
      <c r="H33" s="39" t="n">
        <f aca="false">H31*H32</f>
        <v>19.9541283379204</v>
      </c>
      <c r="I33" s="39" t="n">
        <f aca="false">I31*I32</f>
        <v>19.7323810935908</v>
      </c>
      <c r="J33" s="39" t="n">
        <f aca="false">J31*J32</f>
        <v>19.4626637291498</v>
      </c>
      <c r="K33" s="39" t="n">
        <f aca="false">K31*K32</f>
        <v>19.1472990685234</v>
      </c>
      <c r="L33" s="39" t="n">
        <f aca="false">L31*L32</f>
        <v>18.7888891463837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198.381485974378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821.023442142346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374.389271261442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572.77075723582</v>
      </c>
    </row>
    <row r="40" customFormat="false" ht="15" hidden="false" customHeight="false" outlineLevel="0" collapsed="false">
      <c r="A40" s="5" t="s">
        <v>169</v>
      </c>
      <c r="B40" s="39" t="n">
        <f aca="false">B22</f>
        <v>41.86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530.91075723582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572.012937565981</v>
      </c>
    </row>
    <row r="43" customFormat="false" ht="15" hidden="false" customHeight="false" outlineLevel="0" collapsed="false">
      <c r="A43" s="5" t="s">
        <v>137</v>
      </c>
      <c r="B43" s="43" t="n">
        <f aca="false">B6</f>
        <v>376.59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0.518927580567676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0.653645924712073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19.926099320965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0.025</v>
      </c>
      <c r="C49" s="45" t="n">
        <v>0.03</v>
      </c>
      <c r="D49" s="45" t="n">
        <v>0.035</v>
      </c>
    </row>
    <row r="50" customFormat="false" ht="15" hidden="false" customHeight="false" outlineLevel="0" collapsed="false">
      <c r="A50" s="46" t="n">
        <f aca="false">B15+(-0.01)</f>
        <v>0.071691</v>
      </c>
      <c r="B50" s="43" t="n">
        <f aca="false">(SUMPRODUCT($C$31:$L$31,1/(1+$A50)^$C$27:$L$27)+$L$31*(1+B$49)/($A50-B$49)/(1+$A50)^10-$B$22)/$B$23</f>
        <v>667.429563673406</v>
      </c>
      <c r="C50" s="43" t="n">
        <f aca="false">(SUMPRODUCT($C$31:$L$31,1/(1+$A50)^$C$27:$L$27)+$L$31*(1+C$49)/($A50-C$49)/(1+$A50)^10-$B$22)/$B$23</f>
        <v>728.578070698049</v>
      </c>
      <c r="D50" s="43" t="n">
        <f aca="false">(SUMPRODUCT($C$31:$L$31,1/(1+$A50)^$C$27:$L$27)+$L$31*(1+D$49)/($A50-D$49)/(1+$A50)^10-$B$22)/$B$23</f>
        <v>806.392383240296</v>
      </c>
    </row>
    <row r="51" customFormat="false" ht="15" hidden="false" customHeight="false" outlineLevel="0" collapsed="false">
      <c r="A51" s="46" t="n">
        <f aca="false">B15+(0)</f>
        <v>0.081691</v>
      </c>
      <c r="B51" s="43" t="n">
        <f aca="false">(SUMPRODUCT($C$31:$L$31,1/(1+$A51)^$C$27:$L$27)+$L$31*(1+B$49)/($A51-B$49)/(1+$A51)^10-$B$22)/$B$23</f>
        <v>534.650982009798</v>
      </c>
      <c r="C51" s="47" t="n">
        <f aca="false">(SUMPRODUCT($C$31:$L$31,1/(1+$A51)^$C$27:$L$27)+$L$31*(1+C$49)/($A51-C$49)/(1+$A51)^10-$B$22)/$B$23</f>
        <v>572.012937565981</v>
      </c>
      <c r="D51" s="43" t="n">
        <f aca="false">(SUMPRODUCT($C$31:$L$31,1/(1+$A51)^$C$27:$L$27)+$L$31*(1+D$49)/($A51-D$49)/(1+$A51)^10-$B$22)/$B$23</f>
        <v>617.376854004601</v>
      </c>
    </row>
    <row r="52" customFormat="false" ht="15" hidden="false" customHeight="false" outlineLevel="0" collapsed="false">
      <c r="A52" s="46" t="n">
        <f aca="false">B15+(0.01)</f>
        <v>0.091691</v>
      </c>
      <c r="B52" s="43" t="n">
        <f aca="false">(SUMPRODUCT($C$31:$L$31,1/(1+$A52)^$C$27:$L$27)+$L$31*(1+B$49)/($A52-B$49)/(1+$A52)^10-$B$22)/$B$23</f>
        <v>442.068071512763</v>
      </c>
      <c r="C52" s="43" t="n">
        <f aca="false">(SUMPRODUCT($C$31:$L$31,1/(1+$A52)^$C$27:$L$27)+$L$31*(1+C$49)/($A52-C$49)/(1+$A52)^10-$B$22)/$B$23</f>
        <v>466.564399504659</v>
      </c>
      <c r="D52" s="43" t="n">
        <f aca="false">(SUMPRODUCT($C$31:$L$31,1/(1+$A52)^$C$27:$L$27)+$L$31*(1+D$49)/($A52-D$49)/(1+$A52)^10-$B$22)/$B$23</f>
        <v>495.381753407528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177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240.69</v>
      </c>
    </row>
    <row r="7" customFormat="false" ht="15" hidden="false" customHeight="false" outlineLevel="0" collapsed="false">
      <c r="A7" s="5" t="s">
        <v>138</v>
      </c>
      <c r="B7" s="33" t="n">
        <v>1.1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0.1018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</v>
      </c>
    </row>
    <row r="13" customFormat="false" ht="15" hidden="false" customHeight="false" outlineLevel="0" collapsed="false">
      <c r="A13" s="5" t="s">
        <v>143</v>
      </c>
      <c r="B13" s="30" t="n">
        <v>0</v>
      </c>
    </row>
    <row r="14" customFormat="false" ht="15" hidden="false" customHeight="false" outlineLevel="0" collapsed="false">
      <c r="A14" s="5" t="s">
        <v>144</v>
      </c>
      <c r="B14" s="22" t="n">
        <v>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0.1018</v>
      </c>
    </row>
    <row r="16" customFormat="false" ht="15" hidden="false" customHeight="false" outlineLevel="0" collapsed="false">
      <c r="A16" s="5" t="s">
        <v>145</v>
      </c>
      <c r="B16" s="35" t="n">
        <v>26.6</v>
      </c>
    </row>
    <row r="17" customFormat="false" ht="15" hidden="false" customHeight="false" outlineLevel="0" collapsed="false">
      <c r="A17" s="5" t="s">
        <v>146</v>
      </c>
      <c r="B17" s="31" t="n">
        <v>0.08</v>
      </c>
    </row>
    <row r="18" customFormat="false" ht="15" hidden="false" customHeight="false" outlineLevel="0" collapsed="false">
      <c r="A18" s="5" t="s">
        <v>147</v>
      </c>
      <c r="B18" s="31" t="n">
        <v>0</v>
      </c>
    </row>
    <row r="19" customFormat="false" ht="15" hidden="false" customHeight="false" outlineLevel="0" collapsed="false">
      <c r="A19" s="5" t="s">
        <v>148</v>
      </c>
      <c r="B19" s="31" t="n">
        <v>0.38</v>
      </c>
    </row>
    <row r="20" customFormat="false" ht="15" hidden="false" customHeight="false" outlineLevel="0" collapsed="false">
      <c r="A20" s="5" t="s">
        <v>149</v>
      </c>
      <c r="B20" s="31" t="n">
        <v>0.3</v>
      </c>
    </row>
    <row r="21" customFormat="false" ht="15" hidden="false" customHeight="false" outlineLevel="0" collapsed="false">
      <c r="A21" s="5" t="s">
        <v>121</v>
      </c>
      <c r="B21" s="31" t="n">
        <v>0.01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1.4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0.388956449038535</v>
      </c>
      <c r="C23" s="16" t="s">
        <v>154</v>
      </c>
    </row>
    <row r="24" customFormat="false" ht="15" hidden="false" customHeight="false" outlineLevel="0" collapsed="false">
      <c r="C24" s="16" t="s">
        <v>178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0.08</v>
      </c>
      <c r="D28" s="38" t="n">
        <f aca="false">$B$17+($B$18-$B$17)*(D27-1)/9</f>
        <v>0.0711111111111111</v>
      </c>
      <c r="E28" s="38" t="n">
        <f aca="false">$B$17+($B$18-$B$17)*(E27-1)/9</f>
        <v>0.0622222222222222</v>
      </c>
      <c r="F28" s="38" t="n">
        <f aca="false">$B$17+($B$18-$B$17)*(F27-1)/9</f>
        <v>0.0533333333333333</v>
      </c>
      <c r="G28" s="38" t="n">
        <f aca="false">$B$17+($B$18-$B$17)*(G27-1)/9</f>
        <v>0.0444444444444444</v>
      </c>
      <c r="H28" s="38" t="n">
        <f aca="false">$B$17+($B$18-$B$17)*(H27-1)/9</f>
        <v>0.0355555555555556</v>
      </c>
      <c r="I28" s="38" t="n">
        <f aca="false">$B$17+($B$18-$B$17)*(I27-1)/9</f>
        <v>0.0266666666666667</v>
      </c>
      <c r="J28" s="38" t="n">
        <f aca="false">$B$17+($B$18-$B$17)*(J27-1)/9</f>
        <v>0.0177777777777778</v>
      </c>
      <c r="K28" s="38" t="n">
        <f aca="false">$B$17+($B$18-$B$17)*(K27-1)/9</f>
        <v>0.00888888888888889</v>
      </c>
      <c r="L28" s="38" t="n">
        <f aca="false">$B$17+($B$18-$B$17)*(L27-1)/9</f>
        <v>0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0.38</v>
      </c>
      <c r="D29" s="38" t="n">
        <f aca="false">$B$19+($B$20-$B$19)*(D27-1)/9</f>
        <v>0.371111111111111</v>
      </c>
      <c r="E29" s="38" t="n">
        <f aca="false">$B$19+($B$20-$B$19)*(E27-1)/9</f>
        <v>0.362222222222222</v>
      </c>
      <c r="F29" s="38" t="n">
        <f aca="false">$B$19+($B$20-$B$19)*(F27-1)/9</f>
        <v>0.353333333333333</v>
      </c>
      <c r="G29" s="38" t="n">
        <f aca="false">$B$19+($B$20-$B$19)*(G27-1)/9</f>
        <v>0.344444444444444</v>
      </c>
      <c r="H29" s="38" t="n">
        <f aca="false">$B$19+($B$20-$B$19)*(H27-1)/9</f>
        <v>0.335555555555556</v>
      </c>
      <c r="I29" s="38" t="n">
        <f aca="false">$B$19+($B$20-$B$19)*(I27-1)/9</f>
        <v>0.326666666666667</v>
      </c>
      <c r="J29" s="38" t="n">
        <f aca="false">$B$19+($B$20-$B$19)*(J27-1)/9</f>
        <v>0.317777777777778</v>
      </c>
      <c r="K29" s="38" t="n">
        <f aca="false">$B$19+($B$20-$B$19)*(K27-1)/9</f>
        <v>0.308888888888889</v>
      </c>
      <c r="L29" s="38" t="n">
        <f aca="false">$B$19+($B$20-$B$19)*(L27-1)/9</f>
        <v>0.3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28.728</v>
      </c>
      <c r="D30" s="39" t="n">
        <f aca="false">C30*(1+D28)</f>
        <v>30.77088</v>
      </c>
      <c r="E30" s="39" t="n">
        <f aca="false">D30*(1+E28)</f>
        <v>32.6855125333333</v>
      </c>
      <c r="F30" s="39" t="n">
        <f aca="false">E30*(1+F28)</f>
        <v>34.4287398684444</v>
      </c>
      <c r="G30" s="39" t="n">
        <f aca="false">F30*(1+G28)</f>
        <v>35.9589060848198</v>
      </c>
      <c r="H30" s="39" t="n">
        <f aca="false">G30*(1+H28)</f>
        <v>37.2374449678356</v>
      </c>
      <c r="I30" s="39" t="n">
        <f aca="false">H30*(1+I28)</f>
        <v>38.2304435003112</v>
      </c>
      <c r="J30" s="39" t="n">
        <f aca="false">I30*(1+J28)</f>
        <v>38.9100958292056</v>
      </c>
      <c r="K30" s="39" t="n">
        <f aca="false">J30*(1+K28)</f>
        <v>39.2559633476874</v>
      </c>
      <c r="L30" s="39" t="n">
        <f aca="false">K30*(1+L28)</f>
        <v>39.2559633476874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10.91664</v>
      </c>
      <c r="D31" s="39" t="n">
        <f aca="false">D30*D29</f>
        <v>11.4194154666667</v>
      </c>
      <c r="E31" s="39" t="n">
        <f aca="false">E30*E29</f>
        <v>11.8394189842963</v>
      </c>
      <c r="F31" s="39" t="n">
        <f aca="false">F30*F29</f>
        <v>12.1648214201837</v>
      </c>
      <c r="G31" s="39" t="n">
        <f aca="false">G30*G29</f>
        <v>12.3858454292157</v>
      </c>
      <c r="H31" s="39" t="n">
        <f aca="false">H30*H29</f>
        <v>12.4952315336515</v>
      </c>
      <c r="I31" s="39" t="n">
        <f aca="false">I30*I29</f>
        <v>12.488611543435</v>
      </c>
      <c r="J31" s="39" t="n">
        <f aca="false">J30*J29</f>
        <v>12.3647637857253</v>
      </c>
      <c r="K31" s="39" t="n">
        <f aca="false">K30*K29</f>
        <v>12.1257309007301</v>
      </c>
      <c r="L31" s="39" t="n">
        <f aca="false">L30*L29</f>
        <v>11.7767890043062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0.907605736068252</v>
      </c>
      <c r="D32" s="40" t="n">
        <f aca="false">1/(1+$B$15)^D27</f>
        <v>0.823748172143994</v>
      </c>
      <c r="E32" s="40" t="n">
        <f aca="false">1/(1+$B$15)^E27</f>
        <v>0.747638566113626</v>
      </c>
      <c r="F32" s="40" t="n">
        <f aca="false">1/(1+$B$15)^F27</f>
        <v>0.67856105111057</v>
      </c>
      <c r="G32" s="40" t="n">
        <f aca="false">1/(1+$B$15)^G27</f>
        <v>0.615865902260456</v>
      </c>
      <c r="H32" s="40" t="n">
        <f aca="false">1/(1+$B$15)^H27</f>
        <v>0.558963425540439</v>
      </c>
      <c r="I32" s="40" t="n">
        <f aca="false">1/(1+$B$15)^I27</f>
        <v>0.507318411272862</v>
      </c>
      <c r="J32" s="40" t="n">
        <f aca="false">1/(1+$B$15)^J27</f>
        <v>0.460445100084282</v>
      </c>
      <c r="K32" s="40" t="n">
        <f aca="false">1/(1+$B$15)^K27</f>
        <v>0.417902613981015</v>
      </c>
      <c r="L32" s="40" t="n">
        <f aca="false">1/(1+$B$15)^L27</f>
        <v>0.379290809567086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9.90800508259212</v>
      </c>
      <c r="D33" s="39" t="n">
        <f aca="false">D31*D32</f>
        <v>9.40672261761952</v>
      </c>
      <c r="E33" s="39" t="n">
        <f aca="false">E31*E32</f>
        <v>8.85160623303773</v>
      </c>
      <c r="F33" s="39" t="n">
        <f aca="false">F31*F32</f>
        <v>8.25457400945224</v>
      </c>
      <c r="G33" s="39" t="n">
        <f aca="false">G31*G32</f>
        <v>7.62801987052247</v>
      </c>
      <c r="H33" s="39" t="n">
        <f aca="false">H31*H32</f>
        <v>6.98437742097076</v>
      </c>
      <c r="I33" s="39" t="n">
        <f aca="false">I31*I32</f>
        <v>6.33570256721936</v>
      </c>
      <c r="J33" s="39" t="n">
        <f aca="false">J31*J32</f>
        <v>5.69329489883681</v>
      </c>
      <c r="K33" s="39" t="n">
        <f aca="false">K31*K32</f>
        <v>5.06737463984548</v>
      </c>
      <c r="L33" s="39" t="n">
        <f aca="false">L31*L32</f>
        <v>4.46682783554406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72.5965051756406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129.570336539753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49.1448378420425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121.741343017683</v>
      </c>
    </row>
    <row r="40" customFormat="false" ht="15" hidden="false" customHeight="false" outlineLevel="0" collapsed="false">
      <c r="A40" s="5" t="s">
        <v>169</v>
      </c>
      <c r="B40" s="39" t="n">
        <f aca="false">B22</f>
        <v>1.4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120.341343017683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309.395417700763</v>
      </c>
    </row>
    <row r="43" customFormat="false" ht="15" hidden="false" customHeight="false" outlineLevel="0" collapsed="false">
      <c r="A43" s="5" t="s">
        <v>137</v>
      </c>
      <c r="B43" s="43" t="n">
        <f aca="false">B6</f>
        <v>240.69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0.285451899541996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0.403682402574647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11.0021786492375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</v>
      </c>
      <c r="C49" s="45" t="n">
        <v>0.01</v>
      </c>
      <c r="D49" s="45" t="n">
        <v>0.02</v>
      </c>
    </row>
    <row r="50" customFormat="false" ht="15" hidden="false" customHeight="false" outlineLevel="0" collapsed="false">
      <c r="A50" s="46" t="n">
        <f aca="false">B15+(-0.01)</f>
        <v>0.0918</v>
      </c>
      <c r="B50" s="43" t="n">
        <f aca="false">(SUMPRODUCT($C$31:$L$31,1/(1+$A50)^$C$27:$L$27)+$L$31*(1+B$49)/($A50-B$49)/(1+$A50)^10-$B$22)/$B$23</f>
        <v>328.500079135291</v>
      </c>
      <c r="C50" s="43" t="n">
        <f aca="false">(SUMPRODUCT($C$31:$L$31,1/(1+$A50)^$C$27:$L$27)+$L$31*(1+C$49)/($A50-C$49)/(1+$A50)^10-$B$22)/$B$23</f>
        <v>346.791275956199</v>
      </c>
      <c r="D50" s="43" t="n">
        <f aca="false">(SUMPRODUCT($C$31:$L$31,1/(1+$A50)^$C$27:$L$27)+$L$31*(1+D$49)/($A50-D$49)/(1+$A50)^10-$B$22)/$B$23</f>
        <v>370.177513674296</v>
      </c>
    </row>
    <row r="51" customFormat="false" ht="15" hidden="false" customHeight="false" outlineLevel="0" collapsed="false">
      <c r="A51" s="46" t="n">
        <f aca="false">B15+(0)</f>
        <v>0.1018</v>
      </c>
      <c r="B51" s="43" t="n">
        <f aca="false">(SUMPRODUCT($C$31:$L$31,1/(1+$A51)^$C$27:$L$27)+$L$31*(1+B$49)/($A51-B$49)/(1+$A51)^10-$B$22)/$B$23</f>
        <v>295.855670803535</v>
      </c>
      <c r="C51" s="47" t="n">
        <f aca="false">(SUMPRODUCT($C$31:$L$31,1/(1+$A51)^$C$27:$L$27)+$L$31*(1+C$49)/($A51-C$49)/(1+$A51)^10-$B$22)/$B$23</f>
        <v>309.395417700763</v>
      </c>
      <c r="D51" s="43" t="n">
        <f aca="false">(SUMPRODUCT($C$31:$L$31,1/(1+$A51)^$C$27:$L$27)+$L$31*(1+D$49)/($A51-D$49)/(1+$A51)^10-$B$22)/$B$23</f>
        <v>326.245616162105</v>
      </c>
    </row>
    <row r="52" customFormat="false" ht="15" hidden="false" customHeight="false" outlineLevel="0" collapsed="false">
      <c r="A52" s="46" t="n">
        <f aca="false">B15+(0.01)</f>
        <v>0.1118</v>
      </c>
      <c r="B52" s="43" t="n">
        <f aca="false">(SUMPRODUCT($C$31:$L$31,1/(1+$A52)^$C$27:$L$27)+$L$31*(1+B$49)/($A52-B$49)/(1+$A52)^10-$B$22)/$B$23</f>
        <v>269.024885960615</v>
      </c>
      <c r="C52" s="43" t="n">
        <f aca="false">(SUMPRODUCT($C$31:$L$31,1/(1+$A52)^$C$27:$L$27)+$L$31*(1+C$49)/($A52-C$49)/(1+$A52)^10-$B$22)/$B$23</f>
        <v>279.2742356017</v>
      </c>
      <c r="D52" s="43" t="n">
        <f aca="false">(SUMPRODUCT($C$31:$L$31,1/(1+$A52)^$C$27:$L$27)+$L$31*(1+D$49)/($A52-D$49)/(1+$A52)^10-$B$22)/$B$23</f>
        <v>291.756559020799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179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234.02</v>
      </c>
    </row>
    <row r="7" customFormat="false" ht="15" hidden="false" customHeight="false" outlineLevel="0" collapsed="false">
      <c r="A7" s="5" t="s">
        <v>138</v>
      </c>
      <c r="B7" s="33" t="n">
        <v>1.1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0.1018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</v>
      </c>
    </row>
    <row r="13" customFormat="false" ht="15" hidden="false" customHeight="false" outlineLevel="0" collapsed="false">
      <c r="A13" s="5" t="s">
        <v>143</v>
      </c>
      <c r="B13" s="30" t="n">
        <v>0</v>
      </c>
    </row>
    <row r="14" customFormat="false" ht="15" hidden="false" customHeight="false" outlineLevel="0" collapsed="false">
      <c r="A14" s="5" t="s">
        <v>144</v>
      </c>
      <c r="B14" s="22" t="n">
        <v>-0.003</v>
      </c>
      <c r="C14" s="16" t="s">
        <v>180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0.0988</v>
      </c>
    </row>
    <row r="16" customFormat="false" ht="15" hidden="false" customHeight="false" outlineLevel="0" collapsed="false">
      <c r="A16" s="5" t="s">
        <v>145</v>
      </c>
      <c r="B16" s="35" t="n">
        <v>45.6</v>
      </c>
    </row>
    <row r="17" customFormat="false" ht="15" hidden="false" customHeight="false" outlineLevel="0" collapsed="false">
      <c r="A17" s="5" t="s">
        <v>146</v>
      </c>
      <c r="B17" s="31" t="n">
        <v>0.09</v>
      </c>
    </row>
    <row r="18" customFormat="false" ht="15" hidden="false" customHeight="false" outlineLevel="0" collapsed="false">
      <c r="A18" s="5" t="s">
        <v>147</v>
      </c>
      <c r="B18" s="31" t="n">
        <v>0.02</v>
      </c>
    </row>
    <row r="19" customFormat="false" ht="15" hidden="false" customHeight="false" outlineLevel="0" collapsed="false">
      <c r="A19" s="5" t="s">
        <v>148</v>
      </c>
      <c r="B19" s="31" t="n">
        <v>0.35</v>
      </c>
    </row>
    <row r="20" customFormat="false" ht="15" hidden="false" customHeight="false" outlineLevel="0" collapsed="false">
      <c r="A20" s="5" t="s">
        <v>149</v>
      </c>
      <c r="B20" s="31" t="n">
        <v>0.33</v>
      </c>
    </row>
    <row r="21" customFormat="false" ht="15" hidden="false" customHeight="false" outlineLevel="0" collapsed="false">
      <c r="A21" s="5" t="s">
        <v>121</v>
      </c>
      <c r="B21" s="31" t="n">
        <v>0.02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31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0.905734552602342</v>
      </c>
      <c r="C23" s="16" t="s">
        <v>154</v>
      </c>
    </row>
    <row r="24" customFormat="false" ht="15" hidden="false" customHeight="false" outlineLevel="0" collapsed="false">
      <c r="C24" s="16" t="s">
        <v>181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0.09</v>
      </c>
      <c r="D28" s="38" t="n">
        <f aca="false">$B$17+($B$18-$B$17)*(D27-1)/9</f>
        <v>0.0822222222222222</v>
      </c>
      <c r="E28" s="38" t="n">
        <f aca="false">$B$17+($B$18-$B$17)*(E27-1)/9</f>
        <v>0.0744444444444444</v>
      </c>
      <c r="F28" s="38" t="n">
        <f aca="false">$B$17+($B$18-$B$17)*(F27-1)/9</f>
        <v>0.0666666666666667</v>
      </c>
      <c r="G28" s="38" t="n">
        <f aca="false">$B$17+($B$18-$B$17)*(G27-1)/9</f>
        <v>0.0588888888888889</v>
      </c>
      <c r="H28" s="38" t="n">
        <f aca="false">$B$17+($B$18-$B$17)*(H27-1)/9</f>
        <v>0.0511111111111111</v>
      </c>
      <c r="I28" s="38" t="n">
        <f aca="false">$B$17+($B$18-$B$17)*(I27-1)/9</f>
        <v>0.0433333333333333</v>
      </c>
      <c r="J28" s="38" t="n">
        <f aca="false">$B$17+($B$18-$B$17)*(J27-1)/9</f>
        <v>0.0355555555555556</v>
      </c>
      <c r="K28" s="38" t="n">
        <f aca="false">$B$17+($B$18-$B$17)*(K27-1)/9</f>
        <v>0.0277777777777778</v>
      </c>
      <c r="L28" s="38" t="n">
        <f aca="false">$B$17+($B$18-$B$17)*(L27-1)/9</f>
        <v>0.02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0.35</v>
      </c>
      <c r="D29" s="38" t="n">
        <f aca="false">$B$19+($B$20-$B$19)*(D27-1)/9</f>
        <v>0.347777777777778</v>
      </c>
      <c r="E29" s="38" t="n">
        <f aca="false">$B$19+($B$20-$B$19)*(E27-1)/9</f>
        <v>0.345555555555556</v>
      </c>
      <c r="F29" s="38" t="n">
        <f aca="false">$B$19+($B$20-$B$19)*(F27-1)/9</f>
        <v>0.343333333333333</v>
      </c>
      <c r="G29" s="38" t="n">
        <f aca="false">$B$19+($B$20-$B$19)*(G27-1)/9</f>
        <v>0.341111111111111</v>
      </c>
      <c r="H29" s="38" t="n">
        <f aca="false">$B$19+($B$20-$B$19)*(H27-1)/9</f>
        <v>0.338888888888889</v>
      </c>
      <c r="I29" s="38" t="n">
        <f aca="false">$B$19+($B$20-$B$19)*(I27-1)/9</f>
        <v>0.336666666666667</v>
      </c>
      <c r="J29" s="38" t="n">
        <f aca="false">$B$19+($B$20-$B$19)*(J27-1)/9</f>
        <v>0.334444444444444</v>
      </c>
      <c r="K29" s="38" t="n">
        <f aca="false">$B$19+($B$20-$B$19)*(K27-1)/9</f>
        <v>0.332222222222222</v>
      </c>
      <c r="L29" s="38" t="n">
        <f aca="false">$B$19+($B$20-$B$19)*(L27-1)/9</f>
        <v>0.33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49.704</v>
      </c>
      <c r="D30" s="39" t="n">
        <f aca="false">C30*(1+D28)</f>
        <v>53.7907733333333</v>
      </c>
      <c r="E30" s="39" t="n">
        <f aca="false">D30*(1+E28)</f>
        <v>57.7951975703704</v>
      </c>
      <c r="F30" s="39" t="n">
        <f aca="false">E30*(1+F28)</f>
        <v>61.6482107417284</v>
      </c>
      <c r="G30" s="39" t="n">
        <f aca="false">F30*(1+G28)</f>
        <v>65.2786053742969</v>
      </c>
      <c r="H30" s="39" t="n">
        <f aca="false">G30*(1+H28)</f>
        <v>68.6150674267609</v>
      </c>
      <c r="I30" s="39" t="n">
        <f aca="false">H30*(1+I28)</f>
        <v>71.5883870152539</v>
      </c>
      <c r="J30" s="39" t="n">
        <f aca="false">I30*(1+J28)</f>
        <v>74.1337518869074</v>
      </c>
      <c r="K30" s="39" t="n">
        <f aca="false">J30*(1+K28)</f>
        <v>76.1930227726548</v>
      </c>
      <c r="L30" s="39" t="n">
        <f aca="false">K30*(1+L28)</f>
        <v>77.7168832281079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17.3964</v>
      </c>
      <c r="D31" s="39" t="n">
        <f aca="false">D30*D29</f>
        <v>18.7072356148148</v>
      </c>
      <c r="E31" s="39" t="n">
        <f aca="false">E30*E29</f>
        <v>19.9714516048724</v>
      </c>
      <c r="F31" s="39" t="n">
        <f aca="false">F30*F29</f>
        <v>21.1658856879934</v>
      </c>
      <c r="G31" s="39" t="n">
        <f aca="false">G30*G29</f>
        <v>22.2672576110101</v>
      </c>
      <c r="H31" s="39" t="n">
        <f aca="false">H30*H29</f>
        <v>23.2528839612912</v>
      </c>
      <c r="I31" s="39" t="n">
        <f aca="false">I30*I29</f>
        <v>24.1014236284688</v>
      </c>
      <c r="J31" s="39" t="n">
        <f aca="false">J30*J29</f>
        <v>24.793621464399</v>
      </c>
      <c r="K31" s="39" t="n">
        <f aca="false">K30*K29</f>
        <v>25.3130153433598</v>
      </c>
      <c r="L31" s="39" t="n">
        <f aca="false">L30*L29</f>
        <v>25.6465714652756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0.910083727702949</v>
      </c>
      <c r="D32" s="40" t="n">
        <f aca="false">1/(1+$B$15)^D27</f>
        <v>0.828252391429695</v>
      </c>
      <c r="E32" s="40" t="n">
        <f aca="false">1/(1+$B$15)^E27</f>
        <v>0.753779023871219</v>
      </c>
      <c r="F32" s="40" t="n">
        <f aca="false">1/(1+$B$15)^F27</f>
        <v>0.686002023909008</v>
      </c>
      <c r="G32" s="40" t="n">
        <f aca="false">1/(1+$B$15)^G27</f>
        <v>0.624319279130878</v>
      </c>
      <c r="H32" s="40" t="n">
        <f aca="false">1/(1+$B$15)^H27</f>
        <v>0.568182816828247</v>
      </c>
      <c r="I32" s="40" t="n">
        <f aca="false">1/(1+$B$15)^I27</f>
        <v>0.517093935955813</v>
      </c>
      <c r="J32" s="40" t="n">
        <f aca="false">1/(1+$B$15)^J27</f>
        <v>0.470598776807256</v>
      </c>
      <c r="K32" s="40" t="n">
        <f aca="false">1/(1+$B$15)^K27</f>
        <v>0.428284289049195</v>
      </c>
      <c r="L32" s="40" t="n">
        <f aca="false">1/(1+$B$15)^L27</f>
        <v>0.389774562294499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15.8321805606116</v>
      </c>
      <c r="D33" s="39" t="n">
        <f aca="false">D31*D32</f>
        <v>15.4943126350091</v>
      </c>
      <c r="E33" s="39" t="n">
        <f aca="false">E31*E32</f>
        <v>15.054061296012</v>
      </c>
      <c r="F33" s="39" t="n">
        <f aca="false">F31*F32</f>
        <v>14.5198404197902</v>
      </c>
      <c r="G33" s="39" t="n">
        <f aca="false">G31*G32</f>
        <v>13.9018782199274</v>
      </c>
      <c r="H33" s="39" t="n">
        <f aca="false">H31*H32</f>
        <v>13.2118891085068</v>
      </c>
      <c r="I33" s="39" t="n">
        <f aca="false">I31*I32</f>
        <v>12.4627000061834</v>
      </c>
      <c r="J33" s="39" t="n">
        <f aca="false">J31*J32</f>
        <v>11.6678479337683</v>
      </c>
      <c r="K33" s="39" t="n">
        <f aca="false">K31*K32</f>
        <v>10.8411667800222</v>
      </c>
      <c r="L33" s="39" t="n">
        <f aca="false">L31*L32</f>
        <v>9.99638116723238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132.982258127063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331.97338698707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129.394781606308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262.377039733371</v>
      </c>
    </row>
    <row r="40" customFormat="false" ht="15" hidden="false" customHeight="false" outlineLevel="0" collapsed="false">
      <c r="A40" s="5" t="s">
        <v>169</v>
      </c>
      <c r="B40" s="39" t="n">
        <f aca="false">B22</f>
        <v>31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231.377039733371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255.457892236287</v>
      </c>
    </row>
    <row r="43" customFormat="false" ht="15" hidden="false" customHeight="false" outlineLevel="0" collapsed="false">
      <c r="A43" s="5" t="s">
        <v>137</v>
      </c>
      <c r="B43" s="43" t="n">
        <f aca="false">B6</f>
        <v>234.02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0.0916070944205076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0.493163509039508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12.9441624365482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0.015</v>
      </c>
      <c r="C49" s="45" t="n">
        <v>0.02</v>
      </c>
      <c r="D49" s="45" t="n">
        <v>0.025</v>
      </c>
    </row>
    <row r="50" customFormat="false" ht="15" hidden="false" customHeight="false" outlineLevel="0" collapsed="false">
      <c r="A50" s="46" t="n">
        <f aca="false">B15+(-0.01)</f>
        <v>0.0888</v>
      </c>
      <c r="B50" s="43" t="n">
        <f aca="false">(SUMPRODUCT($C$31:$L$31,1/(1+$A50)^$C$27:$L$27)+$L$31*(1+B$49)/($A50-B$49)/(1+$A50)^10-$B$22)/$B$23</f>
        <v>285.966925611904</v>
      </c>
      <c r="C50" s="43" t="n">
        <f aca="false">(SUMPRODUCT($C$31:$L$31,1/(1+$A50)^$C$27:$L$27)+$L$31*(1+C$49)/($A50-C$49)/(1+$A50)^10-$B$22)/$B$23</f>
        <v>298.933360209678</v>
      </c>
      <c r="D50" s="43" t="n">
        <f aca="false">(SUMPRODUCT($C$31:$L$31,1/(1+$A50)^$C$27:$L$27)+$L$31*(1+D$49)/($A50-D$49)/(1+$A50)^10-$B$22)/$B$23</f>
        <v>313.93215132748</v>
      </c>
    </row>
    <row r="51" customFormat="false" ht="15" hidden="false" customHeight="false" outlineLevel="0" collapsed="false">
      <c r="A51" s="46" t="n">
        <f aca="false">B15+(0)</f>
        <v>0.0988</v>
      </c>
      <c r="B51" s="43" t="n">
        <f aca="false">(SUMPRODUCT($C$31:$L$31,1/(1+$A51)^$C$27:$L$27)+$L$31*(1+B$49)/($A51-B$49)/(1+$A51)^10-$B$22)/$B$23</f>
        <v>246.275405900024</v>
      </c>
      <c r="C51" s="47" t="n">
        <f aca="false">(SUMPRODUCT($C$31:$L$31,1/(1+$A51)^$C$27:$L$27)+$L$31*(1+C$49)/($A51-C$49)/(1+$A51)^10-$B$22)/$B$23</f>
        <v>255.457892236287</v>
      </c>
      <c r="D51" s="43" t="n">
        <f aca="false">(SUMPRODUCT($C$31:$L$31,1/(1+$A51)^$C$27:$L$27)+$L$31*(1+D$49)/($A51-D$49)/(1+$A51)^10-$B$22)/$B$23</f>
        <v>265.884617913507</v>
      </c>
    </row>
    <row r="52" customFormat="false" ht="15" hidden="false" customHeight="false" outlineLevel="0" collapsed="false">
      <c r="A52" s="46" t="n">
        <f aca="false">B15+(0.01)</f>
        <v>0.1088</v>
      </c>
      <c r="B52" s="43" t="n">
        <f aca="false">(SUMPRODUCT($C$31:$L$31,1/(1+$A52)^$C$27:$L$27)+$L$31*(1+B$49)/($A52-B$49)/(1+$A52)^10-$B$22)/$B$23</f>
        <v>215.107922853192</v>
      </c>
      <c r="C52" s="43" t="n">
        <f aca="false">(SUMPRODUCT($C$31:$L$31,1/(1+$A52)^$C$27:$L$27)+$L$31*(1+C$49)/($A52-C$49)/(1+$A52)^10-$B$22)/$B$23</f>
        <v>221.817630908239</v>
      </c>
      <c r="D52" s="43" t="n">
        <f aca="false">(SUMPRODUCT($C$31:$L$31,1/(1+$A52)^$C$27:$L$27)+$L$31*(1+D$49)/($A52-D$49)/(1+$A52)^10-$B$22)/$B$23</f>
        <v>229.32802011544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182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516.17</v>
      </c>
    </row>
    <row r="7" customFormat="false" ht="15" hidden="false" customHeight="false" outlineLevel="0" collapsed="false">
      <c r="A7" s="5" t="s">
        <v>138</v>
      </c>
      <c r="B7" s="33" t="n">
        <v>1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0.0973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</v>
      </c>
    </row>
    <row r="13" customFormat="false" ht="15" hidden="false" customHeight="false" outlineLevel="0" collapsed="false">
      <c r="A13" s="5" t="s">
        <v>143</v>
      </c>
      <c r="B13" s="30" t="n">
        <v>0</v>
      </c>
    </row>
    <row r="14" customFormat="false" ht="15" hidden="false" customHeight="false" outlineLevel="0" collapsed="false">
      <c r="A14" s="5" t="s">
        <v>144</v>
      </c>
      <c r="B14" s="22" t="n">
        <v>-0.002</v>
      </c>
      <c r="C14" s="16" t="s">
        <v>180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0.0953</v>
      </c>
    </row>
    <row r="16" customFormat="false" ht="15" hidden="false" customHeight="false" outlineLevel="0" collapsed="false">
      <c r="A16" s="5" t="s">
        <v>145</v>
      </c>
      <c r="B16" s="35" t="n">
        <v>331.8</v>
      </c>
    </row>
    <row r="17" customFormat="false" ht="15" hidden="false" customHeight="false" outlineLevel="0" collapsed="false">
      <c r="A17" s="5" t="s">
        <v>146</v>
      </c>
      <c r="B17" s="31" t="n">
        <v>0.16</v>
      </c>
    </row>
    <row r="18" customFormat="false" ht="15" hidden="false" customHeight="false" outlineLevel="0" collapsed="false">
      <c r="A18" s="5" t="s">
        <v>147</v>
      </c>
      <c r="B18" s="31" t="n">
        <v>0.04</v>
      </c>
    </row>
    <row r="19" customFormat="false" ht="15" hidden="false" customHeight="false" outlineLevel="0" collapsed="false">
      <c r="A19" s="5" t="s">
        <v>148</v>
      </c>
      <c r="B19" s="31" t="n">
        <v>0.22</v>
      </c>
    </row>
    <row r="20" customFormat="false" ht="15" hidden="false" customHeight="false" outlineLevel="0" collapsed="false">
      <c r="A20" s="5" t="s">
        <v>149</v>
      </c>
      <c r="B20" s="31" t="n">
        <v>0.33</v>
      </c>
    </row>
    <row r="21" customFormat="false" ht="15" hidden="false" customHeight="false" outlineLevel="0" collapsed="false">
      <c r="A21" s="5" t="s">
        <v>121</v>
      </c>
      <c r="B21" s="31" t="n">
        <v>0.035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51.97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7.45</v>
      </c>
      <c r="C23" s="16" t="s">
        <v>154</v>
      </c>
    </row>
    <row r="24" customFormat="false" ht="15" hidden="false" customHeight="false" outlineLevel="0" collapsed="false">
      <c r="C24" s="16" t="s">
        <v>183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0.16</v>
      </c>
      <c r="D28" s="38" t="n">
        <f aca="false">$B$17+($B$18-$B$17)*(D27-1)/9</f>
        <v>0.146666666666667</v>
      </c>
      <c r="E28" s="38" t="n">
        <f aca="false">$B$17+($B$18-$B$17)*(E27-1)/9</f>
        <v>0.133333333333333</v>
      </c>
      <c r="F28" s="38" t="n">
        <f aca="false">$B$17+($B$18-$B$17)*(F27-1)/9</f>
        <v>0.12</v>
      </c>
      <c r="G28" s="38" t="n">
        <f aca="false">$B$17+($B$18-$B$17)*(G27-1)/9</f>
        <v>0.106666666666667</v>
      </c>
      <c r="H28" s="38" t="n">
        <f aca="false">$B$17+($B$18-$B$17)*(H27-1)/9</f>
        <v>0.0933333333333333</v>
      </c>
      <c r="I28" s="38" t="n">
        <f aca="false">$B$17+($B$18-$B$17)*(I27-1)/9</f>
        <v>0.08</v>
      </c>
      <c r="J28" s="38" t="n">
        <f aca="false">$B$17+($B$18-$B$17)*(J27-1)/9</f>
        <v>0.0666666666666667</v>
      </c>
      <c r="K28" s="38" t="n">
        <f aca="false">$B$17+($B$18-$B$17)*(K27-1)/9</f>
        <v>0.0533333333333333</v>
      </c>
      <c r="L28" s="38" t="n">
        <f aca="false">$B$17+($B$18-$B$17)*(L27-1)/9</f>
        <v>0.04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0.22</v>
      </c>
      <c r="D29" s="38" t="n">
        <f aca="false">$B$19+($B$20-$B$19)*(D27-1)/9</f>
        <v>0.232222222222222</v>
      </c>
      <c r="E29" s="38" t="n">
        <f aca="false">$B$19+($B$20-$B$19)*(E27-1)/9</f>
        <v>0.244444444444444</v>
      </c>
      <c r="F29" s="38" t="n">
        <f aca="false">$B$19+($B$20-$B$19)*(F27-1)/9</f>
        <v>0.256666666666667</v>
      </c>
      <c r="G29" s="38" t="n">
        <f aca="false">$B$19+($B$20-$B$19)*(G27-1)/9</f>
        <v>0.268888888888889</v>
      </c>
      <c r="H29" s="38" t="n">
        <f aca="false">$B$19+($B$20-$B$19)*(H27-1)/9</f>
        <v>0.281111111111111</v>
      </c>
      <c r="I29" s="38" t="n">
        <f aca="false">$B$19+($B$20-$B$19)*(I27-1)/9</f>
        <v>0.293333333333333</v>
      </c>
      <c r="J29" s="38" t="n">
        <f aca="false">$B$19+($B$20-$B$19)*(J27-1)/9</f>
        <v>0.305555555555556</v>
      </c>
      <c r="K29" s="38" t="n">
        <f aca="false">$B$19+($B$20-$B$19)*(K27-1)/9</f>
        <v>0.317777777777778</v>
      </c>
      <c r="L29" s="38" t="n">
        <f aca="false">$B$19+($B$20-$B$19)*(L27-1)/9</f>
        <v>0.33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384.888</v>
      </c>
      <c r="D30" s="39" t="n">
        <f aca="false">C30*(1+D28)</f>
        <v>441.33824</v>
      </c>
      <c r="E30" s="39" t="n">
        <f aca="false">D30*(1+E28)</f>
        <v>500.183338666667</v>
      </c>
      <c r="F30" s="39" t="n">
        <f aca="false">E30*(1+F28)</f>
        <v>560.205339306667</v>
      </c>
      <c r="G30" s="39" t="n">
        <f aca="false">F30*(1+G28)</f>
        <v>619.960575499378</v>
      </c>
      <c r="H30" s="39" t="n">
        <f aca="false">G30*(1+H28)</f>
        <v>677.823562545986</v>
      </c>
      <c r="I30" s="39" t="n">
        <f aca="false">H30*(1+I28)</f>
        <v>732.049447549665</v>
      </c>
      <c r="J30" s="39" t="n">
        <f aca="false">I30*(1+J28)</f>
        <v>780.852744052976</v>
      </c>
      <c r="K30" s="39" t="n">
        <f aca="false">J30*(1+K28)</f>
        <v>822.498223735802</v>
      </c>
      <c r="L30" s="39" t="n">
        <f aca="false">K30*(1+L28)</f>
        <v>855.398152685234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84.67536</v>
      </c>
      <c r="D31" s="39" t="n">
        <f aca="false">D30*D29</f>
        <v>102.488546844444</v>
      </c>
      <c r="E31" s="39" t="n">
        <f aca="false">E30*E29</f>
        <v>122.267038340741</v>
      </c>
      <c r="F31" s="39" t="n">
        <f aca="false">F30*F29</f>
        <v>143.786037088711</v>
      </c>
      <c r="G31" s="39" t="n">
        <f aca="false">G30*G29</f>
        <v>166.700510300944</v>
      </c>
      <c r="H31" s="39" t="n">
        <f aca="false">H30*H29</f>
        <v>190.543734804594</v>
      </c>
      <c r="I31" s="39" t="n">
        <f aca="false">I30*I29</f>
        <v>214.734504614569</v>
      </c>
      <c r="J31" s="39" t="n">
        <f aca="false">J30*J29</f>
        <v>238.593894016187</v>
      </c>
      <c r="K31" s="39" t="n">
        <f aca="false">K30*K29</f>
        <v>261.371657764933</v>
      </c>
      <c r="L31" s="39" t="n">
        <f aca="false">L30*L29</f>
        <v>282.281390386127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0.912991874372318</v>
      </c>
      <c r="D32" s="40" t="n">
        <f aca="false">1/(1+$B$15)^D27</f>
        <v>0.833554162669879</v>
      </c>
      <c r="E32" s="40" t="n">
        <f aca="false">1/(1+$B$15)^E27</f>
        <v>0.761028177366821</v>
      </c>
      <c r="F32" s="40" t="n">
        <f aca="false">1/(1+$B$15)^F27</f>
        <v>0.694812542104283</v>
      </c>
      <c r="G32" s="40" t="n">
        <f aca="false">1/(1+$B$15)^G27</f>
        <v>0.634358205153184</v>
      </c>
      <c r="H32" s="40" t="n">
        <f aca="false">1/(1+$B$15)^H27</f>
        <v>0.579163886746265</v>
      </c>
      <c r="I32" s="40" t="n">
        <f aca="false">1/(1+$B$15)^I27</f>
        <v>0.52877192252923</v>
      </c>
      <c r="J32" s="40" t="n">
        <f aca="false">1/(1+$B$15)^J27</f>
        <v>0.482764468665416</v>
      </c>
      <c r="K32" s="40" t="n">
        <f aca="false">1/(1+$B$15)^K27</f>
        <v>0.440760037127194</v>
      </c>
      <c r="L32" s="40" t="n">
        <f aca="false">1/(1+$B$15)^L27</f>
        <v>0.402410332445169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77.3079156395508</v>
      </c>
      <c r="D33" s="39" t="n">
        <f aca="false">D31*D32</f>
        <v>85.4297548481735</v>
      </c>
      <c r="E33" s="39" t="n">
        <f aca="false">E31*E32</f>
        <v>93.0486613404931</v>
      </c>
      <c r="F33" s="39" t="n">
        <f aca="false">F31*F32</f>
        <v>99.904341948708</v>
      </c>
      <c r="G33" s="39" t="n">
        <f aca="false">G31*G32</f>
        <v>105.747836512627</v>
      </c>
      <c r="H33" s="39" t="n">
        <f aca="false">H31*H32</f>
        <v>110.356050044578</v>
      </c>
      <c r="I33" s="39" t="n">
        <f aca="false">I31*I32</f>
        <v>113.545576838407</v>
      </c>
      <c r="J33" s="39" t="n">
        <f aca="false">J31*J32</f>
        <v>115.184654471537</v>
      </c>
      <c r="K33" s="39" t="n">
        <f aca="false">K31*K32</f>
        <v>115.202181580468</v>
      </c>
      <c r="L33" s="39" t="n">
        <f aca="false">L31*L32</f>
        <v>113.592948148366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1029.31992137291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4845.12834244845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1949.72970702419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2979.0496283971</v>
      </c>
    </row>
    <row r="40" customFormat="false" ht="15" hidden="false" customHeight="false" outlineLevel="0" collapsed="false">
      <c r="A40" s="5" t="s">
        <v>169</v>
      </c>
      <c r="B40" s="39" t="n">
        <f aca="false">B22</f>
        <v>51.97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2927.0796283971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392.896594415719</v>
      </c>
    </row>
    <row r="43" customFormat="false" ht="15" hidden="false" customHeight="false" outlineLevel="0" collapsed="false">
      <c r="A43" s="5" t="s">
        <v>137</v>
      </c>
      <c r="B43" s="43" t="n">
        <f aca="false">B6</f>
        <v>516.17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-0.238823266722749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0.654480438472339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17.1641791044776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0.03</v>
      </c>
      <c r="C49" s="45" t="n">
        <v>0.035</v>
      </c>
      <c r="D49" s="45" t="n">
        <v>0.04</v>
      </c>
    </row>
    <row r="50" customFormat="false" ht="15" hidden="false" customHeight="false" outlineLevel="0" collapsed="false">
      <c r="A50" s="46" t="n">
        <f aca="false">B15+(-0.01)</f>
        <v>0.0853</v>
      </c>
      <c r="B50" s="43" t="n">
        <f aca="false">(SUMPRODUCT($C$31:$L$31,1/(1+$A50)^$C$27:$L$27)+$L$31*(1+B$49)/($A50-B$49)/(1+$A50)^10-$B$22)/$B$23</f>
        <v>450.104402738929</v>
      </c>
      <c r="C50" s="43" t="n">
        <f aca="false">(SUMPRODUCT($C$31:$L$31,1/(1+$A50)^$C$27:$L$27)+$L$31*(1+C$49)/($A50-C$49)/(1+$A50)^10-$B$22)/$B$23</f>
        <v>482.70718293549</v>
      </c>
      <c r="D50" s="43" t="n">
        <f aca="false">(SUMPRODUCT($C$31:$L$31,1/(1+$A50)^$C$27:$L$27)+$L$31*(1+D$49)/($A50-D$49)/(1+$A50)^10-$B$22)/$B$23</f>
        <v>522.507044853145</v>
      </c>
    </row>
    <row r="51" customFormat="false" ht="15" hidden="false" customHeight="false" outlineLevel="0" collapsed="false">
      <c r="A51" s="46" t="n">
        <f aca="false">B15+(0)</f>
        <v>0.0953</v>
      </c>
      <c r="B51" s="43" t="n">
        <f aca="false">(SUMPRODUCT($C$31:$L$31,1/(1+$A51)^$C$27:$L$27)+$L$31*(1+B$49)/($A51-B$49)/(1+$A51)^10-$B$22)/$B$23</f>
        <v>371.690157884556</v>
      </c>
      <c r="C51" s="47" t="n">
        <f aca="false">(SUMPRODUCT($C$31:$L$31,1/(1+$A51)^$C$27:$L$27)+$L$31*(1+C$49)/($A51-C$49)/(1+$A51)^10-$B$22)/$B$23</f>
        <v>392.896594415719</v>
      </c>
      <c r="D51" s="43" t="n">
        <f aca="false">(SUMPRODUCT($C$31:$L$31,1/(1+$A51)^$C$27:$L$27)+$L$31*(1+D$49)/($A51-D$49)/(1+$A51)^10-$B$22)/$B$23</f>
        <v>417.937829596278</v>
      </c>
    </row>
    <row r="52" customFormat="false" ht="15" hidden="false" customHeight="false" outlineLevel="0" collapsed="false">
      <c r="A52" s="46" t="n">
        <f aca="false">B15+(0.01)</f>
        <v>0.1053</v>
      </c>
      <c r="B52" s="43" t="n">
        <f aca="false">(SUMPRODUCT($C$31:$L$31,1/(1+$A52)^$C$27:$L$27)+$L$31*(1+B$49)/($A52-B$49)/(1+$A52)^10-$B$22)/$B$23</f>
        <v>314.536900616289</v>
      </c>
      <c r="C52" s="43" t="n">
        <f aca="false">(SUMPRODUCT($C$31:$L$31,1/(1+$A52)^$C$27:$L$27)+$L$31*(1+C$49)/($A52-C$49)/(1+$A52)^10-$B$22)/$B$23</f>
        <v>329.072205579132</v>
      </c>
      <c r="D52" s="43" t="n">
        <f aca="false">(SUMPRODUCT($C$31:$L$31,1/(1+$A52)^$C$27:$L$27)+$L$31*(1+D$49)/($A52-D$49)/(1+$A52)^10-$B$22)/$B$23</f>
        <v>345.83343779509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184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343.92</v>
      </c>
    </row>
    <row r="7" customFormat="false" ht="15" hidden="false" customHeight="false" outlineLevel="0" collapsed="false">
      <c r="A7" s="5" t="s">
        <v>138</v>
      </c>
      <c r="B7" s="33" t="n">
        <v>1.15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0.10405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</v>
      </c>
    </row>
    <row r="13" customFormat="false" ht="15" hidden="false" customHeight="false" outlineLevel="0" collapsed="false">
      <c r="A13" s="5" t="s">
        <v>143</v>
      </c>
      <c r="B13" s="30" t="n">
        <v>0</v>
      </c>
    </row>
    <row r="14" customFormat="false" ht="15" hidden="false" customHeight="false" outlineLevel="0" collapsed="false">
      <c r="A14" s="5" t="s">
        <v>144</v>
      </c>
      <c r="B14" s="22" t="n">
        <v>-0.002</v>
      </c>
      <c r="C14" s="16" t="s">
        <v>180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0.10205</v>
      </c>
    </row>
    <row r="16" customFormat="false" ht="15" hidden="false" customHeight="false" outlineLevel="0" collapsed="false">
      <c r="A16" s="5" t="s">
        <v>145</v>
      </c>
      <c r="B16" s="35" t="n">
        <v>445.9</v>
      </c>
    </row>
    <row r="17" customFormat="false" ht="15" hidden="false" customHeight="false" outlineLevel="0" collapsed="false">
      <c r="A17" s="5" t="s">
        <v>146</v>
      </c>
      <c r="B17" s="31" t="n">
        <v>0.15</v>
      </c>
    </row>
    <row r="18" customFormat="false" ht="15" hidden="false" customHeight="false" outlineLevel="0" collapsed="false">
      <c r="A18" s="5" t="s">
        <v>147</v>
      </c>
      <c r="B18" s="31" t="n">
        <v>0.04</v>
      </c>
    </row>
    <row r="19" customFormat="false" ht="15" hidden="false" customHeight="false" outlineLevel="0" collapsed="false">
      <c r="A19" s="5" t="s">
        <v>148</v>
      </c>
      <c r="B19" s="31" t="n">
        <v>0.18</v>
      </c>
    </row>
    <row r="20" customFormat="false" ht="15" hidden="false" customHeight="false" outlineLevel="0" collapsed="false">
      <c r="A20" s="5" t="s">
        <v>149</v>
      </c>
      <c r="B20" s="31" t="n">
        <v>0.27</v>
      </c>
    </row>
    <row r="21" customFormat="false" ht="15" hidden="false" customHeight="false" outlineLevel="0" collapsed="false">
      <c r="A21" s="5" t="s">
        <v>121</v>
      </c>
      <c r="B21" s="31" t="n">
        <v>0.035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-121.68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12.0667597115608</v>
      </c>
      <c r="C23" s="16" t="s">
        <v>154</v>
      </c>
    </row>
    <row r="24" customFormat="false" ht="15" hidden="false" customHeight="false" outlineLevel="0" collapsed="false">
      <c r="C24" s="16" t="s">
        <v>185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0.15</v>
      </c>
      <c r="D28" s="38" t="n">
        <f aca="false">$B$17+($B$18-$B$17)*(D27-1)/9</f>
        <v>0.137777777777778</v>
      </c>
      <c r="E28" s="38" t="n">
        <f aca="false">$B$17+($B$18-$B$17)*(E27-1)/9</f>
        <v>0.125555555555556</v>
      </c>
      <c r="F28" s="38" t="n">
        <f aca="false">$B$17+($B$18-$B$17)*(F27-1)/9</f>
        <v>0.113333333333333</v>
      </c>
      <c r="G28" s="38" t="n">
        <f aca="false">$B$17+($B$18-$B$17)*(G27-1)/9</f>
        <v>0.101111111111111</v>
      </c>
      <c r="H28" s="38" t="n">
        <f aca="false">$B$17+($B$18-$B$17)*(H27-1)/9</f>
        <v>0.0888888888888889</v>
      </c>
      <c r="I28" s="38" t="n">
        <f aca="false">$B$17+($B$18-$B$17)*(I27-1)/9</f>
        <v>0.0766666666666667</v>
      </c>
      <c r="J28" s="38" t="n">
        <f aca="false">$B$17+($B$18-$B$17)*(J27-1)/9</f>
        <v>0.0644444444444444</v>
      </c>
      <c r="K28" s="38" t="n">
        <f aca="false">$B$17+($B$18-$B$17)*(K27-1)/9</f>
        <v>0.0522222222222222</v>
      </c>
      <c r="L28" s="38" t="n">
        <f aca="false">$B$17+($B$18-$B$17)*(L27-1)/9</f>
        <v>0.04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0.18</v>
      </c>
      <c r="D29" s="38" t="n">
        <f aca="false">$B$19+($B$20-$B$19)*(D27-1)/9</f>
        <v>0.19</v>
      </c>
      <c r="E29" s="38" t="n">
        <f aca="false">$B$19+($B$20-$B$19)*(E27-1)/9</f>
        <v>0.2</v>
      </c>
      <c r="F29" s="38" t="n">
        <f aca="false">$B$19+($B$20-$B$19)*(F27-1)/9</f>
        <v>0.21</v>
      </c>
      <c r="G29" s="38" t="n">
        <f aca="false">$B$19+($B$20-$B$19)*(G27-1)/9</f>
        <v>0.22</v>
      </c>
      <c r="H29" s="38" t="n">
        <f aca="false">$B$19+($B$20-$B$19)*(H27-1)/9</f>
        <v>0.23</v>
      </c>
      <c r="I29" s="38" t="n">
        <f aca="false">$B$19+($B$20-$B$19)*(I27-1)/9</f>
        <v>0.24</v>
      </c>
      <c r="J29" s="38" t="n">
        <f aca="false">$B$19+($B$20-$B$19)*(J27-1)/9</f>
        <v>0.25</v>
      </c>
      <c r="K29" s="38" t="n">
        <f aca="false">$B$19+($B$20-$B$19)*(K27-1)/9</f>
        <v>0.26</v>
      </c>
      <c r="L29" s="38" t="n">
        <f aca="false">$B$19+($B$20-$B$19)*(L27-1)/9</f>
        <v>0.27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512.785</v>
      </c>
      <c r="D30" s="39" t="n">
        <f aca="false">C30*(1+D28)</f>
        <v>583.435377777778</v>
      </c>
      <c r="E30" s="39" t="n">
        <f aca="false">D30*(1+E28)</f>
        <v>656.688930765432</v>
      </c>
      <c r="F30" s="39" t="n">
        <f aca="false">E30*(1+F28)</f>
        <v>731.113676252181</v>
      </c>
      <c r="G30" s="39" t="n">
        <f aca="false">F30*(1+G28)</f>
        <v>805.037392406568</v>
      </c>
      <c r="H30" s="39" t="n">
        <f aca="false">G30*(1+H28)</f>
        <v>876.596271731597</v>
      </c>
      <c r="I30" s="39" t="n">
        <f aca="false">H30*(1+I28)</f>
        <v>943.801985897686</v>
      </c>
      <c r="J30" s="39" t="n">
        <f aca="false">I30*(1+J28)</f>
        <v>1004.62478054443</v>
      </c>
      <c r="K30" s="39" t="n">
        <f aca="false">J30*(1+K28)</f>
        <v>1057.08851908397</v>
      </c>
      <c r="L30" s="39" t="n">
        <f aca="false">K30*(1+L28)</f>
        <v>1099.37205984733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92.3013</v>
      </c>
      <c r="D31" s="39" t="n">
        <f aca="false">D30*D29</f>
        <v>110.852721777778</v>
      </c>
      <c r="E31" s="39" t="n">
        <f aca="false">E30*E29</f>
        <v>131.337786153086</v>
      </c>
      <c r="F31" s="39" t="n">
        <f aca="false">F30*F29</f>
        <v>153.533872012958</v>
      </c>
      <c r="G31" s="39" t="n">
        <f aca="false">G30*G29</f>
        <v>177.108226329445</v>
      </c>
      <c r="H31" s="39" t="n">
        <f aca="false">H30*H29</f>
        <v>201.617142498267</v>
      </c>
      <c r="I31" s="39" t="n">
        <f aca="false">I30*I29</f>
        <v>226.512476615445</v>
      </c>
      <c r="J31" s="39" t="n">
        <f aca="false">J30*J29</f>
        <v>251.156195136106</v>
      </c>
      <c r="K31" s="39" t="n">
        <f aca="false">K30*K29</f>
        <v>274.843014961832</v>
      </c>
      <c r="L31" s="39" t="n">
        <f aca="false">L30*L29</f>
        <v>296.830456158778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0.907399845742026</v>
      </c>
      <c r="D32" s="40" t="n">
        <f aca="false">1/(1+$B$15)^D27</f>
        <v>0.823374480052653</v>
      </c>
      <c r="E32" s="40" t="n">
        <f aca="false">1/(1+$B$15)^E27</f>
        <v>0.747129876187698</v>
      </c>
      <c r="F32" s="40" t="n">
        <f aca="false">1/(1+$B$15)^F27</f>
        <v>0.677945534401977</v>
      </c>
      <c r="G32" s="40" t="n">
        <f aca="false">1/(1+$B$15)^G27</f>
        <v>0.615167673337849</v>
      </c>
      <c r="H32" s="40" t="n">
        <f aca="false">1/(1+$B$15)^H27</f>
        <v>0.558203051892246</v>
      </c>
      <c r="I32" s="40" t="n">
        <f aca="false">1/(1+$B$15)^I27</f>
        <v>0.506513363179752</v>
      </c>
      <c r="J32" s="40" t="n">
        <f aca="false">1/(1+$B$15)^J27</f>
        <v>0.459610147615582</v>
      </c>
      <c r="K32" s="40" t="n">
        <f aca="false">1/(1+$B$15)^K27</f>
        <v>0.417050177047849</v>
      </c>
      <c r="L32" s="40" t="n">
        <f aca="false">1/(1+$B$15)^L27</f>
        <v>0.378431266319903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83.7541853817885</v>
      </c>
      <c r="D33" s="39" t="n">
        <f aca="false">D31*D32</f>
        <v>91.2733021561992</v>
      </c>
      <c r="E33" s="39" t="n">
        <f aca="false">E31*E32</f>
        <v>98.1263839073219</v>
      </c>
      <c r="F33" s="39" t="n">
        <f aca="false">F31*F32</f>
        <v>104.08760291063</v>
      </c>
      <c r="G33" s="39" t="n">
        <f aca="false">G31*G32</f>
        <v>108.951255520078</v>
      </c>
      <c r="H33" s="39" t="n">
        <f aca="false">H31*H32</f>
        <v>112.543304256327</v>
      </c>
      <c r="I33" s="39" t="n">
        <f aca="false">I31*I32</f>
        <v>114.731596332664</v>
      </c>
      <c r="J33" s="39" t="n">
        <f aca="false">J31*J32</f>
        <v>115.433935921074</v>
      </c>
      <c r="K33" s="39" t="n">
        <f aca="false">K31*K32</f>
        <v>114.623328050196</v>
      </c>
      <c r="L33" s="39" t="n">
        <f aca="false">L31*L32</f>
        <v>112.329925406481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1055.85481984276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4581.94663869255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1733.95186869064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2789.8066885334</v>
      </c>
    </row>
    <row r="40" customFormat="false" ht="15" hidden="false" customHeight="false" outlineLevel="0" collapsed="false">
      <c r="A40" s="5" t="s">
        <v>169</v>
      </c>
      <c r="B40" s="39" t="n">
        <f aca="false">B22</f>
        <v>-121.68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2911.4866885334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241.28156672781</v>
      </c>
    </row>
    <row r="43" customFormat="false" ht="15" hidden="false" customHeight="false" outlineLevel="0" collapsed="false">
      <c r="A43" s="5" t="s">
        <v>137</v>
      </c>
      <c r="B43" s="43" t="n">
        <f aca="false">B6</f>
        <v>343.92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-0.298436942522071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0.621531189174322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15.4362416107383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0.03</v>
      </c>
      <c r="C49" s="45" t="n">
        <v>0.035</v>
      </c>
      <c r="D49" s="45" t="n">
        <v>0.04</v>
      </c>
    </row>
    <row r="50" customFormat="false" ht="15" hidden="false" customHeight="false" outlineLevel="0" collapsed="false">
      <c r="A50" s="46" t="n">
        <f aca="false">B15+(-0.01)</f>
        <v>0.09205</v>
      </c>
      <c r="B50" s="43" t="n">
        <f aca="false">(SUMPRODUCT($C$31:$L$31,1/(1+$A50)^$C$27:$L$27)+$L$31*(1+B$49)/($A50-B$49)/(1+$A50)^10-$B$22)/$B$23</f>
        <v>271.602688412342</v>
      </c>
      <c r="C50" s="43" t="n">
        <f aca="false">(SUMPRODUCT($C$31:$L$31,1/(1+$A50)^$C$27:$L$27)+$L$31*(1+C$49)/($A50-C$49)/(1+$A50)^10-$B$22)/$B$23</f>
        <v>287.331925401376</v>
      </c>
      <c r="D50" s="43" t="n">
        <f aca="false">(SUMPRODUCT($C$31:$L$31,1/(1+$A50)^$C$27:$L$27)+$L$31*(1+D$49)/($A50-D$49)/(1+$A50)^10-$B$22)/$B$23</f>
        <v>306.083109938735</v>
      </c>
    </row>
    <row r="51" customFormat="false" ht="15" hidden="false" customHeight="false" outlineLevel="0" collapsed="false">
      <c r="A51" s="46" t="n">
        <f aca="false">B15+(0)</f>
        <v>0.10205</v>
      </c>
      <c r="B51" s="43" t="n">
        <f aca="false">(SUMPRODUCT($C$31:$L$31,1/(1+$A51)^$C$27:$L$27)+$L$31*(1+B$49)/($A51-B$49)/(1+$A51)^10-$B$22)/$B$23</f>
        <v>230.6635515505</v>
      </c>
      <c r="C51" s="47" t="n">
        <f aca="false">(SUMPRODUCT($C$31:$L$31,1/(1+$A51)^$C$27:$L$27)+$L$31*(1+C$49)/($A51-C$49)/(1+$A51)^10-$B$22)/$B$23</f>
        <v>241.28156672781</v>
      </c>
      <c r="D51" s="43" t="n">
        <f aca="false">(SUMPRODUCT($C$31:$L$31,1/(1+$A51)^$C$27:$L$27)+$L$31*(1+D$49)/($A51-D$49)/(1+$A51)^10-$B$22)/$B$23</f>
        <v>253.610784995741</v>
      </c>
    </row>
    <row r="52" customFormat="false" ht="15" hidden="false" customHeight="false" outlineLevel="0" collapsed="false">
      <c r="A52" s="46" t="n">
        <f aca="false">B15+(0.01)</f>
        <v>0.11205</v>
      </c>
      <c r="B52" s="43" t="n">
        <f aca="false">(SUMPRODUCT($C$31:$L$31,1/(1+$A52)^$C$27:$L$27)+$L$31*(1+B$49)/($A52-B$49)/(1+$A52)^10-$B$22)/$B$23</f>
        <v>199.943710785081</v>
      </c>
      <c r="C52" s="43" t="n">
        <f aca="false">(SUMPRODUCT($C$31:$L$31,1/(1+$A52)^$C$27:$L$27)+$L$31*(1+C$49)/($A52-C$49)/(1+$A52)^10-$B$22)/$B$23</f>
        <v>207.423988826284</v>
      </c>
      <c r="D52" s="43" t="n">
        <f aca="false">(SUMPRODUCT($C$31:$L$31,1/(1+$A52)^$C$27:$L$27)+$L$31*(1+D$49)/($A52-D$49)/(1+$A52)^10-$B$22)/$B$23</f>
        <v>215.942473396453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186</v>
      </c>
    </row>
    <row r="2" customFormat="false" ht="15" hidden="false" customHeight="false" outlineLevel="0" collapsed="false">
      <c r="A2" s="16" t="s">
        <v>134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271.22</v>
      </c>
    </row>
    <row r="7" customFormat="false" ht="15" hidden="false" customHeight="false" outlineLevel="0" collapsed="false">
      <c r="A7" s="5" t="s">
        <v>138</v>
      </c>
      <c r="B7" s="33" t="n">
        <v>0.55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0.07705</v>
      </c>
      <c r="C10" s="16" t="s">
        <v>139</v>
      </c>
    </row>
    <row r="11" customFormat="false" ht="15" hidden="false" customHeight="false" outlineLevel="0" collapsed="false">
      <c r="A11" s="5" t="s">
        <v>140</v>
      </c>
      <c r="B11" s="30" t="n">
        <v>0</v>
      </c>
      <c r="C11" s="16" t="s">
        <v>141</v>
      </c>
    </row>
    <row r="12" customFormat="false" ht="15" hidden="false" customHeight="false" outlineLevel="0" collapsed="false">
      <c r="A12" s="5" t="s">
        <v>142</v>
      </c>
      <c r="B12" s="22" t="n">
        <v>0</v>
      </c>
    </row>
    <row r="13" customFormat="false" ht="15" hidden="false" customHeight="false" outlineLevel="0" collapsed="false">
      <c r="A13" s="5" t="s">
        <v>143</v>
      </c>
      <c r="B13" s="30" t="n">
        <v>0</v>
      </c>
    </row>
    <row r="14" customFormat="false" ht="15" hidden="false" customHeight="false" outlineLevel="0" collapsed="false">
      <c r="A14" s="5" t="s">
        <v>144</v>
      </c>
      <c r="B14" s="22" t="n">
        <v>-0.002</v>
      </c>
      <c r="C14" s="16" t="s">
        <v>180</v>
      </c>
    </row>
    <row r="15" customFormat="false" ht="15" hidden="false" customHeight="false" outlineLevel="0" collapsed="false">
      <c r="A15" s="5" t="s">
        <v>102</v>
      </c>
      <c r="B15" s="34" t="n">
        <f aca="false">(1-B11)*B10+B11*B12*(1-B13)+B14</f>
        <v>0.07505</v>
      </c>
    </row>
    <row r="16" customFormat="false" ht="15" hidden="false" customHeight="false" outlineLevel="0" collapsed="false">
      <c r="A16" s="5" t="s">
        <v>145</v>
      </c>
      <c r="B16" s="35" t="n">
        <v>97.8</v>
      </c>
    </row>
    <row r="17" customFormat="false" ht="15" hidden="false" customHeight="false" outlineLevel="0" collapsed="false">
      <c r="A17" s="5" t="s">
        <v>146</v>
      </c>
      <c r="B17" s="31" t="n">
        <v>0.06</v>
      </c>
    </row>
    <row r="18" customFormat="false" ht="15" hidden="false" customHeight="false" outlineLevel="0" collapsed="false">
      <c r="A18" s="5" t="s">
        <v>147</v>
      </c>
      <c r="B18" s="31" t="n">
        <v>0.035</v>
      </c>
    </row>
    <row r="19" customFormat="false" ht="15" hidden="false" customHeight="false" outlineLevel="0" collapsed="false">
      <c r="A19" s="5" t="s">
        <v>148</v>
      </c>
      <c r="B19" s="31" t="n">
        <v>0.173</v>
      </c>
    </row>
    <row r="20" customFormat="false" ht="15" hidden="false" customHeight="false" outlineLevel="0" collapsed="false">
      <c r="A20" s="5" t="s">
        <v>149</v>
      </c>
      <c r="B20" s="31" t="n">
        <v>0.21</v>
      </c>
    </row>
    <row r="21" customFormat="false" ht="15" hidden="false" customHeight="false" outlineLevel="0" collapsed="false">
      <c r="A21" s="5" t="s">
        <v>121</v>
      </c>
      <c r="B21" s="31" t="n">
        <v>0.035</v>
      </c>
      <c r="C21" s="16" t="s">
        <v>150</v>
      </c>
    </row>
    <row r="22" customFormat="false" ht="15" hidden="false" customHeight="false" outlineLevel="0" collapsed="false">
      <c r="A22" s="5" t="s">
        <v>151</v>
      </c>
      <c r="B22" s="35" t="n">
        <v>28.28</v>
      </c>
      <c r="C22" s="16" t="s">
        <v>152</v>
      </c>
    </row>
    <row r="23" customFormat="false" ht="15" hidden="false" customHeight="false" outlineLevel="0" collapsed="false">
      <c r="A23" s="5" t="s">
        <v>153</v>
      </c>
      <c r="B23" s="36" t="n">
        <v>2.3621783054347</v>
      </c>
      <c r="C23" s="16" t="s">
        <v>154</v>
      </c>
    </row>
    <row r="24" customFormat="false" ht="15" hidden="false" customHeight="false" outlineLevel="0" collapsed="false">
      <c r="C24" s="16" t="s">
        <v>187</v>
      </c>
    </row>
    <row r="26" customFormat="false" ht="15" hidden="false" customHeight="false" outlineLevel="0" collapsed="false">
      <c r="A26" s="27" t="s">
        <v>156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</row>
    <row r="28" customFormat="false" ht="15" hidden="false" customHeight="false" outlineLevel="0" collapsed="false">
      <c r="A28" s="5" t="s">
        <v>158</v>
      </c>
      <c r="C28" s="38" t="n">
        <f aca="false">$B$17+($B$18-$B$17)*(C27-1)/9</f>
        <v>0.06</v>
      </c>
      <c r="D28" s="38" t="n">
        <f aca="false">$B$17+($B$18-$B$17)*(D27-1)/9</f>
        <v>0.0572222222222222</v>
      </c>
      <c r="E28" s="38" t="n">
        <f aca="false">$B$17+($B$18-$B$17)*(E27-1)/9</f>
        <v>0.0544444444444444</v>
      </c>
      <c r="F28" s="38" t="n">
        <f aca="false">$B$17+($B$18-$B$17)*(F27-1)/9</f>
        <v>0.0516666666666667</v>
      </c>
      <c r="G28" s="38" t="n">
        <f aca="false">$B$17+($B$18-$B$17)*(G27-1)/9</f>
        <v>0.0488888888888889</v>
      </c>
      <c r="H28" s="38" t="n">
        <f aca="false">$B$17+($B$18-$B$17)*(H27-1)/9</f>
        <v>0.0461111111111111</v>
      </c>
      <c r="I28" s="38" t="n">
        <f aca="false">$B$17+($B$18-$B$17)*(I27-1)/9</f>
        <v>0.0433333333333333</v>
      </c>
      <c r="J28" s="38" t="n">
        <f aca="false">$B$17+($B$18-$B$17)*(J27-1)/9</f>
        <v>0.0405555555555556</v>
      </c>
      <c r="K28" s="38" t="n">
        <f aca="false">$B$17+($B$18-$B$17)*(K27-1)/9</f>
        <v>0.0377777777777778</v>
      </c>
      <c r="L28" s="38" t="n">
        <f aca="false">$B$17+($B$18-$B$17)*(L27-1)/9</f>
        <v>0.035</v>
      </c>
    </row>
    <row r="29" customFormat="false" ht="15" hidden="false" customHeight="false" outlineLevel="0" collapsed="false">
      <c r="A29" s="5" t="s">
        <v>159</v>
      </c>
      <c r="C29" s="38" t="n">
        <f aca="false">$B$19+($B$20-$B$19)*(C27-1)/9</f>
        <v>0.173</v>
      </c>
      <c r="D29" s="38" t="n">
        <f aca="false">$B$19+($B$20-$B$19)*(D27-1)/9</f>
        <v>0.177111111111111</v>
      </c>
      <c r="E29" s="38" t="n">
        <f aca="false">$B$19+($B$20-$B$19)*(E27-1)/9</f>
        <v>0.181222222222222</v>
      </c>
      <c r="F29" s="38" t="n">
        <f aca="false">$B$19+($B$20-$B$19)*(F27-1)/9</f>
        <v>0.185333333333333</v>
      </c>
      <c r="G29" s="38" t="n">
        <f aca="false">$B$19+($B$20-$B$19)*(G27-1)/9</f>
        <v>0.189444444444444</v>
      </c>
      <c r="H29" s="38" t="n">
        <f aca="false">$B$19+($B$20-$B$19)*(H27-1)/9</f>
        <v>0.193555555555556</v>
      </c>
      <c r="I29" s="38" t="n">
        <f aca="false">$B$19+($B$20-$B$19)*(I27-1)/9</f>
        <v>0.197666666666667</v>
      </c>
      <c r="J29" s="38" t="n">
        <f aca="false">$B$19+($B$20-$B$19)*(J27-1)/9</f>
        <v>0.201777777777778</v>
      </c>
      <c r="K29" s="38" t="n">
        <f aca="false">$B$19+($B$20-$B$19)*(K27-1)/9</f>
        <v>0.205888888888889</v>
      </c>
      <c r="L29" s="38" t="n">
        <f aca="false">$B$19+($B$20-$B$19)*(L27-1)/9</f>
        <v>0.21</v>
      </c>
    </row>
    <row r="30" customFormat="false" ht="15" hidden="false" customHeight="false" outlineLevel="0" collapsed="false">
      <c r="A30" s="5" t="s">
        <v>160</v>
      </c>
      <c r="C30" s="39" t="n">
        <f aca="false">$B$16*(1+C28)</f>
        <v>103.668</v>
      </c>
      <c r="D30" s="39" t="n">
        <f aca="false">C30*(1+D28)</f>
        <v>109.600113333333</v>
      </c>
      <c r="E30" s="39" t="n">
        <f aca="false">D30*(1+E28)</f>
        <v>115.567230614815</v>
      </c>
      <c r="F30" s="39" t="n">
        <f aca="false">E30*(1+F28)</f>
        <v>121.53820419658</v>
      </c>
      <c r="G30" s="39" t="n">
        <f aca="false">F30*(1+G28)</f>
        <v>127.480071957302</v>
      </c>
      <c r="H30" s="39" t="n">
        <f aca="false">G30*(1+H28)</f>
        <v>133.358319719778</v>
      </c>
      <c r="I30" s="39" t="n">
        <f aca="false">H30*(1+I28)</f>
        <v>139.137180240968</v>
      </c>
      <c r="J30" s="39" t="n">
        <f aca="false">I30*(1+J28)</f>
        <v>144.779965884074</v>
      </c>
      <c r="K30" s="39" t="n">
        <f aca="false">J30*(1+K28)</f>
        <v>150.249431261917</v>
      </c>
      <c r="L30" s="39" t="n">
        <f aca="false">K30*(1+L28)</f>
        <v>155.508161356084</v>
      </c>
    </row>
    <row r="31" customFormat="false" ht="15" hidden="false" customHeight="false" outlineLevel="0" collapsed="false">
      <c r="A31" s="5" t="s">
        <v>161</v>
      </c>
      <c r="C31" s="39" t="n">
        <f aca="false">C30*C29</f>
        <v>17.934564</v>
      </c>
      <c r="D31" s="39" t="n">
        <f aca="false">D30*D29</f>
        <v>19.4113978503704</v>
      </c>
      <c r="E31" s="39" t="n">
        <f aca="false">E30*E29</f>
        <v>20.9433503480848</v>
      </c>
      <c r="F31" s="39" t="n">
        <f aca="false">F30*F29</f>
        <v>22.5250805110995</v>
      </c>
      <c r="G31" s="39" t="n">
        <f aca="false">G30*G29</f>
        <v>24.1503914096889</v>
      </c>
      <c r="H31" s="39" t="n">
        <f aca="false">H30*H29</f>
        <v>25.812243661317</v>
      </c>
      <c r="I31" s="39" t="n">
        <f aca="false">I30*I29</f>
        <v>27.5027826276313</v>
      </c>
      <c r="J31" s="39" t="n">
        <f aca="false">J30*J29</f>
        <v>29.2133797828309</v>
      </c>
      <c r="K31" s="39" t="n">
        <f aca="false">K30*K29</f>
        <v>30.9346884587035</v>
      </c>
      <c r="L31" s="39" t="n">
        <f aca="false">L30*L29</f>
        <v>32.6567138847776</v>
      </c>
    </row>
    <row r="32" customFormat="false" ht="15" hidden="false" customHeight="false" outlineLevel="0" collapsed="false">
      <c r="A32" s="5" t="s">
        <v>162</v>
      </c>
      <c r="C32" s="40" t="n">
        <f aca="false">1/(1+$B$15)^C27</f>
        <v>0.930189293521232</v>
      </c>
      <c r="D32" s="40" t="n">
        <f aca="false">1/(1+$B$15)^D27</f>
        <v>0.865252121781528</v>
      </c>
      <c r="E32" s="40" t="n">
        <f aca="false">1/(1+$B$15)^E27</f>
        <v>0.804848259877706</v>
      </c>
      <c r="F32" s="40" t="n">
        <f aca="false">1/(1+$B$15)^F27</f>
        <v>0.748661234247436</v>
      </c>
      <c r="G32" s="40" t="n">
        <f aca="false">1/(1+$B$15)^G27</f>
        <v>0.696396664571356</v>
      </c>
      <c r="H32" s="40" t="n">
        <f aca="false">1/(1+$B$15)^H27</f>
        <v>0.647780721428171</v>
      </c>
      <c r="I32" s="40" t="n">
        <f aca="false">1/(1+$B$15)^I27</f>
        <v>0.602558691621944</v>
      </c>
      <c r="J32" s="40" t="n">
        <f aca="false">1/(1+$B$15)^J27</f>
        <v>0.560493643664894</v>
      </c>
      <c r="K32" s="40" t="n">
        <f aca="false">1/(1+$B$15)^K27</f>
        <v>0.521365186423789</v>
      </c>
      <c r="L32" s="40" t="n">
        <f aca="false">1/(1+$B$15)^L27</f>
        <v>0.484968314426109</v>
      </c>
    </row>
    <row r="33" customFormat="false" ht="15" hidden="false" customHeight="false" outlineLevel="0" collapsed="false">
      <c r="A33" s="5" t="s">
        <v>163</v>
      </c>
      <c r="C33" s="39" t="n">
        <f aca="false">C31*C32</f>
        <v>16.6825394167713</v>
      </c>
      <c r="D33" s="39" t="n">
        <f aca="false">D31*D32</f>
        <v>16.7957531767784</v>
      </c>
      <c r="E33" s="39" t="n">
        <f aca="false">E31*E32</f>
        <v>16.8562190836652</v>
      </c>
      <c r="F33" s="39" t="n">
        <f aca="false">F31*F32</f>
        <v>16.8636545769627</v>
      </c>
      <c r="G33" s="39" t="n">
        <f aca="false">G31*G32</f>
        <v>16.8182520258001</v>
      </c>
      <c r="H33" s="39" t="n">
        <f aca="false">H31*H32</f>
        <v>16.7206738206076</v>
      </c>
      <c r="I33" s="39" t="n">
        <f aca="false">I31*I32</f>
        <v>16.5720407160683</v>
      </c>
      <c r="J33" s="39" t="n">
        <f aca="false">J31*J32</f>
        <v>16.3739136782452</v>
      </c>
      <c r="K33" s="39" t="n">
        <f aca="false">K31*K32</f>
        <v>16.1282696152338</v>
      </c>
      <c r="L33" s="39" t="n">
        <f aca="false">L31*L32</f>
        <v>15.8374714873963</v>
      </c>
    </row>
    <row r="35" customFormat="false" ht="15" hidden="false" customHeight="false" outlineLevel="0" collapsed="false">
      <c r="A35" s="27" t="s">
        <v>164</v>
      </c>
    </row>
    <row r="36" customFormat="false" ht="15" hidden="false" customHeight="false" outlineLevel="0" collapsed="false">
      <c r="A36" s="5" t="s">
        <v>165</v>
      </c>
      <c r="B36" s="39" t="n">
        <f aca="false">SUM(C33:L33)</f>
        <v>165.648787597529</v>
      </c>
    </row>
    <row r="37" customFormat="false" ht="15" hidden="false" customHeight="false" outlineLevel="0" collapsed="false">
      <c r="A37" s="5" t="s">
        <v>166</v>
      </c>
      <c r="B37" s="39" t="n">
        <f aca="false">L31*(1+B21)/(B15-B21)</f>
        <v>843.937549831331</v>
      </c>
    </row>
    <row r="38" customFormat="false" ht="15" hidden="false" customHeight="false" outlineLevel="0" collapsed="false">
      <c r="A38" s="5" t="s">
        <v>167</v>
      </c>
      <c r="B38" s="39" t="n">
        <f aca="false">B37*L32</f>
        <v>409.282971022601</v>
      </c>
    </row>
    <row r="39" customFormat="false" ht="15" hidden="false" customHeight="false" outlineLevel="0" collapsed="false">
      <c r="A39" s="5" t="s">
        <v>168</v>
      </c>
      <c r="B39" s="41" t="n">
        <f aca="false">B36+B38</f>
        <v>574.93175862013</v>
      </c>
    </row>
    <row r="40" customFormat="false" ht="15" hidden="false" customHeight="false" outlineLevel="0" collapsed="false">
      <c r="A40" s="5" t="s">
        <v>169</v>
      </c>
      <c r="B40" s="39" t="n">
        <f aca="false">B22</f>
        <v>28.28</v>
      </c>
    </row>
    <row r="41" customFormat="false" ht="15" hidden="false" customHeight="false" outlineLevel="0" collapsed="false">
      <c r="A41" s="5" t="s">
        <v>170</v>
      </c>
      <c r="B41" s="41" t="n">
        <f aca="false">B39-B40</f>
        <v>546.65175862013</v>
      </c>
    </row>
    <row r="42" customFormat="false" ht="15" hidden="false" customHeight="false" outlineLevel="0" collapsed="false">
      <c r="A42" s="4" t="s">
        <v>171</v>
      </c>
      <c r="B42" s="42" t="n">
        <f aca="false">B41/B23</f>
        <v>231.418499341239</v>
      </c>
    </row>
    <row r="43" customFormat="false" ht="15" hidden="false" customHeight="false" outlineLevel="0" collapsed="false">
      <c r="A43" s="5" t="s">
        <v>137</v>
      </c>
      <c r="B43" s="43" t="n">
        <f aca="false">B6</f>
        <v>271.22</v>
      </c>
    </row>
    <row r="44" customFormat="false" ht="15" hidden="false" customHeight="false" outlineLevel="0" collapsed="false">
      <c r="A44" s="4" t="s">
        <v>172</v>
      </c>
      <c r="B44" s="21" t="n">
        <f aca="false">B42/B43-1</f>
        <v>-0.146749873382349</v>
      </c>
    </row>
    <row r="45" customFormat="false" ht="15" hidden="false" customHeight="false" outlineLevel="0" collapsed="false">
      <c r="A45" s="5" t="s">
        <v>173</v>
      </c>
      <c r="B45" s="38" t="n">
        <f aca="false">B38/B39</f>
        <v>0.711880957846031</v>
      </c>
    </row>
    <row r="46" customFormat="false" ht="15" hidden="false" customHeight="false" outlineLevel="0" collapsed="false">
      <c r="A46" s="5" t="s">
        <v>174</v>
      </c>
      <c r="B46" s="44" t="n">
        <f aca="false">B37/L31</f>
        <v>25.8426966292135</v>
      </c>
    </row>
    <row r="48" customFormat="false" ht="15" hidden="false" customHeight="false" outlineLevel="0" collapsed="false">
      <c r="A48" s="27" t="s">
        <v>175</v>
      </c>
    </row>
    <row r="49" customFormat="false" ht="15" hidden="false" customHeight="false" outlineLevel="0" collapsed="false">
      <c r="A49" s="16" t="s">
        <v>176</v>
      </c>
      <c r="B49" s="45" t="n">
        <v>0.03</v>
      </c>
      <c r="C49" s="45" t="n">
        <v>0.035</v>
      </c>
      <c r="D49" s="45" t="n">
        <v>0.04</v>
      </c>
    </row>
    <row r="50" customFormat="false" ht="15" hidden="false" customHeight="false" outlineLevel="0" collapsed="false">
      <c r="A50" s="46" t="n">
        <f aca="false">B15+(-0.01)</f>
        <v>0.06505</v>
      </c>
      <c r="B50" s="43" t="n">
        <f aca="false">(SUMPRODUCT($C$31:$L$31,1/(1+$A50)^$C$27:$L$27)+$L$31*(1+B$49)/($A50-B$49)/(1+$A50)^10-$B$22)/$B$23</f>
        <v>278.171989203867</v>
      </c>
      <c r="C50" s="43" t="n">
        <f aca="false">(SUMPRODUCT($C$31:$L$31,1/(1+$A50)^$C$27:$L$27)+$L$31*(1+C$49)/($A50-C$49)/(1+$A50)^10-$B$22)/$B$23</f>
        <v>315.391215425785</v>
      </c>
      <c r="D50" s="43" t="n">
        <f aca="false">(SUMPRODUCT($C$31:$L$31,1/(1+$A50)^$C$27:$L$27)+$L$31*(1+D$49)/($A50-D$49)/(1+$A50)^10-$B$22)/$B$23</f>
        <v>367.468416187391</v>
      </c>
    </row>
    <row r="51" customFormat="false" ht="15" hidden="false" customHeight="false" outlineLevel="0" collapsed="false">
      <c r="A51" s="46" t="n">
        <f aca="false">B15+(0)</f>
        <v>0.07505</v>
      </c>
      <c r="B51" s="43" t="n">
        <f aca="false">(SUMPRODUCT($C$31:$L$31,1/(1+$A51)^$C$27:$L$27)+$L$31*(1+B$49)/($A51-B$49)/(1+$A51)^10-$B$22)/$B$23</f>
        <v>211.444063516319</v>
      </c>
      <c r="C51" s="47" t="n">
        <f aca="false">(SUMPRODUCT($C$31:$L$31,1/(1+$A51)^$C$27:$L$27)+$L$31*(1+C$49)/($A51-C$49)/(1+$A51)^10-$B$22)/$B$23</f>
        <v>231.418499341239</v>
      </c>
      <c r="D51" s="43" t="n">
        <f aca="false">(SUMPRODUCT($C$31:$L$31,1/(1+$A51)^$C$27:$L$27)+$L$31*(1+D$49)/($A51-D$49)/(1+$A51)^10-$B$22)/$B$23</f>
        <v>257.091775629759</v>
      </c>
    </row>
    <row r="52" customFormat="false" ht="15" hidden="false" customHeight="false" outlineLevel="0" collapsed="false">
      <c r="A52" s="46" t="n">
        <f aca="false">B15+(0.01)</f>
        <v>0.08505</v>
      </c>
      <c r="B52" s="43" t="n">
        <f aca="false">(SUMPRODUCT($C$31:$L$31,1/(1+$A52)^$C$27:$L$27)+$L$31*(1+B$49)/($A52-B$49)/(1+$A52)^10-$B$22)/$B$23</f>
        <v>169.07587670141</v>
      </c>
      <c r="C52" s="43" t="n">
        <f aca="false">(SUMPRODUCT($C$31:$L$31,1/(1+$A52)^$C$27:$L$27)+$L$31*(1+C$49)/($A52-C$49)/(1+$A52)^10-$B$22)/$B$23</f>
        <v>181.110171396602</v>
      </c>
      <c r="D52" s="43" t="n">
        <f aca="false">(SUMPRODUCT($C$31:$L$31,1/(1+$A52)^$C$27:$L$27)+$L$31*(1+D$49)/($A52-D$49)/(1+$A52)^10-$B$22)/$B$23</f>
        <v>195.815785668973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E17" activeCellId="0" sqref="E17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188</v>
      </c>
    </row>
    <row r="2" customFormat="false" ht="15" hidden="false" customHeight="false" outlineLevel="0" collapsed="false">
      <c r="A2" s="16" t="s">
        <v>189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274.47</v>
      </c>
    </row>
    <row r="7" customFormat="false" ht="15" hidden="false" customHeight="false" outlineLevel="0" collapsed="false">
      <c r="A7" s="5" t="s">
        <v>138</v>
      </c>
      <c r="B7" s="33" t="n">
        <v>0.7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0.0838</v>
      </c>
      <c r="C10" s="16" t="s">
        <v>139</v>
      </c>
    </row>
    <row r="11" customFormat="false" ht="15" hidden="false" customHeight="false" outlineLevel="0" collapsed="false">
      <c r="A11" s="5" t="s">
        <v>190</v>
      </c>
      <c r="B11" s="35" t="n">
        <v>8</v>
      </c>
    </row>
    <row r="12" customFormat="false" ht="15" hidden="false" customHeight="false" outlineLevel="0" collapsed="false">
      <c r="A12" s="5" t="s">
        <v>191</v>
      </c>
      <c r="B12" s="31" t="n">
        <v>0.04</v>
      </c>
    </row>
    <row r="13" customFormat="false" ht="15" hidden="false" customHeight="false" outlineLevel="0" collapsed="false">
      <c r="A13" s="5" t="s">
        <v>192</v>
      </c>
      <c r="B13" s="48" t="n">
        <v>5</v>
      </c>
    </row>
    <row r="14" customFormat="false" ht="15" hidden="false" customHeight="false" outlineLevel="0" collapsed="false">
      <c r="A14" s="5" t="s">
        <v>121</v>
      </c>
      <c r="B14" s="31" t="n">
        <v>0</v>
      </c>
    </row>
    <row r="15" customFormat="false" ht="15" hidden="false" customHeight="false" outlineLevel="0" collapsed="false">
      <c r="A15" s="5" t="s">
        <v>193</v>
      </c>
      <c r="B15" s="36" t="n">
        <v>0.2657849673917</v>
      </c>
      <c r="C15" s="16" t="s">
        <v>154</v>
      </c>
    </row>
    <row r="17" customFormat="false" ht="15" hidden="false" customHeight="false" outlineLevel="0" collapsed="false">
      <c r="A17" s="27" t="s">
        <v>156</v>
      </c>
    </row>
    <row r="18" customFormat="false" ht="15" hidden="false" customHeight="false" outlineLevel="0" collapsed="false">
      <c r="A18" s="4" t="s">
        <v>157</v>
      </c>
      <c r="C18" s="37" t="n">
        <v>1</v>
      </c>
      <c r="D18" s="37" t="n">
        <v>2</v>
      </c>
      <c r="E18" s="37" t="n">
        <v>3</v>
      </c>
      <c r="F18" s="37" t="n">
        <v>4</v>
      </c>
      <c r="G18" s="37" t="n">
        <v>5</v>
      </c>
    </row>
    <row r="19" customFormat="false" ht="15" hidden="false" customHeight="false" outlineLevel="0" collapsed="false">
      <c r="A19" s="5" t="s">
        <v>194</v>
      </c>
      <c r="C19" s="39" t="n">
        <f aca="false">$B$11*(1+$B$12)</f>
        <v>8.32</v>
      </c>
      <c r="D19" s="39" t="n">
        <f aca="false">C19*(1+$B$12)</f>
        <v>8.6528</v>
      </c>
      <c r="E19" s="39" t="n">
        <f aca="false">D19*(1+$B$12)</f>
        <v>8.998912</v>
      </c>
      <c r="F19" s="39" t="n">
        <f aca="false">E19*(1+$B$12)</f>
        <v>9.35886848</v>
      </c>
      <c r="G19" s="39" t="n">
        <f aca="false">F19*(1+$B$12)</f>
        <v>9.7332232192</v>
      </c>
    </row>
    <row r="20" customFormat="false" ht="15" hidden="false" customHeight="false" outlineLevel="0" collapsed="false">
      <c r="A20" s="5" t="s">
        <v>162</v>
      </c>
      <c r="C20" s="40" t="n">
        <f aca="false">1/(1+$B$10)^C18</f>
        <v>0.922679461155195</v>
      </c>
      <c r="D20" s="40" t="n">
        <f aca="false">1/(1+$B$10)^D18</f>
        <v>0.85133738803764</v>
      </c>
      <c r="E20" s="40" t="n">
        <f aca="false">1/(1+$B$10)^E18</f>
        <v>0.785511522455841</v>
      </c>
      <c r="F20" s="40" t="n">
        <f aca="false">1/(1+$B$10)^F18</f>
        <v>0.724775348270752</v>
      </c>
      <c r="G20" s="40" t="n">
        <f aca="false">1/(1+$B$10)^G18</f>
        <v>0.668735327801026</v>
      </c>
    </row>
    <row r="21" customFormat="false" ht="15" hidden="false" customHeight="false" outlineLevel="0" collapsed="false">
      <c r="A21" s="5" t="s">
        <v>195</v>
      </c>
      <c r="C21" s="39" t="n">
        <f aca="false">C19*C20</f>
        <v>7.67669311681122</v>
      </c>
      <c r="D21" s="39" t="n">
        <f aca="false">D19*D20</f>
        <v>7.36645215121209</v>
      </c>
      <c r="E21" s="39" t="n">
        <f aca="false">E19*E20</f>
        <v>7.06874906556614</v>
      </c>
      <c r="F21" s="39" t="n">
        <f aca="false">F19*F20</f>
        <v>6.78307716201216</v>
      </c>
      <c r="G21" s="39" t="n">
        <f aca="false">G19*G20</f>
        <v>6.50895022005227</v>
      </c>
    </row>
    <row r="23" customFormat="false" ht="15" hidden="false" customHeight="false" outlineLevel="0" collapsed="false">
      <c r="A23" s="27" t="s">
        <v>164</v>
      </c>
    </row>
    <row r="24" customFormat="false" ht="15" hidden="false" customHeight="false" outlineLevel="0" collapsed="false">
      <c r="A24" s="5" t="s">
        <v>196</v>
      </c>
      <c r="B24" s="39" t="n">
        <f aca="false">SUM(C21:G21)</f>
        <v>35.4039217156539</v>
      </c>
    </row>
    <row r="25" customFormat="false" ht="15" hidden="false" customHeight="false" outlineLevel="0" collapsed="false">
      <c r="A25" s="5" t="s">
        <v>197</v>
      </c>
      <c r="B25" s="39" t="n">
        <f aca="false">G19*(1+B14)/(B10-B14)</f>
        <v>116.148248439141</v>
      </c>
    </row>
    <row r="26" customFormat="false" ht="15" hidden="false" customHeight="false" outlineLevel="0" collapsed="false">
      <c r="A26" s="5" t="s">
        <v>167</v>
      </c>
      <c r="B26" s="39" t="n">
        <f aca="false">B25*G20</f>
        <v>77.6724369934638</v>
      </c>
    </row>
    <row r="27" customFormat="false" ht="15" hidden="false" customHeight="false" outlineLevel="0" collapsed="false">
      <c r="A27" s="5" t="s">
        <v>170</v>
      </c>
      <c r="B27" s="41" t="n">
        <f aca="false">B24+B26</f>
        <v>113.076358709118</v>
      </c>
    </row>
    <row r="28" customFormat="false" ht="15" hidden="false" customHeight="false" outlineLevel="0" collapsed="false">
      <c r="A28" s="4" t="s">
        <v>171</v>
      </c>
      <c r="B28" s="42" t="n">
        <f aca="false">B27/B15</f>
        <v>425.443018161639</v>
      </c>
    </row>
    <row r="29" customFormat="false" ht="15" hidden="false" customHeight="false" outlineLevel="0" collapsed="false">
      <c r="A29" s="5" t="s">
        <v>137</v>
      </c>
      <c r="B29" s="43" t="n">
        <f aca="false">B6</f>
        <v>274.47</v>
      </c>
    </row>
    <row r="30" customFormat="false" ht="15" hidden="false" customHeight="false" outlineLevel="0" collapsed="false">
      <c r="A30" s="4" t="s">
        <v>172</v>
      </c>
      <c r="B30" s="21" t="n">
        <f aca="false">B28/B29-1</f>
        <v>0.550052895258641</v>
      </c>
    </row>
    <row r="31" customFormat="false" ht="15" hidden="false" customHeight="false" outlineLevel="0" collapsed="false">
      <c r="A31" s="5" t="s">
        <v>198</v>
      </c>
      <c r="B31" s="44" t="n">
        <f aca="false">B6/(B11/B15)</f>
        <v>9.11874999999999</v>
      </c>
    </row>
    <row r="33" customFormat="false" ht="15" hidden="false" customHeight="false" outlineLevel="0" collapsed="false">
      <c r="A33" s="27" t="s">
        <v>175</v>
      </c>
    </row>
    <row r="34" customFormat="false" ht="15" hidden="false" customHeight="false" outlineLevel="0" collapsed="false">
      <c r="A34" s="16" t="s">
        <v>199</v>
      </c>
      <c r="B34" s="45" t="n">
        <v>-0.02</v>
      </c>
      <c r="C34" s="45" t="n">
        <v>0</v>
      </c>
      <c r="D34" s="45" t="n">
        <v>0.02</v>
      </c>
    </row>
    <row r="35" customFormat="false" ht="15" hidden="false" customHeight="false" outlineLevel="0" collapsed="false">
      <c r="A35" s="46" t="n">
        <f aca="false">B10+(-0.01)</f>
        <v>0.0738</v>
      </c>
      <c r="B35" s="43" t="n">
        <f aca="false">(SUMPRODUCT($C$19:$G$19,1/(1+$A35)^$C$18:$G$18)+$G$19*(1+B$34)/($A35-B$34)/(1+$A35)^5)/$B$15</f>
        <v>404.867101364971</v>
      </c>
      <c r="C35" s="43" t="n">
        <f aca="false">(SUMPRODUCT($C$19:$G$19,1/(1+$A35)^$C$18:$G$18)+$G$19*(1+C$34)/($A35-C$34)/(1+$A35)^5)/$B$15</f>
        <v>484.447015556323</v>
      </c>
      <c r="D35" s="43" t="n">
        <f aca="false">(SUMPRODUCT($C$19:$G$19,1/(1+$A35)^$C$18:$G$18)+$G$19*(1+D$34)/($A35-D$34)/(1+$A35)^5)/$B$15</f>
        <v>623.194152194778</v>
      </c>
    </row>
    <row r="36" customFormat="false" ht="15" hidden="false" customHeight="false" outlineLevel="0" collapsed="false">
      <c r="A36" s="46" t="n">
        <f aca="false">B10+(0)</f>
        <v>0.0838</v>
      </c>
      <c r="B36" s="43" t="n">
        <f aca="false">(SUMPRODUCT($C$19:$G$19,1/(1+$A36)^$C$18:$G$18)+$G$19*(1+B$34)/($A36-B$34)/(1+$A36)^5)/$B$15</f>
        <v>364.416540162498</v>
      </c>
      <c r="C36" s="47" t="n">
        <f aca="false">(SUMPRODUCT($C$19:$G$19,1/(1+$A36)^$C$18:$G$18)+$G$19*(1+C$34)/($A36-C$34)/(1+$A36)^5)/$B$15</f>
        <v>425.443018161639</v>
      </c>
      <c r="D36" s="43" t="n">
        <f aca="false">(SUMPRODUCT($C$19:$G$19,1/(1+$A36)^$C$18:$G$18)+$G$19*(1+D$34)/($A36-D$34)/(1+$A36)^5)/$B$15</f>
        <v>524.730610893784</v>
      </c>
    </row>
    <row r="37" customFormat="false" ht="15" hidden="false" customHeight="false" outlineLevel="0" collapsed="false">
      <c r="A37" s="46" t="n">
        <f aca="false">B10+(0.01)</f>
        <v>0.0938</v>
      </c>
      <c r="B37" s="43" t="n">
        <f aca="false">(SUMPRODUCT($C$19:$G$19,1/(1+$A37)^$C$18:$G$18)+$G$19*(1+B$34)/($A37-B$34)/(1+$A37)^5)/$B$15</f>
        <v>331.122344988651</v>
      </c>
      <c r="C37" s="43" t="n">
        <f aca="false">(SUMPRODUCT($C$19:$G$19,1/(1+$A37)^$C$18:$G$18)+$G$19*(1+C$34)/($A37-C$34)/(1+$A37)^5)/$B$15</f>
        <v>379.058090787202</v>
      </c>
      <c r="D37" s="43" t="n">
        <f aca="false">(SUMPRODUCT($C$19:$G$19,1/(1+$A37)^$C$18:$G$18)+$G$19*(1+D$34)/($A37-D$34)/(1+$A37)^5)/$B$15</f>
        <v>452.975270622907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200</v>
      </c>
    </row>
    <row r="2" customFormat="false" ht="15" hidden="false" customHeight="false" outlineLevel="0" collapsed="false">
      <c r="A2" s="16" t="s">
        <v>201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23.71</v>
      </c>
    </row>
    <row r="7" customFormat="false" ht="15" hidden="false" customHeight="false" outlineLevel="0" collapsed="false">
      <c r="A7" s="5" t="s">
        <v>138</v>
      </c>
      <c r="B7" s="33" t="n">
        <v>0.9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0.0928</v>
      </c>
      <c r="C10" s="16" t="s">
        <v>139</v>
      </c>
    </row>
    <row r="11" customFormat="false" ht="15" hidden="false" customHeight="false" outlineLevel="0" collapsed="false">
      <c r="A11" s="5" t="s">
        <v>202</v>
      </c>
      <c r="B11" s="35" t="n">
        <v>2.51404494382023</v>
      </c>
    </row>
    <row r="12" customFormat="false" ht="15" hidden="false" customHeight="false" outlineLevel="0" collapsed="false">
      <c r="A12" s="5" t="s">
        <v>191</v>
      </c>
      <c r="B12" s="31" t="n">
        <v>0.02</v>
      </c>
    </row>
    <row r="13" customFormat="false" ht="15" hidden="false" customHeight="false" outlineLevel="0" collapsed="false">
      <c r="A13" s="5" t="s">
        <v>192</v>
      </c>
      <c r="B13" s="48" t="n">
        <v>5</v>
      </c>
    </row>
    <row r="14" customFormat="false" ht="15" hidden="false" customHeight="false" outlineLevel="0" collapsed="false">
      <c r="A14" s="5" t="s">
        <v>121</v>
      </c>
      <c r="B14" s="31" t="n">
        <v>0.015</v>
      </c>
    </row>
    <row r="15" customFormat="false" ht="15" hidden="false" customHeight="false" outlineLevel="0" collapsed="false">
      <c r="A15" s="5" t="s">
        <v>203</v>
      </c>
      <c r="B15" s="36" t="n">
        <v>1</v>
      </c>
    </row>
    <row r="17" customFormat="false" ht="15" hidden="false" customHeight="false" outlineLevel="0" collapsed="false">
      <c r="A17" s="27" t="s">
        <v>204</v>
      </c>
    </row>
    <row r="18" customFormat="false" ht="15" hidden="false" customHeight="false" outlineLevel="0" collapsed="false">
      <c r="A18" s="4" t="s">
        <v>157</v>
      </c>
      <c r="C18" s="37" t="n">
        <v>1</v>
      </c>
      <c r="D18" s="37" t="n">
        <v>2</v>
      </c>
      <c r="E18" s="37" t="n">
        <v>3</v>
      </c>
      <c r="F18" s="37" t="n">
        <v>4</v>
      </c>
      <c r="G18" s="37" t="n">
        <v>5</v>
      </c>
    </row>
    <row r="19" customFormat="false" ht="15" hidden="false" customHeight="false" outlineLevel="0" collapsed="false">
      <c r="A19" s="5" t="s">
        <v>194</v>
      </c>
      <c r="C19" s="39" t="n">
        <f aca="false">$B$11*(1+$B$12)</f>
        <v>2.56432584269664</v>
      </c>
      <c r="D19" s="39" t="n">
        <f aca="false">C19*(1+$B$12)</f>
        <v>2.61561235955057</v>
      </c>
      <c r="E19" s="39" t="n">
        <f aca="false">D19*(1+$B$12)</f>
        <v>2.66792460674158</v>
      </c>
      <c r="F19" s="39" t="n">
        <f aca="false">E19*(1+$B$12)</f>
        <v>2.72128309887641</v>
      </c>
      <c r="G19" s="39" t="n">
        <f aca="false">F19*(1+$B$12)</f>
        <v>2.77570876085394</v>
      </c>
    </row>
    <row r="20" customFormat="false" ht="15" hidden="false" customHeight="false" outlineLevel="0" collapsed="false">
      <c r="A20" s="5" t="s">
        <v>162</v>
      </c>
      <c r="C20" s="40" t="n">
        <f aca="false">1/(1+$B$10)^C18</f>
        <v>0.915080527086384</v>
      </c>
      <c r="D20" s="40" t="n">
        <f aca="false">1/(1+$B$10)^D18</f>
        <v>0.837372371052694</v>
      </c>
      <c r="E20" s="40" t="n">
        <f aca="false">1/(1+$B$10)^E18</f>
        <v>0.766263150670474</v>
      </c>
      <c r="F20" s="40" t="n">
        <f aca="false">1/(1+$B$10)^F18</f>
        <v>0.70119248780241</v>
      </c>
      <c r="G20" s="40" t="n">
        <f aca="false">1/(1+$B$10)^G18</f>
        <v>0.641647591327242</v>
      </c>
    </row>
    <row r="21" customFormat="false" ht="15" hidden="false" customHeight="false" outlineLevel="0" collapsed="false">
      <c r="A21" s="5" t="s">
        <v>195</v>
      </c>
      <c r="C21" s="39" t="n">
        <f aca="false">C19*C20</f>
        <v>2.34656464375607</v>
      </c>
      <c r="D21" s="39" t="n">
        <f aca="false">D19*D20</f>
        <v>2.19024152327159</v>
      </c>
      <c r="E21" s="39" t="n">
        <f aca="false">E19*E20</f>
        <v>2.04433231491309</v>
      </c>
      <c r="F21" s="39" t="n">
        <f aca="false">F19*F20</f>
        <v>1.9081432661158</v>
      </c>
      <c r="G21" s="39" t="n">
        <f aca="false">G19*G20</f>
        <v>1.78102684062785</v>
      </c>
    </row>
    <row r="23" customFormat="false" ht="15" hidden="false" customHeight="false" outlineLevel="0" collapsed="false">
      <c r="A23" s="27" t="s">
        <v>164</v>
      </c>
    </row>
    <row r="24" customFormat="false" ht="15" hidden="false" customHeight="false" outlineLevel="0" collapsed="false">
      <c r="A24" s="5" t="s">
        <v>196</v>
      </c>
      <c r="B24" s="39" t="n">
        <f aca="false">SUM(C21:G21)</f>
        <v>10.2703085886844</v>
      </c>
    </row>
    <row r="25" customFormat="false" ht="15" hidden="false" customHeight="false" outlineLevel="0" collapsed="false">
      <c r="A25" s="5" t="s">
        <v>197</v>
      </c>
      <c r="B25" s="39" t="n">
        <f aca="false">G19*(1+B14)/(B10-B14)</f>
        <v>36.2126528568991</v>
      </c>
    </row>
    <row r="26" customFormat="false" ht="15" hidden="false" customHeight="false" outlineLevel="0" collapsed="false">
      <c r="A26" s="5" t="s">
        <v>167</v>
      </c>
      <c r="B26" s="39" t="n">
        <f aca="false">B25*G20</f>
        <v>23.2357614811989</v>
      </c>
    </row>
    <row r="27" customFormat="false" ht="15" hidden="false" customHeight="false" outlineLevel="0" collapsed="false">
      <c r="A27" s="5" t="s">
        <v>170</v>
      </c>
      <c r="B27" s="41" t="n">
        <f aca="false">B24+B26</f>
        <v>33.5060700698833</v>
      </c>
    </row>
    <row r="28" customFormat="false" ht="15" hidden="false" customHeight="false" outlineLevel="0" collapsed="false">
      <c r="A28" s="4" t="s">
        <v>171</v>
      </c>
      <c r="B28" s="42" t="n">
        <f aca="false">B27/B15</f>
        <v>33.5060700698833</v>
      </c>
    </row>
    <row r="29" customFormat="false" ht="15" hidden="false" customHeight="false" outlineLevel="0" collapsed="false">
      <c r="A29" s="5" t="s">
        <v>137</v>
      </c>
      <c r="B29" s="43" t="n">
        <f aca="false">B6</f>
        <v>23.71</v>
      </c>
    </row>
    <row r="30" customFormat="false" ht="15" hidden="false" customHeight="false" outlineLevel="0" collapsed="false">
      <c r="A30" s="4" t="s">
        <v>172</v>
      </c>
      <c r="B30" s="21" t="n">
        <f aca="false">B28/B29-1</f>
        <v>0.413161959927594</v>
      </c>
    </row>
    <row r="31" customFormat="false" ht="15" hidden="false" customHeight="false" outlineLevel="0" collapsed="false">
      <c r="A31" s="5" t="s">
        <v>198</v>
      </c>
      <c r="B31" s="44" t="n">
        <f aca="false">B6/(B11/B15)</f>
        <v>9.43101675977652</v>
      </c>
    </row>
    <row r="33" customFormat="false" ht="15" hidden="false" customHeight="false" outlineLevel="0" collapsed="false">
      <c r="A33" s="27" t="s">
        <v>175</v>
      </c>
    </row>
    <row r="34" customFormat="false" ht="15" hidden="false" customHeight="false" outlineLevel="0" collapsed="false">
      <c r="A34" s="16" t="s">
        <v>199</v>
      </c>
      <c r="B34" s="45" t="n">
        <v>0.005</v>
      </c>
      <c r="C34" s="45" t="n">
        <v>0.015</v>
      </c>
      <c r="D34" s="45" t="n">
        <v>0.025</v>
      </c>
    </row>
    <row r="35" customFormat="false" ht="15" hidden="false" customHeight="false" outlineLevel="0" collapsed="false">
      <c r="A35" s="46" t="n">
        <f aca="false">B10+(-0.01)</f>
        <v>0.0828</v>
      </c>
      <c r="B35" s="43" t="n">
        <f aca="false">(SUMPRODUCT($C$19:$G$19,1/(1+$A35)^$C$18:$G$18)+$G$19*(1+B$34)/($A35-B$34)/(1+$A35)^5)/$B$15</f>
        <v>34.6340529069978</v>
      </c>
      <c r="C35" s="43" t="n">
        <f aca="false">(SUMPRODUCT($C$19:$G$19,1/(1+$A35)^$C$18:$G$18)+$G$19*(1+C$34)/($A35-C$34)/(1+$A35)^5)/$B$15</f>
        <v>38.4620501551509</v>
      </c>
      <c r="D35" s="43" t="n">
        <f aca="false">(SUMPRODUCT($C$19:$G$19,1/(1+$A35)^$C$18:$G$18)+$G$19*(1+D$34)/($A35-D$34)/(1+$A35)^5)/$B$15</f>
        <v>43.6146139251563</v>
      </c>
    </row>
    <row r="36" customFormat="false" ht="15" hidden="false" customHeight="false" outlineLevel="0" collapsed="false">
      <c r="A36" s="46" t="n">
        <f aca="false">B10+(0)</f>
        <v>0.0928</v>
      </c>
      <c r="B36" s="43" t="n">
        <f aca="false">(SUMPRODUCT($C$19:$G$19,1/(1+$A36)^$C$18:$G$18)+$G$19*(1+B$34)/($A36-B$34)/(1+$A36)^5)/$B$15</f>
        <v>30.656777550313</v>
      </c>
      <c r="C36" s="47" t="n">
        <f aca="false">(SUMPRODUCT($C$19:$G$19,1/(1+$A36)^$C$18:$G$18)+$G$19*(1+C$34)/($A36-C$34)/(1+$A36)^5)/$B$15</f>
        <v>33.5060700698833</v>
      </c>
      <c r="D36" s="43" t="n">
        <f aca="false">(SUMPRODUCT($C$19:$G$19,1/(1+$A36)^$C$18:$G$18)+$G$19*(1+D$34)/($A36-D$34)/(1+$A36)^5)/$B$15</f>
        <v>37.1958618577633</v>
      </c>
    </row>
    <row r="37" customFormat="false" ht="15" hidden="false" customHeight="false" outlineLevel="0" collapsed="false">
      <c r="A37" s="46" t="n">
        <f aca="false">B10+(0.01)</f>
        <v>0.1028</v>
      </c>
      <c r="B37" s="43" t="n">
        <f aca="false">(SUMPRODUCT($C$19:$G$19,1/(1+$A37)^$C$18:$G$18)+$G$19*(1+B$34)/($A37-B$34)/(1+$A37)^5)/$B$15</f>
        <v>27.4938854258984</v>
      </c>
      <c r="C37" s="43" t="n">
        <f aca="false">(SUMPRODUCT($C$19:$G$19,1/(1+$A37)^$C$18:$G$18)+$G$19*(1+C$34)/($A37-C$34)/(1+$A37)^5)/$B$15</f>
        <v>29.6793989371531</v>
      </c>
      <c r="D37" s="43" t="n">
        <f aca="false">(SUMPRODUCT($C$19:$G$19,1/(1+$A37)^$C$18:$G$18)+$G$19*(1+D$34)/($A37-D$34)/(1+$A37)^5)/$B$15</f>
        <v>32.4267411145402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205</v>
      </c>
    </row>
    <row r="2" customFormat="false" ht="15" hidden="false" customHeight="false" outlineLevel="0" collapsed="false">
      <c r="A2" s="16" t="s">
        <v>206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25.38</v>
      </c>
    </row>
    <row r="7" customFormat="false" ht="15" hidden="false" customHeight="false" outlineLevel="0" collapsed="false">
      <c r="A7" s="5" t="s">
        <v>138</v>
      </c>
      <c r="B7" s="33" t="n">
        <v>0.45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0.07255</v>
      </c>
      <c r="C10" s="16" t="s">
        <v>139</v>
      </c>
    </row>
    <row r="11" customFormat="false" ht="15" hidden="false" customHeight="false" outlineLevel="0" collapsed="false">
      <c r="A11" s="5" t="s">
        <v>207</v>
      </c>
      <c r="B11" s="35" t="n">
        <v>18</v>
      </c>
    </row>
    <row r="12" customFormat="false" ht="15" hidden="false" customHeight="false" outlineLevel="0" collapsed="false">
      <c r="A12" s="5" t="s">
        <v>208</v>
      </c>
      <c r="B12" s="31" t="n">
        <v>0</v>
      </c>
    </row>
    <row r="13" customFormat="false" ht="15" hidden="false" customHeight="false" outlineLevel="0" collapsed="false">
      <c r="A13" s="5" t="s">
        <v>193</v>
      </c>
      <c r="B13" s="36" t="n">
        <v>6.99014972419228</v>
      </c>
      <c r="C13" s="16" t="s">
        <v>154</v>
      </c>
    </row>
    <row r="14" customFormat="false" ht="15" hidden="false" customHeight="false" outlineLevel="0" collapsed="false">
      <c r="C14" s="16" t="s">
        <v>209</v>
      </c>
    </row>
    <row r="16" customFormat="false" ht="15" hidden="false" customHeight="false" outlineLevel="0" collapsed="false">
      <c r="A16" s="27" t="s">
        <v>164</v>
      </c>
    </row>
    <row r="17" customFormat="false" ht="15" hidden="false" customHeight="false" outlineLevel="0" collapsed="false">
      <c r="A17" s="5" t="s">
        <v>210</v>
      </c>
      <c r="B17" s="39" t="n">
        <f aca="false">B11*(1+B12)/(B10-B12)</f>
        <v>248.104755341144</v>
      </c>
    </row>
    <row r="18" customFormat="false" ht="15" hidden="false" customHeight="false" outlineLevel="0" collapsed="false">
      <c r="A18" s="4" t="s">
        <v>171</v>
      </c>
      <c r="B18" s="47" t="n">
        <f aca="false">B17/B13</f>
        <v>35.4934822758482</v>
      </c>
    </row>
    <row r="19" customFormat="false" ht="15" hidden="false" customHeight="false" outlineLevel="0" collapsed="false">
      <c r="A19" s="5" t="s">
        <v>137</v>
      </c>
      <c r="B19" s="43" t="n">
        <f aca="false">B6</f>
        <v>25.38</v>
      </c>
    </row>
    <row r="20" customFormat="false" ht="15" hidden="false" customHeight="false" outlineLevel="0" collapsed="false">
      <c r="A20" s="4" t="s">
        <v>172</v>
      </c>
      <c r="B20" s="21" t="n">
        <f aca="false">B18/B19-1</f>
        <v>0.398482359174477</v>
      </c>
    </row>
    <row r="21" customFormat="false" ht="15" hidden="false" customHeight="false" outlineLevel="0" collapsed="false">
      <c r="A21" s="5" t="s">
        <v>211</v>
      </c>
      <c r="B21" s="38" t="n">
        <f aca="false">B11/(B6*B13)</f>
        <v>0.101459895158108</v>
      </c>
    </row>
    <row r="22" customFormat="false" ht="15" hidden="false" customHeight="false" outlineLevel="0" collapsed="false">
      <c r="A22" s="5" t="s">
        <v>212</v>
      </c>
      <c r="B22" s="38" t="n">
        <f aca="false">(B10*B6*B13-B11)/(B6*B13+B11)</f>
        <v>-0.0262468885932142</v>
      </c>
    </row>
    <row r="24" customFormat="false" ht="15" hidden="false" customHeight="false" outlineLevel="0" collapsed="false">
      <c r="A24" s="27" t="s">
        <v>175</v>
      </c>
    </row>
    <row r="25" customFormat="false" ht="15" hidden="false" customHeight="false" outlineLevel="0" collapsed="false">
      <c r="A25" s="16" t="s">
        <v>213</v>
      </c>
      <c r="B25" s="45" t="n">
        <v>-0.01</v>
      </c>
      <c r="C25" s="45" t="n">
        <v>0</v>
      </c>
      <c r="D25" s="45" t="n">
        <v>0.01</v>
      </c>
    </row>
    <row r="26" customFormat="false" ht="15" hidden="false" customHeight="false" outlineLevel="0" collapsed="false">
      <c r="A26" s="46" t="n">
        <f aca="false">B10+(-0.01)</f>
        <v>0.06255</v>
      </c>
      <c r="B26" s="43" t="n">
        <f aca="false">$B$11*(1+B$25)/($A26-B$25)/$B$13</f>
        <v>35.1385474530897</v>
      </c>
      <c r="C26" s="43" t="n">
        <f aca="false">$B$11*(1+C$25)/($A26-C$25)/$B$13</f>
        <v>41.1678999058799</v>
      </c>
      <c r="D26" s="43" t="n">
        <f aca="false">$B$11*(1+D$25)/($A26-D$25)/$B$13</f>
        <v>49.4919630923676</v>
      </c>
    </row>
    <row r="27" customFormat="false" ht="15" hidden="false" customHeight="false" outlineLevel="0" collapsed="false">
      <c r="A27" s="46" t="n">
        <f aca="false">B10+(0)</f>
        <v>0.07255</v>
      </c>
      <c r="B27" s="43" t="n">
        <f aca="false">$B$11*(1+B$25)/($A27-B$25)/$B$13</f>
        <v>30.88190936065</v>
      </c>
      <c r="C27" s="47" t="n">
        <f aca="false">$B$11*(1+C$25)/($A27-C$25)/$B$13</f>
        <v>35.4934822758482</v>
      </c>
      <c r="D27" s="43" t="n">
        <f aca="false">$B$11*(1+D$25)/($A27-D$25)/$B$13</f>
        <v>41.5795789049387</v>
      </c>
    </row>
    <row r="28" customFormat="false" ht="15" hidden="false" customHeight="false" outlineLevel="0" collapsed="false">
      <c r="A28" s="46" t="n">
        <f aca="false">B10+(0.01)</f>
        <v>0.08255</v>
      </c>
      <c r="B28" s="43" t="n">
        <f aca="false">$B$11*(1+B$25)/($A28-B$25)/$B$13</f>
        <v>27.5451282303799</v>
      </c>
      <c r="C28" s="43" t="n">
        <f aca="false">$B$11*(1+C$25)/($A28-C$25)/$B$13</f>
        <v>31.1938478390404</v>
      </c>
      <c r="D28" s="43" t="n">
        <f aca="false">$B$11*(1+D$25)/($A28-D$25)/$B$13</f>
        <v>35.8484170986067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214</v>
      </c>
    </row>
    <row r="2" customFormat="false" ht="15" hidden="false" customHeight="false" outlineLevel="0" collapsed="false">
      <c r="A2" s="16" t="s">
        <v>206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47.08</v>
      </c>
    </row>
    <row r="7" customFormat="false" ht="15" hidden="false" customHeight="false" outlineLevel="0" collapsed="false">
      <c r="A7" s="5" t="s">
        <v>138</v>
      </c>
      <c r="B7" s="33" t="n">
        <v>0.45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0.07255</v>
      </c>
      <c r="C10" s="16" t="s">
        <v>139</v>
      </c>
    </row>
    <row r="11" customFormat="false" ht="15" hidden="false" customHeight="false" outlineLevel="0" collapsed="false">
      <c r="A11" s="5" t="s">
        <v>207</v>
      </c>
      <c r="B11" s="35" t="n">
        <v>18</v>
      </c>
    </row>
    <row r="12" customFormat="false" ht="15" hidden="false" customHeight="false" outlineLevel="0" collapsed="false">
      <c r="A12" s="5" t="s">
        <v>208</v>
      </c>
      <c r="B12" s="31" t="n">
        <v>0</v>
      </c>
    </row>
    <row r="13" customFormat="false" ht="15" hidden="false" customHeight="false" outlineLevel="0" collapsed="false">
      <c r="A13" s="5" t="s">
        <v>193</v>
      </c>
      <c r="B13" s="36" t="n">
        <v>4.41418861512319</v>
      </c>
      <c r="C13" s="16" t="s">
        <v>154</v>
      </c>
    </row>
    <row r="14" customFormat="false" ht="15" hidden="false" customHeight="false" outlineLevel="0" collapsed="false">
      <c r="C14" s="16" t="s">
        <v>215</v>
      </c>
    </row>
    <row r="16" customFormat="false" ht="15" hidden="false" customHeight="false" outlineLevel="0" collapsed="false">
      <c r="A16" s="27" t="s">
        <v>164</v>
      </c>
    </row>
    <row r="17" customFormat="false" ht="15" hidden="false" customHeight="false" outlineLevel="0" collapsed="false">
      <c r="A17" s="5" t="s">
        <v>210</v>
      </c>
      <c r="B17" s="39" t="n">
        <f aca="false">B11*(1+B12)/(B10-B12)</f>
        <v>248.104755341144</v>
      </c>
    </row>
    <row r="18" customFormat="false" ht="15" hidden="false" customHeight="false" outlineLevel="0" collapsed="false">
      <c r="A18" s="4" t="s">
        <v>171</v>
      </c>
      <c r="B18" s="47" t="n">
        <f aca="false">B17/B13</f>
        <v>56.2061971006692</v>
      </c>
    </row>
    <row r="19" customFormat="false" ht="15" hidden="false" customHeight="false" outlineLevel="0" collapsed="false">
      <c r="A19" s="5" t="s">
        <v>137</v>
      </c>
      <c r="B19" s="43" t="n">
        <f aca="false">B6</f>
        <v>47.08</v>
      </c>
    </row>
    <row r="20" customFormat="false" ht="15" hidden="false" customHeight="false" outlineLevel="0" collapsed="false">
      <c r="A20" s="4" t="s">
        <v>172</v>
      </c>
      <c r="B20" s="21" t="n">
        <f aca="false">B18/B19-1</f>
        <v>0.193844458382948</v>
      </c>
    </row>
    <row r="21" customFormat="false" ht="15" hidden="false" customHeight="false" outlineLevel="0" collapsed="false">
      <c r="A21" s="5" t="s">
        <v>211</v>
      </c>
      <c r="B21" s="38" t="n">
        <f aca="false">B11/(B6*B13)</f>
        <v>0.0866134154556829</v>
      </c>
    </row>
    <row r="22" customFormat="false" ht="15" hidden="false" customHeight="false" outlineLevel="0" collapsed="false">
      <c r="A22" s="5" t="s">
        <v>212</v>
      </c>
      <c r="B22" s="38" t="n">
        <f aca="false">(B10*B6*B13-B11)/(B6*B13+B11)</f>
        <v>-0.0129424275972014</v>
      </c>
    </row>
    <row r="24" customFormat="false" ht="15" hidden="false" customHeight="false" outlineLevel="0" collapsed="false">
      <c r="A24" s="27" t="s">
        <v>175</v>
      </c>
    </row>
    <row r="25" customFormat="false" ht="15" hidden="false" customHeight="false" outlineLevel="0" collapsed="false">
      <c r="A25" s="16" t="s">
        <v>213</v>
      </c>
      <c r="B25" s="45" t="n">
        <v>-0.01</v>
      </c>
      <c r="C25" s="45" t="n">
        <v>0</v>
      </c>
      <c r="D25" s="45" t="n">
        <v>0.01</v>
      </c>
    </row>
    <row r="26" customFormat="false" ht="15" hidden="false" customHeight="false" outlineLevel="0" collapsed="false">
      <c r="A26" s="46" t="n">
        <f aca="false">B10+(-0.01)</f>
        <v>0.06255</v>
      </c>
      <c r="B26" s="43" t="n">
        <f aca="false">$B$11*(1+B$25)/($A26-B$25)/$B$13</f>
        <v>55.6441351296625</v>
      </c>
      <c r="C26" s="43" t="n">
        <f aca="false">$B$11*(1+C$25)/($A26-C$25)/$B$13</f>
        <v>65.1919999944612</v>
      </c>
      <c r="D26" s="43" t="n">
        <f aca="false">$B$11*(1+D$25)/($A26-D$25)/$B$13</f>
        <v>78.373685930544</v>
      </c>
    </row>
    <row r="27" customFormat="false" ht="15" hidden="false" customHeight="false" outlineLevel="0" collapsed="false">
      <c r="A27" s="46" t="n">
        <f aca="false">B10+(0)</f>
        <v>0.07255</v>
      </c>
      <c r="B27" s="43" t="n">
        <f aca="false">$B$11*(1+B$25)/($A27-B$25)/$B$13</f>
        <v>48.9034767251001</v>
      </c>
      <c r="C27" s="47" t="n">
        <f aca="false">$B$11*(1+C$25)/($A27-C$25)/$B$13</f>
        <v>56.2061971006692</v>
      </c>
      <c r="D27" s="43" t="n">
        <f aca="false">$B$11*(1+D$25)/($A27-D$25)/$B$13</f>
        <v>65.8439199944059</v>
      </c>
    </row>
    <row r="28" customFormat="false" ht="15" hidden="false" customHeight="false" outlineLevel="0" collapsed="false">
      <c r="A28" s="46" t="n">
        <f aca="false">B10+(0.01)</f>
        <v>0.08255</v>
      </c>
      <c r="B28" s="43" t="n">
        <f aca="false">$B$11*(1+B$25)/($A28-B$25)/$B$13</f>
        <v>43.6194705959699</v>
      </c>
      <c r="C28" s="43" t="n">
        <f aca="false">$B$11*(1+C$25)/($A28-C$25)/$B$13</f>
        <v>49.3974512374749</v>
      </c>
      <c r="D28" s="43" t="n">
        <f aca="false">$B$11*(1+D$25)/($A28-D$25)/$B$13</f>
        <v>56.7682590716759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216</v>
      </c>
    </row>
    <row r="2" customFormat="false" ht="15" hidden="false" customHeight="false" outlineLevel="0" collapsed="false">
      <c r="A2" s="16" t="s">
        <v>206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21.91</v>
      </c>
    </row>
    <row r="7" customFormat="false" ht="15" hidden="false" customHeight="false" outlineLevel="0" collapsed="false">
      <c r="A7" s="5" t="s">
        <v>138</v>
      </c>
      <c r="B7" s="33" t="n">
        <v>0.75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0.08605</v>
      </c>
      <c r="C10" s="16" t="s">
        <v>139</v>
      </c>
    </row>
    <row r="11" customFormat="false" ht="15" hidden="false" customHeight="false" outlineLevel="0" collapsed="false">
      <c r="A11" s="5" t="s">
        <v>207</v>
      </c>
      <c r="B11" s="35" t="n">
        <v>12.7</v>
      </c>
    </row>
    <row r="12" customFormat="false" ht="15" hidden="false" customHeight="false" outlineLevel="0" collapsed="false">
      <c r="A12" s="5" t="s">
        <v>208</v>
      </c>
      <c r="B12" s="31" t="n">
        <v>-0.02</v>
      </c>
    </row>
    <row r="13" customFormat="false" ht="15" hidden="false" customHeight="false" outlineLevel="0" collapsed="false">
      <c r="A13" s="5" t="s">
        <v>193</v>
      </c>
      <c r="B13" s="36" t="n">
        <v>4.3112733911456</v>
      </c>
      <c r="C13" s="16" t="s">
        <v>154</v>
      </c>
    </row>
    <row r="14" customFormat="false" ht="15" hidden="false" customHeight="false" outlineLevel="0" collapsed="false">
      <c r="C14" s="16" t="s">
        <v>217</v>
      </c>
    </row>
    <row r="16" customFormat="false" ht="15" hidden="false" customHeight="false" outlineLevel="0" collapsed="false">
      <c r="A16" s="27" t="s">
        <v>164</v>
      </c>
    </row>
    <row r="17" customFormat="false" ht="15" hidden="false" customHeight="false" outlineLevel="0" collapsed="false">
      <c r="A17" s="5" t="s">
        <v>210</v>
      </c>
      <c r="B17" s="39" t="n">
        <f aca="false">B11*(1+B12)/(B10-B12)</f>
        <v>117.359735973597</v>
      </c>
    </row>
    <row r="18" customFormat="false" ht="15" hidden="false" customHeight="false" outlineLevel="0" collapsed="false">
      <c r="A18" s="4" t="s">
        <v>171</v>
      </c>
      <c r="B18" s="47" t="n">
        <f aca="false">B17/B13</f>
        <v>27.2215944863595</v>
      </c>
    </row>
    <row r="19" customFormat="false" ht="15" hidden="false" customHeight="false" outlineLevel="0" collapsed="false">
      <c r="A19" s="5" t="s">
        <v>137</v>
      </c>
      <c r="B19" s="43" t="n">
        <f aca="false">B6</f>
        <v>21.91</v>
      </c>
    </row>
    <row r="20" customFormat="false" ht="15" hidden="false" customHeight="false" outlineLevel="0" collapsed="false">
      <c r="A20" s="4" t="s">
        <v>172</v>
      </c>
      <c r="B20" s="21" t="n">
        <f aca="false">B18/B19-1</f>
        <v>0.242427863366475</v>
      </c>
    </row>
    <row r="21" customFormat="false" ht="15" hidden="false" customHeight="false" outlineLevel="0" collapsed="false">
      <c r="A21" s="5" t="s">
        <v>211</v>
      </c>
      <c r="B21" s="38" t="n">
        <f aca="false">B11/(B6*B13)</f>
        <v>0.134448443785729</v>
      </c>
    </row>
    <row r="22" customFormat="false" ht="15" hidden="false" customHeight="false" outlineLevel="0" collapsed="false">
      <c r="A22" s="5" t="s">
        <v>212</v>
      </c>
      <c r="B22" s="38" t="n">
        <f aca="false">(B10*B6*B13-B11)/(B6*B13+B11)</f>
        <v>-0.0426625326614407</v>
      </c>
    </row>
    <row r="24" customFormat="false" ht="15" hidden="false" customHeight="false" outlineLevel="0" collapsed="false">
      <c r="A24" s="27" t="s">
        <v>175</v>
      </c>
    </row>
    <row r="25" customFormat="false" ht="15" hidden="false" customHeight="false" outlineLevel="0" collapsed="false">
      <c r="A25" s="16" t="s">
        <v>213</v>
      </c>
      <c r="B25" s="45" t="n">
        <v>-0.04</v>
      </c>
      <c r="C25" s="45" t="n">
        <v>-0.02</v>
      </c>
      <c r="D25" s="45" t="n">
        <v>0</v>
      </c>
    </row>
    <row r="26" customFormat="false" ht="15" hidden="false" customHeight="false" outlineLevel="0" collapsed="false">
      <c r="A26" s="46" t="n">
        <f aca="false">B10+(-0.01)</f>
        <v>0.07605</v>
      </c>
      <c r="B26" s="43" t="n">
        <f aca="false">$B$11*(1+B$25)/($A26-B$25)/$B$13</f>
        <v>24.3682446119045</v>
      </c>
      <c r="C26" s="43" t="n">
        <f aca="false">$B$11*(1+C$25)/($A26-C$25)/$B$13</f>
        <v>30.0557011481356</v>
      </c>
      <c r="D26" s="43" t="n">
        <f aca="false">$B$11*(1+D$25)/($A26-D$25)/$B$13</f>
        <v>38.7345878151917</v>
      </c>
    </row>
    <row r="27" customFormat="false" ht="15" hidden="false" customHeight="false" outlineLevel="0" collapsed="false">
      <c r="A27" s="46" t="n">
        <f aca="false">B10+(0)</f>
        <v>0.08605</v>
      </c>
      <c r="B27" s="43" t="n">
        <f aca="false">$B$11*(1+B$25)/($A27-B$25)/$B$13</f>
        <v>22.4350240952917</v>
      </c>
      <c r="C27" s="47" t="n">
        <f aca="false">$B$11*(1+C$25)/($A27-C$25)/$B$13</f>
        <v>27.2215944863595</v>
      </c>
      <c r="D27" s="43" t="n">
        <f aca="false">$B$11*(1+D$25)/($A27-D$25)/$B$13</f>
        <v>34.2331830719968</v>
      </c>
    </row>
    <row r="28" customFormat="false" ht="15" hidden="false" customHeight="false" outlineLevel="0" collapsed="false">
      <c r="A28" s="46" t="n">
        <f aca="false">B10+(0.01)</f>
        <v>0.09605</v>
      </c>
      <c r="B28" s="43" t="n">
        <f aca="false">$B$11*(1+B$25)/($A28-B$25)/$B$13</f>
        <v>20.7859962308821</v>
      </c>
      <c r="C28" s="43" t="n">
        <f aca="false">$B$11*(1+C$25)/($A28-C$25)/$B$13</f>
        <v>24.8759163746525</v>
      </c>
      <c r="D28" s="43" t="n">
        <f aca="false">$B$11*(1+D$25)/($A28-D$25)/$B$13</f>
        <v>30.66908280422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218</v>
      </c>
    </row>
    <row r="2" customFormat="false" ht="15" hidden="false" customHeight="false" outlineLevel="0" collapsed="false">
      <c r="A2" s="16" t="s">
        <v>206</v>
      </c>
    </row>
    <row r="3" customFormat="false" ht="15" hidden="false" customHeight="false" outlineLevel="0" collapsed="false">
      <c r="A3" s="16" t="s">
        <v>135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137</v>
      </c>
      <c r="B6" s="32" t="n">
        <v>55.04</v>
      </c>
    </row>
    <row r="7" customFormat="false" ht="15" hidden="false" customHeight="false" outlineLevel="0" collapsed="false">
      <c r="A7" s="5" t="s">
        <v>138</v>
      </c>
      <c r="B7" s="33" t="n">
        <v>1.17</v>
      </c>
    </row>
    <row r="8" customFormat="false" ht="15" hidden="false" customHeight="false" outlineLevel="0" collapsed="false">
      <c r="A8" s="5" t="s">
        <v>119</v>
      </c>
      <c r="B8" s="18" t="n">
        <f aca="false">Assumptions!$B$5</f>
        <v>0.0523</v>
      </c>
    </row>
    <row r="9" customFormat="false" ht="15" hidden="false" customHeight="false" outlineLevel="0" collapsed="false">
      <c r="A9" s="5" t="s">
        <v>120</v>
      </c>
      <c r="B9" s="18" t="n">
        <f aca="false">Assumptions!$C$5</f>
        <v>0.045</v>
      </c>
    </row>
    <row r="10" customFormat="false" ht="15" hidden="false" customHeight="false" outlineLevel="0" collapsed="false">
      <c r="A10" s="5" t="s">
        <v>83</v>
      </c>
      <c r="B10" s="34" t="n">
        <f aca="false">B8+B7*B9</f>
        <v>0.10495</v>
      </c>
      <c r="C10" s="16" t="s">
        <v>139</v>
      </c>
    </row>
    <row r="11" customFormat="false" ht="15" hidden="false" customHeight="false" outlineLevel="0" collapsed="false">
      <c r="A11" s="5" t="s">
        <v>207</v>
      </c>
      <c r="B11" s="35" t="n">
        <v>5.6</v>
      </c>
    </row>
    <row r="12" customFormat="false" ht="15" hidden="false" customHeight="false" outlineLevel="0" collapsed="false">
      <c r="A12" s="5" t="s">
        <v>208</v>
      </c>
      <c r="B12" s="31" t="n">
        <v>0.015</v>
      </c>
    </row>
    <row r="13" customFormat="false" ht="15" hidden="false" customHeight="false" outlineLevel="0" collapsed="false">
      <c r="A13" s="5" t="s">
        <v>193</v>
      </c>
      <c r="B13" s="36" t="n">
        <v>0.818495639534884</v>
      </c>
      <c r="C13" s="16" t="s">
        <v>154</v>
      </c>
    </row>
    <row r="14" customFormat="false" ht="15" hidden="false" customHeight="false" outlineLevel="0" collapsed="false">
      <c r="C14" s="16" t="s">
        <v>219</v>
      </c>
    </row>
    <row r="16" customFormat="false" ht="15" hidden="false" customHeight="false" outlineLevel="0" collapsed="false">
      <c r="A16" s="27" t="s">
        <v>164</v>
      </c>
    </row>
    <row r="17" customFormat="false" ht="15" hidden="false" customHeight="false" outlineLevel="0" collapsed="false">
      <c r="A17" s="5" t="s">
        <v>210</v>
      </c>
      <c r="B17" s="39" t="n">
        <f aca="false">B11*(1+B12)/(B10-B12)</f>
        <v>63.1906614785992</v>
      </c>
    </row>
    <row r="18" customFormat="false" ht="15" hidden="false" customHeight="false" outlineLevel="0" collapsed="false">
      <c r="A18" s="4" t="s">
        <v>171</v>
      </c>
      <c r="B18" s="47" t="n">
        <f aca="false">B17/B13</f>
        <v>77.203418596717</v>
      </c>
    </row>
    <row r="19" customFormat="false" ht="15" hidden="false" customHeight="false" outlineLevel="0" collapsed="false">
      <c r="A19" s="5" t="s">
        <v>137</v>
      </c>
      <c r="B19" s="43" t="n">
        <f aca="false">B6</f>
        <v>55.04</v>
      </c>
    </row>
    <row r="20" customFormat="false" ht="15" hidden="false" customHeight="false" outlineLevel="0" collapsed="false">
      <c r="A20" s="4" t="s">
        <v>172</v>
      </c>
      <c r="B20" s="21" t="n">
        <f aca="false">B18/B19-1</f>
        <v>0.40267839020198</v>
      </c>
    </row>
    <row r="21" customFormat="false" ht="15" hidden="false" customHeight="false" outlineLevel="0" collapsed="false">
      <c r="A21" s="5" t="s">
        <v>211</v>
      </c>
      <c r="B21" s="38" t="n">
        <f aca="false">B11/(B6*B13)</f>
        <v>0.124306326304106</v>
      </c>
    </row>
    <row r="22" customFormat="false" ht="15" hidden="false" customHeight="false" outlineLevel="0" collapsed="false">
      <c r="A22" s="5" t="s">
        <v>212</v>
      </c>
      <c r="B22" s="38" t="n">
        <f aca="false">(B10*B6*B13-B11)/(B6*B13+B11)</f>
        <v>-0.0172162388943731</v>
      </c>
    </row>
    <row r="24" customFormat="false" ht="15" hidden="false" customHeight="false" outlineLevel="0" collapsed="false">
      <c r="A24" s="27" t="s">
        <v>175</v>
      </c>
    </row>
    <row r="25" customFormat="false" ht="15" hidden="false" customHeight="false" outlineLevel="0" collapsed="false">
      <c r="A25" s="16" t="s">
        <v>213</v>
      </c>
      <c r="B25" s="45" t="n">
        <v>0</v>
      </c>
      <c r="C25" s="45" t="n">
        <v>0.015</v>
      </c>
      <c r="D25" s="45" t="n">
        <v>0.03</v>
      </c>
    </row>
    <row r="26" customFormat="false" ht="15" hidden="false" customHeight="false" outlineLevel="0" collapsed="false">
      <c r="A26" s="46" t="n">
        <f aca="false">B10+(-0.01)</f>
        <v>0.09495</v>
      </c>
      <c r="B26" s="43" t="n">
        <f aca="false">$B$11*(1+B$25)/($A26-B$25)/$B$13</f>
        <v>72.0570847791261</v>
      </c>
      <c r="C26" s="43" t="n">
        <f aca="false">$B$11*(1+C$25)/($A26-C$25)/$B$13</f>
        <v>86.8598812104402</v>
      </c>
      <c r="D26" s="43" t="n">
        <f aca="false">$B$11*(1+D$25)/($A26-D$25)/$B$13</f>
        <v>108.499997009567</v>
      </c>
    </row>
    <row r="27" customFormat="false" ht="15" hidden="false" customHeight="false" outlineLevel="0" collapsed="false">
      <c r="A27" s="46" t="n">
        <f aca="false">B10+(0)</f>
        <v>0.10495</v>
      </c>
      <c r="B27" s="43" t="n">
        <f aca="false">$B$11*(1+B$25)/($A27-B$25)/$B$13</f>
        <v>65.191235824469</v>
      </c>
      <c r="C27" s="47" t="n">
        <f aca="false">$B$11*(1+C$25)/($A27-C$25)/$B$13</f>
        <v>77.203418596717</v>
      </c>
      <c r="D27" s="43" t="n">
        <f aca="false">$B$11*(1+D$25)/($A27-D$25)/$B$13</f>
        <v>94.0236798635272</v>
      </c>
    </row>
    <row r="28" customFormat="false" ht="15" hidden="false" customHeight="false" outlineLevel="0" collapsed="false">
      <c r="A28" s="46" t="n">
        <f aca="false">B10+(0.01)</f>
        <v>0.11495</v>
      </c>
      <c r="B28" s="43" t="n">
        <f aca="false">$B$11*(1+B$25)/($A28-B$25)/$B$13</f>
        <v>59.5199669402177</v>
      </c>
      <c r="C28" s="43" t="n">
        <f aca="false">$B$11*(1+C$25)/($A28-C$25)/$B$13</f>
        <v>69.4792146350645</v>
      </c>
      <c r="D28" s="43" t="n">
        <f aca="false">$B$11*(1+D$25)/($A28-D$25)/$B$13</f>
        <v>82.9555598089625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220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223</v>
      </c>
      <c r="B6" s="49" t="n">
        <v>53400</v>
      </c>
    </row>
    <row r="7" customFormat="false" ht="15" hidden="false" customHeight="false" outlineLevel="0" collapsed="false">
      <c r="A7" s="5" t="s">
        <v>224</v>
      </c>
      <c r="B7" s="50" t="n">
        <v>7.32</v>
      </c>
    </row>
    <row r="8" customFormat="false" ht="15" hidden="false" customHeight="false" outlineLevel="0" collapsed="false">
      <c r="A8" s="5" t="s">
        <v>225</v>
      </c>
      <c r="B8" s="50" t="n">
        <v>9.95</v>
      </c>
    </row>
    <row r="9" customFormat="false" ht="15" hidden="false" customHeight="false" outlineLevel="0" collapsed="false">
      <c r="A9" s="5" t="s">
        <v>226</v>
      </c>
      <c r="B9" s="51" t="n">
        <f aca="false">B6/B7</f>
        <v>7295.08196721312</v>
      </c>
    </row>
    <row r="10" customFormat="false" ht="15" hidden="false" customHeight="false" outlineLevel="0" collapsed="false">
      <c r="A10" s="5" t="s">
        <v>227</v>
      </c>
      <c r="B10" s="30" t="n">
        <v>-0.0116</v>
      </c>
      <c r="C10" s="16" t="s">
        <v>228</v>
      </c>
    </row>
    <row r="11" customFormat="false" ht="15" hidden="false" customHeight="false" outlineLevel="0" collapsed="false">
      <c r="A11" s="5" t="s">
        <v>229</v>
      </c>
      <c r="B11" s="30" t="n">
        <v>0.0715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0.08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0.09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Assumptions!$B$6</f>
        <v>0.0441</v>
      </c>
    </row>
    <row r="16" customFormat="false" ht="15" hidden="false" customHeight="false" outlineLevel="0" collapsed="false">
      <c r="A16" s="5" t="s">
        <v>120</v>
      </c>
      <c r="B16" s="18" t="n">
        <f aca="false">Assumptions!$C$6</f>
        <v>0.055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0.0881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Assumptions!$D$6</f>
        <v>0.025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0.0067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0.0067</v>
      </c>
      <c r="C20" s="16" t="s">
        <v>238</v>
      </c>
    </row>
    <row r="21" customFormat="false" ht="15" hidden="false" customHeight="false" outlineLevel="0" collapsed="false">
      <c r="A21" s="5" t="s">
        <v>239</v>
      </c>
      <c r="B21" s="53" t="n">
        <v>2.18</v>
      </c>
    </row>
    <row r="22" customFormat="false" ht="15" hidden="false" customHeight="false" outlineLevel="0" collapsed="false">
      <c r="A22" s="5" t="s">
        <v>240</v>
      </c>
      <c r="B22" s="54" t="n">
        <v>12.87</v>
      </c>
    </row>
    <row r="23" customFormat="false" ht="15" hidden="false" customHeight="false" outlineLevel="0" collapsed="false">
      <c r="A23" s="5" t="s">
        <v>241</v>
      </c>
      <c r="B23" s="51" t="n">
        <f aca="false">B21/B22*B6</f>
        <v>9045.22144522145</v>
      </c>
    </row>
    <row r="24" customFormat="false" ht="15" hidden="false" customHeight="false" outlineLevel="0" collapsed="false">
      <c r="A24" s="5" t="s">
        <v>242</v>
      </c>
      <c r="B24" s="51" t="n">
        <f aca="false">MIN(B23,B9)</f>
        <v>7295.08196721312</v>
      </c>
      <c r="C24" s="16" t="s">
        <v>243</v>
      </c>
    </row>
    <row r="26" customFormat="false" ht="15" hidden="false" customHeight="false" outlineLevel="0" collapsed="false">
      <c r="A26" s="27" t="s">
        <v>244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0.0067</v>
      </c>
      <c r="D28" s="34" t="n">
        <f aca="false">$B$19</f>
        <v>0.0067</v>
      </c>
      <c r="E28" s="34" t="n">
        <f aca="false">$B$19</f>
        <v>0.0067</v>
      </c>
      <c r="F28" s="34" t="n">
        <f aca="false">$B$19</f>
        <v>0.0067</v>
      </c>
      <c r="G28" s="34" t="n">
        <f aca="false">$B$19</f>
        <v>0.0067</v>
      </c>
      <c r="H28" s="34" t="n">
        <f aca="false">$B$19+($B$20-$B$19)*(H27-5)/5</f>
        <v>0.0067</v>
      </c>
      <c r="I28" s="34" t="n">
        <f aca="false">$B$19+($B$20-$B$19)*(I27-5)/5</f>
        <v>0.0067</v>
      </c>
      <c r="J28" s="34" t="n">
        <f aca="false">$B$19+($B$20-$B$19)*(J27-5)/5</f>
        <v>0.0067</v>
      </c>
      <c r="K28" s="34" t="n">
        <f aca="false">$B$19+($B$20-$B$19)*(K27-5)/5</f>
        <v>0.0067</v>
      </c>
      <c r="L28" s="34" t="n">
        <f aca="false">$B$19+($B$20-$B$19)*(L27-5)/5</f>
        <v>0.0067</v>
      </c>
      <c r="M28" s="34" t="n">
        <f aca="false">$B$20</f>
        <v>0.0067</v>
      </c>
    </row>
    <row r="29" customFormat="false" ht="15" hidden="false" customHeight="false" outlineLevel="0" collapsed="false">
      <c r="A29" s="5" t="s">
        <v>247</v>
      </c>
      <c r="C29" s="51" t="n">
        <f aca="false">$B$9</f>
        <v>7295.08196721312</v>
      </c>
      <c r="D29" s="51" t="n">
        <f aca="false">C29*(1+C28)</f>
        <v>7343.95901639344</v>
      </c>
      <c r="E29" s="51" t="n">
        <f aca="false">D29*(1+D28)</f>
        <v>7393.16354180328</v>
      </c>
      <c r="F29" s="51" t="n">
        <f aca="false">E29*(1+E28)</f>
        <v>7442.69773753336</v>
      </c>
      <c r="G29" s="51" t="n">
        <f aca="false">F29*(1+F28)</f>
        <v>7492.56381237483</v>
      </c>
      <c r="H29" s="51" t="n">
        <f aca="false">G29*(1+G28)</f>
        <v>7542.76398991774</v>
      </c>
      <c r="I29" s="51" t="n">
        <f aca="false">H29*(1+H28)</f>
        <v>7593.30050865019</v>
      </c>
      <c r="J29" s="51" t="n">
        <f aca="false">I29*(1+I28)</f>
        <v>7644.17562205815</v>
      </c>
      <c r="K29" s="51" t="n">
        <f aca="false">J29*(1+J28)</f>
        <v>7695.39159872594</v>
      </c>
      <c r="L29" s="51" t="n">
        <f aca="false">K29*(1+K28)</f>
        <v>7746.9507224374</v>
      </c>
      <c r="M29" s="51" t="n">
        <f aca="false">L29*(1+L28)</f>
        <v>7798.85529227773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0.91625</v>
      </c>
      <c r="D30" s="38" t="n">
        <f aca="false">1-MAX(D28,0)/$B$12</f>
        <v>0.91625</v>
      </c>
      <c r="E30" s="38" t="n">
        <f aca="false">1-MAX(E28,0)/$B$12</f>
        <v>0.91625</v>
      </c>
      <c r="F30" s="38" t="n">
        <f aca="false">1-MAX(F28,0)/$B$12</f>
        <v>0.91625</v>
      </c>
      <c r="G30" s="38" t="n">
        <f aca="false">1-MAX(G28,0)/$B$12</f>
        <v>0.91625</v>
      </c>
      <c r="H30" s="38" t="n">
        <f aca="false">1-MAX(H28,0)/$B$12</f>
        <v>0.91625</v>
      </c>
      <c r="I30" s="38" t="n">
        <f aca="false">1-MAX(I28,0)/$B$12</f>
        <v>0.91625</v>
      </c>
      <c r="J30" s="38" t="n">
        <f aca="false">1-MAX(J28,0)/$B$12</f>
        <v>0.91625</v>
      </c>
      <c r="K30" s="38" t="n">
        <f aca="false">1-MAX(K28,0)/$B$12</f>
        <v>0.91625</v>
      </c>
      <c r="L30" s="38" t="n">
        <f aca="false">1-MAX(L28,0)/$B$12</f>
        <v>0.91625</v>
      </c>
    </row>
    <row r="31" customFormat="false" ht="15" hidden="false" customHeight="false" outlineLevel="0" collapsed="false">
      <c r="A31" s="5" t="s">
        <v>249</v>
      </c>
      <c r="C31" s="51" t="n">
        <f aca="false">C29*C30</f>
        <v>6684.11885245902</v>
      </c>
      <c r="D31" s="51" t="n">
        <f aca="false">D29*D30</f>
        <v>6728.90244877049</v>
      </c>
      <c r="E31" s="51" t="n">
        <f aca="false">E29*E30</f>
        <v>6773.98609517725</v>
      </c>
      <c r="F31" s="51" t="n">
        <f aca="false">F29*F30</f>
        <v>6819.37180201494</v>
      </c>
      <c r="G31" s="51" t="n">
        <f aca="false">G29*G30</f>
        <v>6865.06159308844</v>
      </c>
      <c r="H31" s="51" t="n">
        <f aca="false">H29*H30</f>
        <v>6911.05750576213</v>
      </c>
      <c r="I31" s="51" t="n">
        <f aca="false">I29*I30</f>
        <v>6957.36159105074</v>
      </c>
      <c r="J31" s="51" t="n">
        <f aca="false">J29*J30</f>
        <v>7003.97591371078</v>
      </c>
      <c r="K31" s="51" t="n">
        <f aca="false">K29*K30</f>
        <v>7050.90255233264</v>
      </c>
      <c r="L31" s="51" t="n">
        <f aca="false">L29*L30</f>
        <v>7098.14359943327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0.919033177097693</v>
      </c>
      <c r="D32" s="40" t="n">
        <f aca="false">1/(1+$B$17)^D27</f>
        <v>0.84462198060628</v>
      </c>
      <c r="E32" s="40" t="n">
        <f aca="false">1/(1+$B$17)^E27</f>
        <v>0.776235622283136</v>
      </c>
      <c r="F32" s="40" t="n">
        <f aca="false">1/(1+$B$17)^F27</f>
        <v>0.713386290123275</v>
      </c>
      <c r="G32" s="40" t="n">
        <f aca="false">1/(1+$B$17)^G27</f>
        <v>0.65562566870993</v>
      </c>
      <c r="H32" s="40" t="n">
        <f aca="false">1/(1+$B$17)^H27</f>
        <v>0.602541741301287</v>
      </c>
      <c r="I32" s="40" t="n">
        <f aca="false">1/(1+$B$17)^I27</f>
        <v>0.553755850842098</v>
      </c>
      <c r="J32" s="40" t="n">
        <f aca="false">1/(1+$B$17)^J27</f>
        <v>0.50891999893585</v>
      </c>
      <c r="K32" s="40" t="n">
        <f aca="false">1/(1+$B$17)^K27</f>
        <v>0.467714363510568</v>
      </c>
      <c r="L32" s="40" t="n">
        <f aca="false">1/(1+$B$17)^L27</f>
        <v>0.429845017471343</v>
      </c>
    </row>
    <row r="33" customFormat="false" ht="15" hidden="false" customHeight="false" outlineLevel="0" collapsed="false">
      <c r="A33" s="5" t="s">
        <v>250</v>
      </c>
      <c r="C33" s="51" t="n">
        <f aca="false">C31*C32</f>
        <v>6142.926985074</v>
      </c>
      <c r="D33" s="51" t="n">
        <f aca="false">D31*D32</f>
        <v>5683.37891358698</v>
      </c>
      <c r="E33" s="51" t="n">
        <f aca="false">E31*E32</f>
        <v>5258.20931192722</v>
      </c>
      <c r="F33" s="51" t="n">
        <f aca="false">F31*F32</f>
        <v>4864.84635081071</v>
      </c>
      <c r="G33" s="51" t="n">
        <f aca="false">G31*G32</f>
        <v>4500.91059770347</v>
      </c>
      <c r="H33" s="51" t="n">
        <f aca="false">H31*H32</f>
        <v>4164.20062375524</v>
      </c>
      <c r="I33" s="51" t="n">
        <f aca="false">I31*I32</f>
        <v>3852.67968746843</v>
      </c>
      <c r="J33" s="51" t="n">
        <f aca="false">J31*J32</f>
        <v>3564.4634145524</v>
      </c>
      <c r="K33" s="51" t="n">
        <f aca="false">K31*K32</f>
        <v>3297.8083994393</v>
      </c>
      <c r="L33" s="51" t="n">
        <f aca="false">L31*L32</f>
        <v>3051.10165951249</v>
      </c>
    </row>
    <row r="34" customFormat="false" ht="15" hidden="false" customHeight="false" outlineLevel="0" collapsed="false">
      <c r="A34" s="5" t="s">
        <v>241</v>
      </c>
      <c r="C34" s="51" t="n">
        <f aca="false">$B$24*(1+$B$19)</f>
        <v>7343.95901639344</v>
      </c>
      <c r="D34" s="51" t="n">
        <f aca="false">C34*(1+C28)</f>
        <v>7393.16354180328</v>
      </c>
      <c r="E34" s="51" t="n">
        <f aca="false">D34*(1+D28)</f>
        <v>7442.69773753336</v>
      </c>
      <c r="F34" s="51" t="n">
        <f aca="false">E34*(1+E28)</f>
        <v>7492.56381237483</v>
      </c>
      <c r="G34" s="51" t="n">
        <f aca="false">F34*(1+F28)</f>
        <v>7542.76398991774</v>
      </c>
      <c r="H34" s="51" t="n">
        <f aca="false">G34*(1+G28)</f>
        <v>7593.30050865019</v>
      </c>
      <c r="I34" s="51" t="n">
        <f aca="false">H34*(1+H28)</f>
        <v>7644.17562205815</v>
      </c>
      <c r="J34" s="51" t="n">
        <f aca="false">I34*(1+I28)</f>
        <v>7695.39159872594</v>
      </c>
      <c r="K34" s="51" t="n">
        <f aca="false">J34*(1+J28)</f>
        <v>7746.9507224374</v>
      </c>
      <c r="L34" s="51" t="n">
        <f aca="false">K34*(1+K28)</f>
        <v>7798.85529227773</v>
      </c>
      <c r="M34" s="51" t="n">
        <f aca="false">L34*(1+L28)</f>
        <v>7851.10762273599</v>
      </c>
    </row>
    <row r="35" customFormat="false" ht="15" hidden="false" customHeight="false" outlineLevel="0" collapsed="false">
      <c r="A35" s="5" t="s">
        <v>251</v>
      </c>
      <c r="C35" s="51" t="n">
        <f aca="false">C34*C32</f>
        <v>6749.34198731131</v>
      </c>
      <c r="D35" s="51" t="n">
        <f aca="false">D34*D32</f>
        <v>6244.42843362402</v>
      </c>
      <c r="E35" s="51" t="n">
        <f aca="false">E34*E32</f>
        <v>5777.28710975949</v>
      </c>
      <c r="F35" s="51" t="n">
        <f aca="false">F34*F32</f>
        <v>5345.09230162198</v>
      </c>
      <c r="G35" s="51" t="n">
        <f aca="false">G34*G32</f>
        <v>4945.229684811</v>
      </c>
      <c r="H35" s="51" t="n">
        <f aca="false">H34*H32</f>
        <v>4575.28051070603</v>
      </c>
      <c r="I35" s="51" t="n">
        <f aca="false">I34*I32</f>
        <v>4233.00697557923</v>
      </c>
      <c r="J35" s="51" t="n">
        <f aca="false">J34*J32</f>
        <v>3916.33868423455</v>
      </c>
      <c r="K35" s="51" t="n">
        <f aca="false">K34*K32</f>
        <v>3623.36012629255</v>
      </c>
      <c r="L35" s="51" t="n">
        <f aca="false">L34*L32</f>
        <v>3352.2990893656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1" t="n">
        <f aca="false">SUM(C33:L33)</f>
        <v>44380.5259438303</v>
      </c>
    </row>
    <row r="39" customFormat="false" ht="15" hidden="false" customHeight="false" outlineLevel="0" collapsed="false">
      <c r="A39" s="5" t="s">
        <v>254</v>
      </c>
      <c r="B39" s="51" t="n">
        <f aca="false">M29*(1-B20/B12)/(B17-B20)*L32</f>
        <v>37733.9562731109</v>
      </c>
    </row>
    <row r="40" customFormat="false" ht="15" hidden="false" customHeight="false" outlineLevel="0" collapsed="false">
      <c r="A40" s="5" t="s">
        <v>255</v>
      </c>
      <c r="B40" s="55" t="n">
        <f aca="false">B38+B39</f>
        <v>82114.4822169412</v>
      </c>
    </row>
    <row r="41" customFormat="false" ht="15" hidden="false" customHeight="false" outlineLevel="0" collapsed="false">
      <c r="A41" s="5" t="s">
        <v>256</v>
      </c>
      <c r="B41" s="51" t="n">
        <f aca="false">SUM(C35:L35)</f>
        <v>48761.6649033058</v>
      </c>
    </row>
    <row r="42" customFormat="false" ht="15" hidden="false" customHeight="false" outlineLevel="0" collapsed="false">
      <c r="A42" s="5" t="s">
        <v>257</v>
      </c>
      <c r="B42" s="51" t="n">
        <f aca="false">M34/(B17-B20)*L32</f>
        <v>41458.9618337143</v>
      </c>
    </row>
    <row r="43" customFormat="false" ht="15" hidden="false" customHeight="false" outlineLevel="0" collapsed="false">
      <c r="A43" s="5" t="s">
        <v>258</v>
      </c>
      <c r="B43" s="55" t="n">
        <f aca="false">IF(B21&gt;0,B41+B42,0)</f>
        <v>90220.6267370201</v>
      </c>
    </row>
    <row r="44" customFormat="false" ht="15" hidden="false" customHeight="false" outlineLevel="0" collapsed="false">
      <c r="A44" s="4" t="s">
        <v>259</v>
      </c>
      <c r="B44" s="56" t="n">
        <f aca="false">IF(B21&gt;0,0.5*B40+0.5*B43,B40)</f>
        <v>86167.5544769806</v>
      </c>
      <c r="C44" s="16" t="s">
        <v>260</v>
      </c>
    </row>
    <row r="45" customFormat="false" ht="15" hidden="false" customHeight="false" outlineLevel="0" collapsed="false">
      <c r="A45" s="5" t="s">
        <v>261</v>
      </c>
      <c r="B45" s="51" t="n">
        <f aca="false">B6</f>
        <v>53400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0.613624615673794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0.0781</v>
      </c>
      <c r="C49" s="46" t="n">
        <f aca="false">B17+(0)</f>
        <v>0.0881</v>
      </c>
      <c r="D49" s="46" t="n">
        <f aca="false">B17+(0.01)</f>
        <v>0.0981</v>
      </c>
    </row>
    <row r="50" customFormat="false" ht="15" hidden="false" customHeight="false" outlineLevel="0" collapsed="false">
      <c r="A50" s="5" t="s">
        <v>264</v>
      </c>
      <c r="B50" s="51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98235.8394177342</v>
      </c>
      <c r="C50" s="57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86167.5544769806</v>
      </c>
      <c r="D50" s="51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76740.0321053197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265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223</v>
      </c>
      <c r="B6" s="49" t="n">
        <v>15020</v>
      </c>
    </row>
    <row r="7" customFormat="false" ht="15" hidden="false" customHeight="false" outlineLevel="0" collapsed="false">
      <c r="A7" s="5" t="s">
        <v>224</v>
      </c>
      <c r="B7" s="50" t="n">
        <v>8.25</v>
      </c>
    </row>
    <row r="8" customFormat="false" ht="15" hidden="false" customHeight="false" outlineLevel="0" collapsed="false">
      <c r="A8" s="5" t="s">
        <v>225</v>
      </c>
      <c r="B8" s="50" t="n">
        <v>11.96</v>
      </c>
    </row>
    <row r="9" customFormat="false" ht="15" hidden="false" customHeight="false" outlineLevel="0" collapsed="false">
      <c r="A9" s="5" t="s">
        <v>226</v>
      </c>
      <c r="B9" s="51" t="n">
        <f aca="false">B6/B7</f>
        <v>1820.60606060606</v>
      </c>
    </row>
    <row r="10" customFormat="false" ht="15" hidden="false" customHeight="false" outlineLevel="0" collapsed="false">
      <c r="A10" s="5" t="s">
        <v>227</v>
      </c>
      <c r="B10" s="30" t="n">
        <v>0.1984</v>
      </c>
      <c r="C10" s="16" t="s">
        <v>228</v>
      </c>
    </row>
    <row r="11" customFormat="false" ht="15" hidden="false" customHeight="false" outlineLevel="0" collapsed="false">
      <c r="A11" s="5" t="s">
        <v>229</v>
      </c>
      <c r="B11" s="30" t="n">
        <v>0.0573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0.08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0.25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Assumptions!$B$6</f>
        <v>0.0441</v>
      </c>
    </row>
    <row r="16" customFormat="false" ht="15" hidden="false" customHeight="false" outlineLevel="0" collapsed="false">
      <c r="A16" s="5" t="s">
        <v>120</v>
      </c>
      <c r="B16" s="18" t="n">
        <f aca="false">Assumptions!$C$6</f>
        <v>0.055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0.0881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Assumptions!$D$6</f>
        <v>0.025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0.048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0.025</v>
      </c>
      <c r="C20" s="16" t="s">
        <v>238</v>
      </c>
    </row>
    <row r="21" customFormat="false" ht="15" hidden="false" customHeight="false" outlineLevel="0" collapsed="false">
      <c r="A21" s="5" t="s">
        <v>239</v>
      </c>
      <c r="B21" s="53" t="n">
        <v>1.46</v>
      </c>
    </row>
    <row r="22" customFormat="false" ht="15" hidden="false" customHeight="false" outlineLevel="0" collapsed="false">
      <c r="A22" s="5" t="s">
        <v>240</v>
      </c>
      <c r="B22" s="54" t="n">
        <v>6.37</v>
      </c>
    </row>
    <row r="23" customFormat="false" ht="15" hidden="false" customHeight="false" outlineLevel="0" collapsed="false">
      <c r="A23" s="5" t="s">
        <v>241</v>
      </c>
      <c r="B23" s="51" t="n">
        <f aca="false">B21/B22*B6</f>
        <v>3442.57456828885</v>
      </c>
    </row>
    <row r="24" customFormat="false" ht="15" hidden="false" customHeight="false" outlineLevel="0" collapsed="false">
      <c r="A24" s="5" t="s">
        <v>242</v>
      </c>
      <c r="B24" s="51" t="n">
        <f aca="false">MIN(B23,B9)</f>
        <v>1820.60606060606</v>
      </c>
      <c r="C24" s="16" t="s">
        <v>243</v>
      </c>
    </row>
    <row r="26" customFormat="false" ht="15" hidden="false" customHeight="false" outlineLevel="0" collapsed="false">
      <c r="A26" s="27" t="s">
        <v>244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0.048</v>
      </c>
      <c r="D28" s="34" t="n">
        <f aca="false">$B$19</f>
        <v>0.048</v>
      </c>
      <c r="E28" s="34" t="n">
        <f aca="false">$B$19</f>
        <v>0.048</v>
      </c>
      <c r="F28" s="34" t="n">
        <f aca="false">$B$19</f>
        <v>0.048</v>
      </c>
      <c r="G28" s="34" t="n">
        <f aca="false">$B$19</f>
        <v>0.048</v>
      </c>
      <c r="H28" s="34" t="n">
        <f aca="false">$B$19+($B$20-$B$19)*(H27-5)/5</f>
        <v>0.0434</v>
      </c>
      <c r="I28" s="34" t="n">
        <f aca="false">$B$19+($B$20-$B$19)*(I27-5)/5</f>
        <v>0.0388</v>
      </c>
      <c r="J28" s="34" t="n">
        <f aca="false">$B$19+($B$20-$B$19)*(J27-5)/5</f>
        <v>0.0342</v>
      </c>
      <c r="K28" s="34" t="n">
        <f aca="false">$B$19+($B$20-$B$19)*(K27-5)/5</f>
        <v>0.0296</v>
      </c>
      <c r="L28" s="34" t="n">
        <f aca="false">$B$19+($B$20-$B$19)*(L27-5)/5</f>
        <v>0.025</v>
      </c>
      <c r="M28" s="34" t="n">
        <f aca="false">$B$20</f>
        <v>0.025</v>
      </c>
    </row>
    <row r="29" customFormat="false" ht="15" hidden="false" customHeight="false" outlineLevel="0" collapsed="false">
      <c r="A29" s="5" t="s">
        <v>247</v>
      </c>
      <c r="C29" s="51" t="n">
        <f aca="false">$B$9</f>
        <v>1820.60606060606</v>
      </c>
      <c r="D29" s="51" t="n">
        <f aca="false">C29*(1+C28)</f>
        <v>1907.99515151515</v>
      </c>
      <c r="E29" s="51" t="n">
        <f aca="false">D29*(1+D28)</f>
        <v>1999.57891878788</v>
      </c>
      <c r="F29" s="51" t="n">
        <f aca="false">E29*(1+E28)</f>
        <v>2095.5587068897</v>
      </c>
      <c r="G29" s="51" t="n">
        <f aca="false">F29*(1+F28)</f>
        <v>2196.1455248204</v>
      </c>
      <c r="H29" s="51" t="n">
        <f aca="false">G29*(1+G28)</f>
        <v>2301.56051001178</v>
      </c>
      <c r="I29" s="51" t="n">
        <f aca="false">H29*(1+H28)</f>
        <v>2401.44823614629</v>
      </c>
      <c r="J29" s="51" t="n">
        <f aca="false">I29*(1+I28)</f>
        <v>2494.62442770877</v>
      </c>
      <c r="K29" s="51" t="n">
        <f aca="false">J29*(1+J28)</f>
        <v>2579.94058313641</v>
      </c>
      <c r="L29" s="51" t="n">
        <f aca="false">K29*(1+K28)</f>
        <v>2656.30682439725</v>
      </c>
      <c r="M29" s="51" t="n">
        <f aca="false">L29*(1+L28)</f>
        <v>2722.71449500718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0.4</v>
      </c>
      <c r="D30" s="38" t="n">
        <f aca="false">1-MAX(D28,0)/$B$12</f>
        <v>0.4</v>
      </c>
      <c r="E30" s="38" t="n">
        <f aca="false">1-MAX(E28,0)/$B$12</f>
        <v>0.4</v>
      </c>
      <c r="F30" s="38" t="n">
        <f aca="false">1-MAX(F28,0)/$B$12</f>
        <v>0.4</v>
      </c>
      <c r="G30" s="38" t="n">
        <f aca="false">1-MAX(G28,0)/$B$12</f>
        <v>0.4</v>
      </c>
      <c r="H30" s="38" t="n">
        <f aca="false">1-MAX(H28,0)/$B$12</f>
        <v>0.4575</v>
      </c>
      <c r="I30" s="38" t="n">
        <f aca="false">1-MAX(I28,0)/$B$12</f>
        <v>0.515</v>
      </c>
      <c r="J30" s="38" t="n">
        <f aca="false">1-MAX(J28,0)/$B$12</f>
        <v>0.5725</v>
      </c>
      <c r="K30" s="38" t="n">
        <f aca="false">1-MAX(K28,0)/$B$12</f>
        <v>0.63</v>
      </c>
      <c r="L30" s="38" t="n">
        <f aca="false">1-MAX(L28,0)/$B$12</f>
        <v>0.6875</v>
      </c>
    </row>
    <row r="31" customFormat="false" ht="15" hidden="false" customHeight="false" outlineLevel="0" collapsed="false">
      <c r="A31" s="5" t="s">
        <v>249</v>
      </c>
      <c r="C31" s="51" t="n">
        <f aca="false">C29*C30</f>
        <v>728.242424242424</v>
      </c>
      <c r="D31" s="51" t="n">
        <f aca="false">D29*D30</f>
        <v>763.198060606061</v>
      </c>
      <c r="E31" s="51" t="n">
        <f aca="false">E29*E30</f>
        <v>799.831567515152</v>
      </c>
      <c r="F31" s="51" t="n">
        <f aca="false">F29*F30</f>
        <v>838.223482755879</v>
      </c>
      <c r="G31" s="51" t="n">
        <f aca="false">G29*G30</f>
        <v>878.458209928161</v>
      </c>
      <c r="H31" s="51" t="n">
        <f aca="false">H29*H30</f>
        <v>1052.96393333039</v>
      </c>
      <c r="I31" s="51" t="n">
        <f aca="false">I29*I30</f>
        <v>1236.74584161534</v>
      </c>
      <c r="J31" s="51" t="n">
        <f aca="false">J29*J30</f>
        <v>1428.17248486327</v>
      </c>
      <c r="K31" s="51" t="n">
        <f aca="false">K29*K30</f>
        <v>1625.36256737594</v>
      </c>
      <c r="L31" s="51" t="n">
        <f aca="false">L29*L30</f>
        <v>1826.21094177311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0.919033177097693</v>
      </c>
      <c r="D32" s="40" t="n">
        <f aca="false">1/(1+$B$17)^D27</f>
        <v>0.84462198060628</v>
      </c>
      <c r="E32" s="40" t="n">
        <f aca="false">1/(1+$B$17)^E27</f>
        <v>0.776235622283136</v>
      </c>
      <c r="F32" s="40" t="n">
        <f aca="false">1/(1+$B$17)^F27</f>
        <v>0.713386290123275</v>
      </c>
      <c r="G32" s="40" t="n">
        <f aca="false">1/(1+$B$17)^G27</f>
        <v>0.65562566870993</v>
      </c>
      <c r="H32" s="40" t="n">
        <f aca="false">1/(1+$B$17)^H27</f>
        <v>0.602541741301287</v>
      </c>
      <c r="I32" s="40" t="n">
        <f aca="false">1/(1+$B$17)^I27</f>
        <v>0.553755850842098</v>
      </c>
      <c r="J32" s="40" t="n">
        <f aca="false">1/(1+$B$17)^J27</f>
        <v>0.50891999893585</v>
      </c>
      <c r="K32" s="40" t="n">
        <f aca="false">1/(1+$B$17)^K27</f>
        <v>0.467714363510568</v>
      </c>
      <c r="L32" s="40" t="n">
        <f aca="false">1/(1+$B$17)^L27</f>
        <v>0.429845017471343</v>
      </c>
    </row>
    <row r="33" customFormat="false" ht="15" hidden="false" customHeight="false" outlineLevel="0" collapsed="false">
      <c r="A33" s="5" t="s">
        <v>250</v>
      </c>
      <c r="C33" s="51" t="n">
        <f aca="false">C31*C32</f>
        <v>669.278948848841</v>
      </c>
      <c r="D33" s="51" t="n">
        <f aca="false">D31*D32</f>
        <v>644.613857543963</v>
      </c>
      <c r="E33" s="51" t="n">
        <f aca="false">E31*E32</f>
        <v>620.85775453182</v>
      </c>
      <c r="F33" s="51" t="n">
        <f aca="false">F31*F32</f>
        <v>597.977140657427</v>
      </c>
      <c r="G33" s="51" t="n">
        <f aca="false">G31*G32</f>
        <v>575.939751317879</v>
      </c>
      <c r="H33" s="51" t="n">
        <f aca="false">H31*H32</f>
        <v>634.454721916345</v>
      </c>
      <c r="I33" s="51" t="n">
        <f aca="false">I31*I32</f>
        <v>684.85524579913</v>
      </c>
      <c r="J33" s="51" t="n">
        <f aca="false">J31*J32</f>
        <v>726.825539476825</v>
      </c>
      <c r="K33" s="51" t="n">
        <f aca="false">K31*K32</f>
        <v>760.20541867414</v>
      </c>
      <c r="L33" s="51" t="n">
        <f aca="false">L31*L32</f>
        <v>784.987674172819</v>
      </c>
    </row>
    <row r="34" customFormat="false" ht="15" hidden="false" customHeight="false" outlineLevel="0" collapsed="false">
      <c r="A34" s="5" t="s">
        <v>241</v>
      </c>
      <c r="C34" s="51" t="n">
        <f aca="false">$B$24*(1+$B$19)</f>
        <v>1907.99515151515</v>
      </c>
      <c r="D34" s="51" t="n">
        <f aca="false">C34*(1+C28)</f>
        <v>1999.57891878788</v>
      </c>
      <c r="E34" s="51" t="n">
        <f aca="false">D34*(1+D28)</f>
        <v>2095.5587068897</v>
      </c>
      <c r="F34" s="51" t="n">
        <f aca="false">E34*(1+E28)</f>
        <v>2196.1455248204</v>
      </c>
      <c r="G34" s="51" t="n">
        <f aca="false">F34*(1+F28)</f>
        <v>2301.56051001178</v>
      </c>
      <c r="H34" s="51" t="n">
        <f aca="false">G34*(1+G28)</f>
        <v>2412.03541449235</v>
      </c>
      <c r="I34" s="51" t="n">
        <f aca="false">H34*(1+H28)</f>
        <v>2516.71775148132</v>
      </c>
      <c r="J34" s="51" t="n">
        <f aca="false">I34*(1+I28)</f>
        <v>2614.36640023879</v>
      </c>
      <c r="K34" s="51" t="n">
        <f aca="false">J34*(1+J28)</f>
        <v>2703.77773112696</v>
      </c>
      <c r="L34" s="51" t="n">
        <f aca="false">K34*(1+K28)</f>
        <v>2783.80955196832</v>
      </c>
      <c r="M34" s="51" t="n">
        <f aca="false">L34*(1+L28)</f>
        <v>2853.40479076752</v>
      </c>
    </row>
    <row r="35" customFormat="false" ht="15" hidden="false" customHeight="false" outlineLevel="0" collapsed="false">
      <c r="A35" s="5" t="s">
        <v>251</v>
      </c>
      <c r="C35" s="51" t="n">
        <f aca="false">C34*C32</f>
        <v>1753.51084598396</v>
      </c>
      <c r="D35" s="51" t="n">
        <f aca="false">D34*D32</f>
        <v>1688.88830676518</v>
      </c>
      <c r="E35" s="51" t="n">
        <f aca="false">E34*E32</f>
        <v>1626.64731687337</v>
      </c>
      <c r="F35" s="51" t="n">
        <f aca="false">F34*F32</f>
        <v>1566.70010852246</v>
      </c>
      <c r="G35" s="51" t="n">
        <f aca="false">G34*G32</f>
        <v>1508.96214845284</v>
      </c>
      <c r="H35" s="51" t="n">
        <f aca="false">H34*H32</f>
        <v>1453.35201872859</v>
      </c>
      <c r="I35" s="51" t="n">
        <f aca="false">I34*I32</f>
        <v>1393.64717980095</v>
      </c>
      <c r="J35" s="51" t="n">
        <f aca="false">J34*J32</f>
        <v>1330.50334562745</v>
      </c>
      <c r="K35" s="51" t="n">
        <f aca="false">K34*K32</f>
        <v>1264.59568058809</v>
      </c>
      <c r="L35" s="51" t="n">
        <f aca="false">L34*L32</f>
        <v>1196.60666550271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1" t="n">
        <f aca="false">SUM(C33:L33)</f>
        <v>6699.99605293919</v>
      </c>
    </row>
    <row r="39" customFormat="false" ht="15" hidden="false" customHeight="false" outlineLevel="0" collapsed="false">
      <c r="A39" s="5" t="s">
        <v>254</v>
      </c>
      <c r="B39" s="51" t="n">
        <f aca="false">M29*(1-B20/B12)/(B17-B20)*L32</f>
        <v>12751.3845646139</v>
      </c>
    </row>
    <row r="40" customFormat="false" ht="15" hidden="false" customHeight="false" outlineLevel="0" collapsed="false">
      <c r="A40" s="5" t="s">
        <v>255</v>
      </c>
      <c r="B40" s="55" t="n">
        <f aca="false">B38+B39</f>
        <v>19451.3806175531</v>
      </c>
    </row>
    <row r="41" customFormat="false" ht="15" hidden="false" customHeight="false" outlineLevel="0" collapsed="false">
      <c r="A41" s="5" t="s">
        <v>256</v>
      </c>
      <c r="B41" s="51" t="n">
        <f aca="false">SUM(C35:L35)</f>
        <v>14783.4136168456</v>
      </c>
    </row>
    <row r="42" customFormat="false" ht="15" hidden="false" customHeight="false" outlineLevel="0" collapsed="false">
      <c r="A42" s="5" t="s">
        <v>257</v>
      </c>
      <c r="B42" s="51" t="n">
        <f aca="false">M34/(B17-B20)*L32</f>
        <v>19437.746943586</v>
      </c>
    </row>
    <row r="43" customFormat="false" ht="15" hidden="false" customHeight="false" outlineLevel="0" collapsed="false">
      <c r="A43" s="5" t="s">
        <v>258</v>
      </c>
      <c r="B43" s="55" t="n">
        <f aca="false">IF(B21&gt;0,B41+B42,0)</f>
        <v>34221.1605604316</v>
      </c>
    </row>
    <row r="44" customFormat="false" ht="15" hidden="false" customHeight="false" outlineLevel="0" collapsed="false">
      <c r="A44" s="4" t="s">
        <v>259</v>
      </c>
      <c r="B44" s="56" t="n">
        <f aca="false">IF(B21&gt;0,0.5*B40+0.5*B43,B40)</f>
        <v>26836.2705889924</v>
      </c>
      <c r="C44" s="16" t="s">
        <v>260</v>
      </c>
    </row>
    <row r="45" customFormat="false" ht="15" hidden="false" customHeight="false" outlineLevel="0" collapsed="false">
      <c r="A45" s="5" t="s">
        <v>261</v>
      </c>
      <c r="B45" s="51" t="n">
        <f aca="false">B6</f>
        <v>15020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0.786702436018135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0.0781</v>
      </c>
      <c r="C49" s="46" t="n">
        <f aca="false">B17+(0)</f>
        <v>0.0881</v>
      </c>
      <c r="D49" s="46" t="n">
        <f aca="false">B17+(0.01)</f>
        <v>0.0981</v>
      </c>
    </row>
    <row r="50" customFormat="false" ht="15" hidden="false" customHeight="false" outlineLevel="0" collapsed="false">
      <c r="A50" s="5" t="s">
        <v>264</v>
      </c>
      <c r="B50" s="51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32262.9471085387</v>
      </c>
      <c r="C50" s="57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26836.2705889924</v>
      </c>
      <c r="D50" s="51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22912.4265824659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266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223</v>
      </c>
      <c r="B6" s="49" t="n">
        <v>200000</v>
      </c>
    </row>
    <row r="7" customFormat="false" ht="15" hidden="false" customHeight="false" outlineLevel="0" collapsed="false">
      <c r="A7" s="5" t="s">
        <v>224</v>
      </c>
      <c r="B7" s="50" t="n">
        <v>8.54</v>
      </c>
    </row>
    <row r="8" customFormat="false" ht="15" hidden="false" customHeight="false" outlineLevel="0" collapsed="false">
      <c r="A8" s="5" t="s">
        <v>225</v>
      </c>
      <c r="B8" s="50" t="n">
        <v>10.61</v>
      </c>
    </row>
    <row r="9" customFormat="false" ht="15" hidden="false" customHeight="false" outlineLevel="0" collapsed="false">
      <c r="A9" s="5" t="s">
        <v>226</v>
      </c>
      <c r="B9" s="51" t="n">
        <f aca="false">B6/B7</f>
        <v>23419.2037470726</v>
      </c>
    </row>
    <row r="10" customFormat="false" ht="15" hidden="false" customHeight="false" outlineLevel="0" collapsed="false">
      <c r="A10" s="5" t="s">
        <v>227</v>
      </c>
      <c r="B10" s="30" t="n">
        <v>0.1931</v>
      </c>
      <c r="C10" s="16" t="s">
        <v>228</v>
      </c>
    </row>
    <row r="11" customFormat="false" ht="15" hidden="false" customHeight="false" outlineLevel="0" collapsed="false">
      <c r="A11" s="5" t="s">
        <v>229</v>
      </c>
      <c r="B11" s="30" t="n">
        <v>0.1171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0.1171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0.71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Assumptions!$B$6</f>
        <v>0.0441</v>
      </c>
    </row>
    <row r="16" customFormat="false" ht="15" hidden="false" customHeight="false" outlineLevel="0" collapsed="false">
      <c r="A16" s="5" t="s">
        <v>120</v>
      </c>
      <c r="B16" s="18" t="n">
        <f aca="false">Assumptions!$C$6</f>
        <v>0.055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0.0881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Assumptions!$D$6</f>
        <v>0.025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0.07026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0.025</v>
      </c>
      <c r="C20" s="16" t="s">
        <v>238</v>
      </c>
    </row>
    <row r="21" customFormat="false" ht="15" hidden="false" customHeight="false" outlineLevel="0" collapsed="false">
      <c r="A21" s="5" t="s">
        <v>239</v>
      </c>
      <c r="B21" s="53" t="n">
        <v>0.95063</v>
      </c>
    </row>
    <row r="22" customFormat="false" ht="15" hidden="false" customHeight="false" outlineLevel="0" collapsed="false">
      <c r="A22" s="5" t="s">
        <v>240</v>
      </c>
      <c r="B22" s="54" t="n">
        <v>8.69</v>
      </c>
    </row>
    <row r="23" customFormat="false" ht="15" hidden="false" customHeight="false" outlineLevel="0" collapsed="false">
      <c r="A23" s="5" t="s">
        <v>241</v>
      </c>
      <c r="B23" s="51" t="n">
        <f aca="false">B21/B22*B6</f>
        <v>21878.7111622555</v>
      </c>
    </row>
    <row r="24" customFormat="false" ht="15" hidden="false" customHeight="false" outlineLevel="0" collapsed="false">
      <c r="A24" s="5" t="s">
        <v>242</v>
      </c>
      <c r="B24" s="51" t="n">
        <f aca="false">MIN(B23,B9)</f>
        <v>21878.7111622555</v>
      </c>
      <c r="C24" s="16" t="s">
        <v>243</v>
      </c>
    </row>
    <row r="26" customFormat="false" ht="15" hidden="false" customHeight="false" outlineLevel="0" collapsed="false">
      <c r="A26" s="27" t="s">
        <v>244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0.07026</v>
      </c>
      <c r="D28" s="34" t="n">
        <f aca="false">$B$19</f>
        <v>0.07026</v>
      </c>
      <c r="E28" s="34" t="n">
        <f aca="false">$B$19</f>
        <v>0.07026</v>
      </c>
      <c r="F28" s="34" t="n">
        <f aca="false">$B$19</f>
        <v>0.07026</v>
      </c>
      <c r="G28" s="34" t="n">
        <f aca="false">$B$19</f>
        <v>0.07026</v>
      </c>
      <c r="H28" s="34" t="n">
        <f aca="false">$B$19+($B$20-$B$19)*(H27-5)/5</f>
        <v>0.061208</v>
      </c>
      <c r="I28" s="34" t="n">
        <f aca="false">$B$19+($B$20-$B$19)*(I27-5)/5</f>
        <v>0.052156</v>
      </c>
      <c r="J28" s="34" t="n">
        <f aca="false">$B$19+($B$20-$B$19)*(J27-5)/5</f>
        <v>0.043104</v>
      </c>
      <c r="K28" s="34" t="n">
        <f aca="false">$B$19+($B$20-$B$19)*(K27-5)/5</f>
        <v>0.034052</v>
      </c>
      <c r="L28" s="34" t="n">
        <f aca="false">$B$19+($B$20-$B$19)*(L27-5)/5</f>
        <v>0.025</v>
      </c>
      <c r="M28" s="34" t="n">
        <f aca="false">$B$20</f>
        <v>0.025</v>
      </c>
    </row>
    <row r="29" customFormat="false" ht="15" hidden="false" customHeight="false" outlineLevel="0" collapsed="false">
      <c r="A29" s="5" t="s">
        <v>247</v>
      </c>
      <c r="C29" s="51" t="n">
        <f aca="false">$B$9</f>
        <v>23419.2037470726</v>
      </c>
      <c r="D29" s="51" t="n">
        <f aca="false">C29*(1+C28)</f>
        <v>25064.6370023419</v>
      </c>
      <c r="E29" s="51" t="n">
        <f aca="false">D29*(1+D28)</f>
        <v>26825.6783981265</v>
      </c>
      <c r="F29" s="51" t="n">
        <f aca="false">E29*(1+E28)</f>
        <v>28710.4505623788</v>
      </c>
      <c r="G29" s="51" t="n">
        <f aca="false">F29*(1+F28)</f>
        <v>30727.6468188916</v>
      </c>
      <c r="H29" s="51" t="n">
        <f aca="false">G29*(1+G28)</f>
        <v>32886.5712843869</v>
      </c>
      <c r="I29" s="51" t="n">
        <f aca="false">H29*(1+H28)</f>
        <v>34899.4925395616</v>
      </c>
      <c r="J29" s="51" t="n">
        <f aca="false">I29*(1+I28)</f>
        <v>36719.710472455</v>
      </c>
      <c r="K29" s="51" t="n">
        <f aca="false">J29*(1+J28)</f>
        <v>38302.4768726597</v>
      </c>
      <c r="L29" s="51" t="n">
        <f aca="false">K29*(1+K28)</f>
        <v>39606.7528151275</v>
      </c>
      <c r="M29" s="51" t="n">
        <f aca="false">L29*(1+L28)</f>
        <v>40596.9216355057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0.4</v>
      </c>
      <c r="D30" s="38" t="n">
        <f aca="false">1-MAX(D28,0)/$B$12</f>
        <v>0.4</v>
      </c>
      <c r="E30" s="38" t="n">
        <f aca="false">1-MAX(E28,0)/$B$12</f>
        <v>0.4</v>
      </c>
      <c r="F30" s="38" t="n">
        <f aca="false">1-MAX(F28,0)/$B$12</f>
        <v>0.4</v>
      </c>
      <c r="G30" s="38" t="n">
        <f aca="false">1-MAX(G28,0)/$B$12</f>
        <v>0.4</v>
      </c>
      <c r="H30" s="38" t="n">
        <f aca="false">1-MAX(H28,0)/$B$12</f>
        <v>0.477301451750641</v>
      </c>
      <c r="I30" s="38" t="n">
        <f aca="false">1-MAX(I28,0)/$B$12</f>
        <v>0.554602903501281</v>
      </c>
      <c r="J30" s="38" t="n">
        <f aca="false">1-MAX(J28,0)/$B$12</f>
        <v>0.631904355251922</v>
      </c>
      <c r="K30" s="38" t="n">
        <f aca="false">1-MAX(K28,0)/$B$12</f>
        <v>0.709205807002562</v>
      </c>
      <c r="L30" s="38" t="n">
        <f aca="false">1-MAX(L28,0)/$B$12</f>
        <v>0.786507258753202</v>
      </c>
    </row>
    <row r="31" customFormat="false" ht="15" hidden="false" customHeight="false" outlineLevel="0" collapsed="false">
      <c r="A31" s="5" t="s">
        <v>249</v>
      </c>
      <c r="C31" s="51" t="n">
        <f aca="false">C29*C30</f>
        <v>9367.68149882904</v>
      </c>
      <c r="D31" s="51" t="n">
        <f aca="false">D29*D30</f>
        <v>10025.8548009368</v>
      </c>
      <c r="E31" s="51" t="n">
        <f aca="false">E29*E30</f>
        <v>10730.2713592506</v>
      </c>
      <c r="F31" s="51" t="n">
        <f aca="false">F29*F30</f>
        <v>11484.1802249515</v>
      </c>
      <c r="G31" s="51" t="n">
        <f aca="false">G29*G30</f>
        <v>12291.0587275566</v>
      </c>
      <c r="H31" s="51" t="n">
        <f aca="false">H29*H30</f>
        <v>15696.8082171388</v>
      </c>
      <c r="I31" s="51" t="n">
        <f aca="false">I29*I30</f>
        <v>19355.3598931622</v>
      </c>
      <c r="J31" s="51" t="n">
        <f aca="false">J29*J30</f>
        <v>23203.3449711339</v>
      </c>
      <c r="K31" s="51" t="n">
        <f aca="false">K29*K30</f>
        <v>27164.3390206716</v>
      </c>
      <c r="L31" s="51" t="n">
        <f aca="false">L29*L30</f>
        <v>31150.9985847416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0.919033177097693</v>
      </c>
      <c r="D32" s="40" t="n">
        <f aca="false">1/(1+$B$17)^D27</f>
        <v>0.84462198060628</v>
      </c>
      <c r="E32" s="40" t="n">
        <f aca="false">1/(1+$B$17)^E27</f>
        <v>0.776235622283136</v>
      </c>
      <c r="F32" s="40" t="n">
        <f aca="false">1/(1+$B$17)^F27</f>
        <v>0.713386290123275</v>
      </c>
      <c r="G32" s="40" t="n">
        <f aca="false">1/(1+$B$17)^G27</f>
        <v>0.65562566870993</v>
      </c>
      <c r="H32" s="40" t="n">
        <f aca="false">1/(1+$B$17)^H27</f>
        <v>0.602541741301287</v>
      </c>
      <c r="I32" s="40" t="n">
        <f aca="false">1/(1+$B$17)^I27</f>
        <v>0.553755850842098</v>
      </c>
      <c r="J32" s="40" t="n">
        <f aca="false">1/(1+$B$17)^J27</f>
        <v>0.50891999893585</v>
      </c>
      <c r="K32" s="40" t="n">
        <f aca="false">1/(1+$B$17)^K27</f>
        <v>0.467714363510568</v>
      </c>
      <c r="L32" s="40" t="n">
        <f aca="false">1/(1+$B$17)^L27</f>
        <v>0.429845017471343</v>
      </c>
    </row>
    <row r="33" customFormat="false" ht="15" hidden="false" customHeight="false" outlineLevel="0" collapsed="false">
      <c r="A33" s="5" t="s">
        <v>250</v>
      </c>
      <c r="C33" s="51" t="n">
        <f aca="false">C31*C32</f>
        <v>8609.21008990813</v>
      </c>
      <c r="D33" s="51" t="n">
        <f aca="false">D31*D32</f>
        <v>8468.05733923819</v>
      </c>
      <c r="E33" s="51" t="n">
        <f aca="false">E31*E32</f>
        <v>8329.21886581479</v>
      </c>
      <c r="F33" s="51" t="n">
        <f aca="false">F31*F32</f>
        <v>8192.65672578525</v>
      </c>
      <c r="G33" s="51" t="n">
        <f aca="false">G31*G32</f>
        <v>8058.33359740734</v>
      </c>
      <c r="H33" s="51" t="n">
        <f aca="false">H31*H32</f>
        <v>9457.98215602715</v>
      </c>
      <c r="I33" s="51" t="n">
        <f aca="false">I31*I32</f>
        <v>10718.143785993</v>
      </c>
      <c r="J33" s="51" t="n">
        <f aca="false">J31*J32</f>
        <v>11808.6462980176</v>
      </c>
      <c r="K33" s="51" t="n">
        <f aca="false">K31*K32</f>
        <v>12705.1515352387</v>
      </c>
      <c r="L33" s="51" t="n">
        <f aca="false">L31*L32</f>
        <v>13390.101530908</v>
      </c>
    </row>
    <row r="34" customFormat="false" ht="15" hidden="false" customHeight="false" outlineLevel="0" collapsed="false">
      <c r="A34" s="5" t="s">
        <v>241</v>
      </c>
      <c r="C34" s="51" t="n">
        <f aca="false">$B$24*(1+$B$19)</f>
        <v>23415.9094085155</v>
      </c>
      <c r="D34" s="51" t="n">
        <f aca="false">C34*(1+C28)</f>
        <v>25061.1112035578</v>
      </c>
      <c r="E34" s="51" t="n">
        <f aca="false">D34*(1+D28)</f>
        <v>26821.9048767198</v>
      </c>
      <c r="F34" s="51" t="n">
        <f aca="false">E34*(1+E28)</f>
        <v>28706.4119133581</v>
      </c>
      <c r="G34" s="51" t="n">
        <f aca="false">F34*(1+F28)</f>
        <v>30723.3244143907</v>
      </c>
      <c r="H34" s="51" t="n">
        <f aca="false">G34*(1+G28)</f>
        <v>32881.9451877458</v>
      </c>
      <c r="I34" s="51" t="n">
        <f aca="false">H34*(1+H28)</f>
        <v>34894.5832887973</v>
      </c>
      <c r="J34" s="51" t="n">
        <f aca="false">I34*(1+I28)</f>
        <v>36714.5451748078</v>
      </c>
      <c r="K34" s="51" t="n">
        <f aca="false">J34*(1+J28)</f>
        <v>38297.0889300228</v>
      </c>
      <c r="L34" s="51" t="n">
        <f aca="false">K34*(1+K28)</f>
        <v>39601.1814022679</v>
      </c>
      <c r="M34" s="51" t="n">
        <f aca="false">L34*(1+L28)</f>
        <v>40591.2109373246</v>
      </c>
    </row>
    <row r="35" customFormat="false" ht="15" hidden="false" customHeight="false" outlineLevel="0" collapsed="false">
      <c r="A35" s="5" t="s">
        <v>251</v>
      </c>
      <c r="C35" s="51" t="n">
        <f aca="false">C34*C32</f>
        <v>21519.9976183398</v>
      </c>
      <c r="D35" s="51" t="n">
        <f aca="false">D34*D32</f>
        <v>21167.1653809433</v>
      </c>
      <c r="E35" s="51" t="n">
        <f aca="false">E34*E32</f>
        <v>20820.1180227997</v>
      </c>
      <c r="F35" s="51" t="n">
        <f aca="false">F34*F32</f>
        <v>20478.7606976212</v>
      </c>
      <c r="G35" s="51" t="n">
        <f aca="false">G34*G32</f>
        <v>20143.000114177</v>
      </c>
      <c r="H35" s="51" t="n">
        <f aca="false">H34*H32</f>
        <v>19812.7445107978</v>
      </c>
      <c r="I35" s="51" t="n">
        <f aca="false">I34*I32</f>
        <v>19323.0796588684</v>
      </c>
      <c r="J35" s="51" t="n">
        <f aca="false">J34*J32</f>
        <v>18684.7662912934</v>
      </c>
      <c r="K35" s="51" t="n">
        <f aca="false">K34*K32</f>
        <v>17912.0985732132</v>
      </c>
      <c r="L35" s="51" t="n">
        <f aca="false">L34*L32</f>
        <v>17022.3705117437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1" t="n">
        <f aca="false">SUM(C33:L33)</f>
        <v>99737.5019243383</v>
      </c>
    </row>
    <row r="39" customFormat="false" ht="15" hidden="false" customHeight="false" outlineLevel="0" collapsed="false">
      <c r="A39" s="5" t="s">
        <v>254</v>
      </c>
      <c r="B39" s="51" t="n">
        <f aca="false">M29*(1-B20/B12)/(B17-B20)*L32</f>
        <v>217509.573204132</v>
      </c>
    </row>
    <row r="40" customFormat="false" ht="15" hidden="false" customHeight="false" outlineLevel="0" collapsed="false">
      <c r="A40" s="5" t="s">
        <v>255</v>
      </c>
      <c r="B40" s="55" t="n">
        <f aca="false">B38+B39</f>
        <v>317247.075128471</v>
      </c>
    </row>
    <row r="41" customFormat="false" ht="15" hidden="false" customHeight="false" outlineLevel="0" collapsed="false">
      <c r="A41" s="5" t="s">
        <v>256</v>
      </c>
      <c r="B41" s="51" t="n">
        <f aca="false">SUM(C35:L35)</f>
        <v>196884.101379797</v>
      </c>
    </row>
    <row r="42" customFormat="false" ht="15" hidden="false" customHeight="false" outlineLevel="0" collapsed="false">
      <c r="A42" s="5" t="s">
        <v>257</v>
      </c>
      <c r="B42" s="51" t="n">
        <f aca="false">M34/(B17-B20)*L32</f>
        <v>276512.357758118</v>
      </c>
    </row>
    <row r="43" customFormat="false" ht="15" hidden="false" customHeight="false" outlineLevel="0" collapsed="false">
      <c r="A43" s="5" t="s">
        <v>258</v>
      </c>
      <c r="B43" s="55" t="n">
        <f aca="false">IF(B21&gt;0,B41+B42,0)</f>
        <v>473396.459137915</v>
      </c>
    </row>
    <row r="44" customFormat="false" ht="15" hidden="false" customHeight="false" outlineLevel="0" collapsed="false">
      <c r="A44" s="4" t="s">
        <v>259</v>
      </c>
      <c r="B44" s="56" t="n">
        <f aca="false">IF(B21&gt;0,0.5*B40+0.5*B43,B40)</f>
        <v>395321.767133193</v>
      </c>
      <c r="C44" s="16" t="s">
        <v>260</v>
      </c>
    </row>
    <row r="45" customFormat="false" ht="15" hidden="false" customHeight="false" outlineLevel="0" collapsed="false">
      <c r="A45" s="5" t="s">
        <v>261</v>
      </c>
      <c r="B45" s="51" t="n">
        <f aca="false">B6</f>
        <v>200000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0.976608835665965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0.0781</v>
      </c>
      <c r="C49" s="46" t="n">
        <f aca="false">B17+(0)</f>
        <v>0.0881</v>
      </c>
      <c r="D49" s="46" t="n">
        <f aca="false">B17+(0.01)</f>
        <v>0.0981</v>
      </c>
    </row>
    <row r="50" customFormat="false" ht="15" hidden="false" customHeight="false" outlineLevel="0" collapsed="false">
      <c r="A50" s="5" t="s">
        <v>264</v>
      </c>
      <c r="B50" s="51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478064.634676573</v>
      </c>
      <c r="C50" s="57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395321.767133193</v>
      </c>
      <c r="D50" s="51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335615.707115242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267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223</v>
      </c>
      <c r="B6" s="49" t="n">
        <v>63500</v>
      </c>
    </row>
    <row r="7" customFormat="false" ht="15" hidden="false" customHeight="false" outlineLevel="0" collapsed="false">
      <c r="A7" s="5" t="s">
        <v>224</v>
      </c>
      <c r="B7" s="50" t="n">
        <v>5.37</v>
      </c>
    </row>
    <row r="8" customFormat="false" ht="15" hidden="false" customHeight="false" outlineLevel="0" collapsed="false">
      <c r="A8" s="5" t="s">
        <v>225</v>
      </c>
      <c r="B8" s="50" t="n">
        <v>6.35</v>
      </c>
    </row>
    <row r="9" customFormat="false" ht="15" hidden="false" customHeight="false" outlineLevel="0" collapsed="false">
      <c r="A9" s="5" t="s">
        <v>226</v>
      </c>
      <c r="B9" s="51" t="n">
        <f aca="false">B6/B7</f>
        <v>11824.9534450652</v>
      </c>
    </row>
    <row r="10" customFormat="false" ht="15" hidden="false" customHeight="false" outlineLevel="0" collapsed="false">
      <c r="A10" s="5" t="s">
        <v>227</v>
      </c>
      <c r="B10" s="30" t="n">
        <v>0.15</v>
      </c>
      <c r="C10" s="16" t="s">
        <v>228</v>
      </c>
    </row>
    <row r="11" customFormat="false" ht="15" hidden="false" customHeight="false" outlineLevel="0" collapsed="false">
      <c r="A11" s="5" t="s">
        <v>229</v>
      </c>
      <c r="B11" s="30" t="n">
        <v>0.0831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0.0831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0.54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Assumptions!$B$6</f>
        <v>0.0441</v>
      </c>
    </row>
    <row r="16" customFormat="false" ht="15" hidden="false" customHeight="false" outlineLevel="0" collapsed="false">
      <c r="A16" s="5" t="s">
        <v>120</v>
      </c>
      <c r="B16" s="18" t="n">
        <f aca="false">Assumptions!$C$6</f>
        <v>0.055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0.0881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Assumptions!$D$6</f>
        <v>0.025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0.04986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0.025</v>
      </c>
      <c r="C20" s="16" t="s">
        <v>238</v>
      </c>
    </row>
    <row r="21" customFormat="false" ht="15" hidden="false" customHeight="false" outlineLevel="0" collapsed="false">
      <c r="A21" s="5" t="s">
        <v>239</v>
      </c>
      <c r="B21" s="53" t="n">
        <v>0.48145</v>
      </c>
    </row>
    <row r="22" customFormat="false" ht="15" hidden="false" customHeight="false" outlineLevel="0" collapsed="false">
      <c r="A22" s="5" t="s">
        <v>240</v>
      </c>
      <c r="B22" s="54" t="n">
        <v>7.7</v>
      </c>
    </row>
    <row r="23" customFormat="false" ht="15" hidden="false" customHeight="false" outlineLevel="0" collapsed="false">
      <c r="A23" s="5" t="s">
        <v>241</v>
      </c>
      <c r="B23" s="51" t="n">
        <f aca="false">B21/B22*B6</f>
        <v>3970.39935064935</v>
      </c>
    </row>
    <row r="24" customFormat="false" ht="15" hidden="false" customHeight="false" outlineLevel="0" collapsed="false">
      <c r="A24" s="5" t="s">
        <v>242</v>
      </c>
      <c r="B24" s="51" t="n">
        <f aca="false">MIN(B23,B9)</f>
        <v>3970.39935064935</v>
      </c>
      <c r="C24" s="16" t="s">
        <v>243</v>
      </c>
    </row>
    <row r="26" customFormat="false" ht="15" hidden="false" customHeight="false" outlineLevel="0" collapsed="false">
      <c r="A26" s="27" t="s">
        <v>244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0.04986</v>
      </c>
      <c r="D28" s="34" t="n">
        <f aca="false">$B$19</f>
        <v>0.04986</v>
      </c>
      <c r="E28" s="34" t="n">
        <f aca="false">$B$19</f>
        <v>0.04986</v>
      </c>
      <c r="F28" s="34" t="n">
        <f aca="false">$B$19</f>
        <v>0.04986</v>
      </c>
      <c r="G28" s="34" t="n">
        <f aca="false">$B$19</f>
        <v>0.04986</v>
      </c>
      <c r="H28" s="34" t="n">
        <f aca="false">$B$19+($B$20-$B$19)*(H27-5)/5</f>
        <v>0.044888</v>
      </c>
      <c r="I28" s="34" t="n">
        <f aca="false">$B$19+($B$20-$B$19)*(I27-5)/5</f>
        <v>0.039916</v>
      </c>
      <c r="J28" s="34" t="n">
        <f aca="false">$B$19+($B$20-$B$19)*(J27-5)/5</f>
        <v>0.034944</v>
      </c>
      <c r="K28" s="34" t="n">
        <f aca="false">$B$19+($B$20-$B$19)*(K27-5)/5</f>
        <v>0.029972</v>
      </c>
      <c r="L28" s="34" t="n">
        <f aca="false">$B$19+($B$20-$B$19)*(L27-5)/5</f>
        <v>0.025</v>
      </c>
      <c r="M28" s="34" t="n">
        <f aca="false">$B$20</f>
        <v>0.025</v>
      </c>
    </row>
    <row r="29" customFormat="false" ht="15" hidden="false" customHeight="false" outlineLevel="0" collapsed="false">
      <c r="A29" s="5" t="s">
        <v>247</v>
      </c>
      <c r="C29" s="51" t="n">
        <f aca="false">$B$9</f>
        <v>11824.9534450652</v>
      </c>
      <c r="D29" s="51" t="n">
        <f aca="false">C29*(1+C28)</f>
        <v>12414.5456238361</v>
      </c>
      <c r="E29" s="51" t="n">
        <f aca="false">D29*(1+D28)</f>
        <v>13033.5348686406</v>
      </c>
      <c r="F29" s="51" t="n">
        <f aca="false">E29*(1+E28)</f>
        <v>13683.386917191</v>
      </c>
      <c r="G29" s="51" t="n">
        <f aca="false">F29*(1+F28)</f>
        <v>14365.6405888822</v>
      </c>
      <c r="H29" s="51" t="n">
        <f aca="false">G29*(1+G28)</f>
        <v>15081.9114286438</v>
      </c>
      <c r="I29" s="51" t="n">
        <f aca="false">H29*(1+H28)</f>
        <v>15758.9082688528</v>
      </c>
      <c r="J29" s="51" t="n">
        <f aca="false">I29*(1+I28)</f>
        <v>16387.9408513123</v>
      </c>
      <c r="K29" s="51" t="n">
        <f aca="false">J29*(1+J28)</f>
        <v>16960.6010564206</v>
      </c>
      <c r="L29" s="51" t="n">
        <f aca="false">K29*(1+K28)</f>
        <v>17468.9441912836</v>
      </c>
      <c r="M29" s="51" t="n">
        <f aca="false">L29*(1+L28)</f>
        <v>17905.6677960657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0.4</v>
      </c>
      <c r="D30" s="38" t="n">
        <f aca="false">1-MAX(D28,0)/$B$12</f>
        <v>0.4</v>
      </c>
      <c r="E30" s="38" t="n">
        <f aca="false">1-MAX(E28,0)/$B$12</f>
        <v>0.4</v>
      </c>
      <c r="F30" s="38" t="n">
        <f aca="false">1-MAX(F28,0)/$B$12</f>
        <v>0.4</v>
      </c>
      <c r="G30" s="38" t="n">
        <f aca="false">1-MAX(G28,0)/$B$12</f>
        <v>0.4</v>
      </c>
      <c r="H30" s="38" t="n">
        <f aca="false">1-MAX(H28,0)/$B$12</f>
        <v>0.459831528279182</v>
      </c>
      <c r="I30" s="38" t="n">
        <f aca="false">1-MAX(I28,0)/$B$12</f>
        <v>0.519663056558364</v>
      </c>
      <c r="J30" s="38" t="n">
        <f aca="false">1-MAX(J28,0)/$B$12</f>
        <v>0.579494584837545</v>
      </c>
      <c r="K30" s="38" t="n">
        <f aca="false">1-MAX(K28,0)/$B$12</f>
        <v>0.639326113116727</v>
      </c>
      <c r="L30" s="38" t="n">
        <f aca="false">1-MAX(L28,0)/$B$12</f>
        <v>0.699157641395909</v>
      </c>
    </row>
    <row r="31" customFormat="false" ht="15" hidden="false" customHeight="false" outlineLevel="0" collapsed="false">
      <c r="A31" s="5" t="s">
        <v>249</v>
      </c>
      <c r="C31" s="51" t="n">
        <f aca="false">C29*C30</f>
        <v>4729.98137802607</v>
      </c>
      <c r="D31" s="51" t="n">
        <f aca="false">D29*D30</f>
        <v>4965.81824953445</v>
      </c>
      <c r="E31" s="51" t="n">
        <f aca="false">E29*E30</f>
        <v>5213.41394745624</v>
      </c>
      <c r="F31" s="51" t="n">
        <f aca="false">F29*F30</f>
        <v>5473.35476687641</v>
      </c>
      <c r="G31" s="51" t="n">
        <f aca="false">G29*G30</f>
        <v>5746.25623555286</v>
      </c>
      <c r="H31" s="51" t="n">
        <f aca="false">H29*H30</f>
        <v>6935.13838160455</v>
      </c>
      <c r="I31" s="51" t="n">
        <f aca="false">I29*I30</f>
        <v>8189.32243901491</v>
      </c>
      <c r="J31" s="51" t="n">
        <f aca="false">J29*J30</f>
        <v>9496.72297997348</v>
      </c>
      <c r="K31" s="51" t="n">
        <f aca="false">K29*K30</f>
        <v>10843.3551495248</v>
      </c>
      <c r="L31" s="51" t="n">
        <f aca="false">L29*L30</f>
        <v>12213.5458184546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0.919033177097693</v>
      </c>
      <c r="D32" s="40" t="n">
        <f aca="false">1/(1+$B$17)^D27</f>
        <v>0.84462198060628</v>
      </c>
      <c r="E32" s="40" t="n">
        <f aca="false">1/(1+$B$17)^E27</f>
        <v>0.776235622283136</v>
      </c>
      <c r="F32" s="40" t="n">
        <f aca="false">1/(1+$B$17)^F27</f>
        <v>0.713386290123275</v>
      </c>
      <c r="G32" s="40" t="n">
        <f aca="false">1/(1+$B$17)^G27</f>
        <v>0.65562566870993</v>
      </c>
      <c r="H32" s="40" t="n">
        <f aca="false">1/(1+$B$17)^H27</f>
        <v>0.602541741301287</v>
      </c>
      <c r="I32" s="40" t="n">
        <f aca="false">1/(1+$B$17)^I27</f>
        <v>0.553755850842098</v>
      </c>
      <c r="J32" s="40" t="n">
        <f aca="false">1/(1+$B$17)^J27</f>
        <v>0.50891999893585</v>
      </c>
      <c r="K32" s="40" t="n">
        <f aca="false">1/(1+$B$17)^K27</f>
        <v>0.467714363510568</v>
      </c>
      <c r="L32" s="40" t="n">
        <f aca="false">1/(1+$B$17)^L27</f>
        <v>0.429845017471343</v>
      </c>
    </row>
    <row r="33" customFormat="false" ht="15" hidden="false" customHeight="false" outlineLevel="0" collapsed="false">
      <c r="A33" s="5" t="s">
        <v>250</v>
      </c>
      <c r="C33" s="51" t="n">
        <f aca="false">C31*C32</f>
        <v>4347.00981346023</v>
      </c>
      <c r="D33" s="51" t="n">
        <f aca="false">D31*D32</f>
        <v>4194.2392452526</v>
      </c>
      <c r="E33" s="51" t="n">
        <f aca="false">E31*E32</f>
        <v>4046.83761972327</v>
      </c>
      <c r="F33" s="51" t="n">
        <f aca="false">F31*F32</f>
        <v>3904.6162516705</v>
      </c>
      <c r="G33" s="51" t="n">
        <f aca="false">G31*G32</f>
        <v>3767.39308701295</v>
      </c>
      <c r="H33" s="51" t="n">
        <f aca="false">H31*H32</f>
        <v>4178.71035661739</v>
      </c>
      <c r="I33" s="51" t="n">
        <f aca="false">I31*I32</f>
        <v>4534.88521503699</v>
      </c>
      <c r="J33" s="51" t="n">
        <f aca="false">J31*J32</f>
        <v>4833.07224886216</v>
      </c>
      <c r="K33" s="51" t="n">
        <f aca="false">K31*K32</f>
        <v>5071.59295207904</v>
      </c>
      <c r="L33" s="51" t="n">
        <f aca="false">L31*L32</f>
        <v>5249.93181572067</v>
      </c>
    </row>
    <row r="34" customFormat="false" ht="15" hidden="false" customHeight="false" outlineLevel="0" collapsed="false">
      <c r="A34" s="5" t="s">
        <v>241</v>
      </c>
      <c r="C34" s="51" t="n">
        <f aca="false">$B$24*(1+$B$19)</f>
        <v>4168.36346227273</v>
      </c>
      <c r="D34" s="51" t="n">
        <f aca="false">C34*(1+C28)</f>
        <v>4376.19806450165</v>
      </c>
      <c r="E34" s="51" t="n">
        <f aca="false">D34*(1+D28)</f>
        <v>4594.3952999977</v>
      </c>
      <c r="F34" s="51" t="n">
        <f aca="false">E34*(1+E28)</f>
        <v>4823.47184965558</v>
      </c>
      <c r="G34" s="51" t="n">
        <f aca="false">F34*(1+F28)</f>
        <v>5063.97015607941</v>
      </c>
      <c r="H34" s="51" t="n">
        <f aca="false">G34*(1+G28)</f>
        <v>5316.45970806153</v>
      </c>
      <c r="I34" s="51" t="n">
        <f aca="false">H34*(1+H28)</f>
        <v>5555.104951437</v>
      </c>
      <c r="J34" s="51" t="n">
        <f aca="false">I34*(1+I28)</f>
        <v>5776.84252067856</v>
      </c>
      <c r="K34" s="51" t="n">
        <f aca="false">J34*(1+J28)</f>
        <v>5978.70850572115</v>
      </c>
      <c r="L34" s="51" t="n">
        <f aca="false">K34*(1+K28)</f>
        <v>6157.90235705462</v>
      </c>
      <c r="M34" s="51" t="n">
        <f aca="false">L34*(1+L28)</f>
        <v>6311.84991598099</v>
      </c>
    </row>
    <row r="35" customFormat="false" ht="15" hidden="false" customHeight="false" outlineLevel="0" collapsed="false">
      <c r="A35" s="5" t="s">
        <v>251</v>
      </c>
      <c r="C35" s="51" t="n">
        <f aca="false">C34*C32</f>
        <v>3830.86431603045</v>
      </c>
      <c r="D35" s="51" t="n">
        <f aca="false">D34*D32</f>
        <v>3696.23307676475</v>
      </c>
      <c r="E35" s="51" t="n">
        <f aca="false">E34*E32</f>
        <v>3566.33329470843</v>
      </c>
      <c r="F35" s="51" t="n">
        <f aca="false">F34*F32</f>
        <v>3440.99868833985</v>
      </c>
      <c r="G35" s="51" t="n">
        <f aca="false">G34*G32</f>
        <v>3320.06881990669</v>
      </c>
      <c r="H35" s="51" t="n">
        <f aca="false">H34*H32</f>
        <v>3203.38889005352</v>
      </c>
      <c r="I35" s="51" t="n">
        <f aca="false">I34*I32</f>
        <v>3076.17186890014</v>
      </c>
      <c r="J35" s="51" t="n">
        <f aca="false">J34*J32</f>
        <v>2939.9506894763</v>
      </c>
      <c r="K35" s="51" t="n">
        <f aca="false">K34*K32</f>
        <v>2796.32784336859</v>
      </c>
      <c r="L35" s="51" t="n">
        <f aca="false">L34*L32</f>
        <v>2646.94364625497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1" t="n">
        <f aca="false">SUM(C33:L33)</f>
        <v>44128.2886054358</v>
      </c>
    </row>
    <row r="39" customFormat="false" ht="15" hidden="false" customHeight="false" outlineLevel="0" collapsed="false">
      <c r="A39" s="5" t="s">
        <v>254</v>
      </c>
      <c r="B39" s="51" t="n">
        <f aca="false">M29*(1-B20/B12)/(B17-B20)*L32</f>
        <v>85280.1919352406</v>
      </c>
    </row>
    <row r="40" customFormat="false" ht="15" hidden="false" customHeight="false" outlineLevel="0" collapsed="false">
      <c r="A40" s="5" t="s">
        <v>255</v>
      </c>
      <c r="B40" s="55" t="n">
        <f aca="false">B38+B39</f>
        <v>129408.480540676</v>
      </c>
    </row>
    <row r="41" customFormat="false" ht="15" hidden="false" customHeight="false" outlineLevel="0" collapsed="false">
      <c r="A41" s="5" t="s">
        <v>256</v>
      </c>
      <c r="B41" s="51" t="n">
        <f aca="false">SUM(C35:L35)</f>
        <v>32517.2811338037</v>
      </c>
    </row>
    <row r="42" customFormat="false" ht="15" hidden="false" customHeight="false" outlineLevel="0" collapsed="false">
      <c r="A42" s="5" t="s">
        <v>257</v>
      </c>
      <c r="B42" s="51" t="n">
        <f aca="false">M34/(B17-B20)*L32</f>
        <v>42997.1036039832</v>
      </c>
    </row>
    <row r="43" customFormat="false" ht="15" hidden="false" customHeight="false" outlineLevel="0" collapsed="false">
      <c r="A43" s="5" t="s">
        <v>258</v>
      </c>
      <c r="B43" s="55" t="n">
        <f aca="false">IF(B21&gt;0,B41+B42,0)</f>
        <v>75514.3847377869</v>
      </c>
    </row>
    <row r="44" customFormat="false" ht="15" hidden="false" customHeight="false" outlineLevel="0" collapsed="false">
      <c r="A44" s="4" t="s">
        <v>259</v>
      </c>
      <c r="B44" s="56" t="n">
        <f aca="false">IF(B21&gt;0,0.5*B40+0.5*B43,B40)</f>
        <v>102461.432639232</v>
      </c>
      <c r="C44" s="16" t="s">
        <v>260</v>
      </c>
    </row>
    <row r="45" customFormat="false" ht="15" hidden="false" customHeight="false" outlineLevel="0" collapsed="false">
      <c r="A45" s="5" t="s">
        <v>261</v>
      </c>
      <c r="B45" s="51" t="n">
        <f aca="false">B6</f>
        <v>63500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0.613565868334357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0.0781</v>
      </c>
      <c r="C49" s="46" t="n">
        <f aca="false">B17+(0)</f>
        <v>0.0881</v>
      </c>
      <c r="D49" s="46" t="n">
        <f aca="false">B17+(0.01)</f>
        <v>0.0981</v>
      </c>
    </row>
    <row r="50" customFormat="false" ht="15" hidden="false" customHeight="false" outlineLevel="0" collapsed="false">
      <c r="A50" s="5" t="s">
        <v>264</v>
      </c>
      <c r="B50" s="51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123921.384252781</v>
      </c>
      <c r="C50" s="57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102461.432639232</v>
      </c>
      <c r="D50" s="51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86981.3289809011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268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223</v>
      </c>
      <c r="B6" s="49" t="n">
        <v>95200</v>
      </c>
    </row>
    <row r="7" customFormat="false" ht="15" hidden="false" customHeight="false" outlineLevel="0" collapsed="false">
      <c r="A7" s="5" t="s">
        <v>224</v>
      </c>
      <c r="B7" s="50" t="n">
        <v>9.08</v>
      </c>
    </row>
    <row r="8" customFormat="false" ht="15" hidden="false" customHeight="false" outlineLevel="0" collapsed="false">
      <c r="A8" s="5" t="s">
        <v>225</v>
      </c>
      <c r="B8" s="50" t="n">
        <v>9.86</v>
      </c>
    </row>
    <row r="9" customFormat="false" ht="15" hidden="false" customHeight="false" outlineLevel="0" collapsed="false">
      <c r="A9" s="5" t="s">
        <v>226</v>
      </c>
      <c r="B9" s="51" t="n">
        <f aca="false">B6/B7</f>
        <v>10484.5814977974</v>
      </c>
    </row>
    <row r="10" customFormat="false" ht="15" hidden="false" customHeight="false" outlineLevel="0" collapsed="false">
      <c r="A10" s="5" t="s">
        <v>227</v>
      </c>
      <c r="B10" s="30" t="n">
        <v>0.1198</v>
      </c>
      <c r="C10" s="16" t="s">
        <v>228</v>
      </c>
    </row>
    <row r="11" customFormat="false" ht="15" hidden="false" customHeight="false" outlineLevel="0" collapsed="false">
      <c r="A11" s="5" t="s">
        <v>229</v>
      </c>
      <c r="B11" s="30" t="n">
        <v>0.1932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0.1932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0.64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Assumptions!$B$6</f>
        <v>0.0441</v>
      </c>
    </row>
    <row r="16" customFormat="false" ht="15" hidden="false" customHeight="false" outlineLevel="0" collapsed="false">
      <c r="A16" s="5" t="s">
        <v>120</v>
      </c>
      <c r="B16" s="18" t="n">
        <f aca="false">Assumptions!$C$6</f>
        <v>0.055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0.0881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Assumptions!$D$6</f>
        <v>0.025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0.0724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0.025</v>
      </c>
      <c r="C20" s="16" t="s">
        <v>238</v>
      </c>
    </row>
    <row r="21" customFormat="false" ht="15" hidden="false" customHeight="false" outlineLevel="0" collapsed="false">
      <c r="A21" s="5" t="s">
        <v>239</v>
      </c>
      <c r="B21" s="53" t="n">
        <v>-0.20856</v>
      </c>
    </row>
    <row r="22" customFormat="false" ht="15" hidden="false" customHeight="false" outlineLevel="0" collapsed="false">
      <c r="A22" s="5" t="s">
        <v>240</v>
      </c>
      <c r="B22" s="54" t="n">
        <v>6.68</v>
      </c>
    </row>
    <row r="23" customFormat="false" ht="15" hidden="false" customHeight="false" outlineLevel="0" collapsed="false">
      <c r="A23" s="5" t="s">
        <v>241</v>
      </c>
      <c r="B23" s="51" t="n">
        <f aca="false">B21/B22*B6</f>
        <v>-2972.29221556886</v>
      </c>
    </row>
    <row r="24" customFormat="false" ht="15" hidden="false" customHeight="false" outlineLevel="0" collapsed="false">
      <c r="A24" s="5" t="s">
        <v>242</v>
      </c>
      <c r="B24" s="51" t="n">
        <f aca="false">MIN(B23,B9)</f>
        <v>-2972.29221556886</v>
      </c>
      <c r="C24" s="16" t="s">
        <v>243</v>
      </c>
    </row>
    <row r="26" customFormat="false" ht="15" hidden="false" customHeight="false" outlineLevel="0" collapsed="false">
      <c r="A26" s="27" t="s">
        <v>244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0.0724</v>
      </c>
      <c r="D28" s="34" t="n">
        <f aca="false">$B$19</f>
        <v>0.0724</v>
      </c>
      <c r="E28" s="34" t="n">
        <f aca="false">$B$19</f>
        <v>0.0724</v>
      </c>
      <c r="F28" s="34" t="n">
        <f aca="false">$B$19</f>
        <v>0.0724</v>
      </c>
      <c r="G28" s="34" t="n">
        <f aca="false">$B$19</f>
        <v>0.0724</v>
      </c>
      <c r="H28" s="34" t="n">
        <f aca="false">$B$19+($B$20-$B$19)*(H27-5)/5</f>
        <v>0.06292</v>
      </c>
      <c r="I28" s="34" t="n">
        <f aca="false">$B$19+($B$20-$B$19)*(I27-5)/5</f>
        <v>0.05344</v>
      </c>
      <c r="J28" s="34" t="n">
        <f aca="false">$B$19+($B$20-$B$19)*(J27-5)/5</f>
        <v>0.04396</v>
      </c>
      <c r="K28" s="34" t="n">
        <f aca="false">$B$19+($B$20-$B$19)*(K27-5)/5</f>
        <v>0.03448</v>
      </c>
      <c r="L28" s="34" t="n">
        <f aca="false">$B$19+($B$20-$B$19)*(L27-5)/5</f>
        <v>0.025</v>
      </c>
      <c r="M28" s="34" t="n">
        <f aca="false">$B$20</f>
        <v>0.025</v>
      </c>
    </row>
    <row r="29" customFormat="false" ht="15" hidden="false" customHeight="false" outlineLevel="0" collapsed="false">
      <c r="A29" s="5" t="s">
        <v>247</v>
      </c>
      <c r="C29" s="51" t="n">
        <f aca="false">$B$9</f>
        <v>10484.5814977974</v>
      </c>
      <c r="D29" s="51" t="n">
        <f aca="false">C29*(1+C28)</f>
        <v>11243.6651982379</v>
      </c>
      <c r="E29" s="51" t="n">
        <f aca="false">D29*(1+D28)</f>
        <v>12057.7065585903</v>
      </c>
      <c r="F29" s="51" t="n">
        <f aca="false">E29*(1+E28)</f>
        <v>12930.6845134322</v>
      </c>
      <c r="G29" s="51" t="n">
        <f aca="false">F29*(1+F28)</f>
        <v>13866.8660722047</v>
      </c>
      <c r="H29" s="51" t="n">
        <f aca="false">G29*(1+G28)</f>
        <v>14870.8271758324</v>
      </c>
      <c r="I29" s="51" t="n">
        <f aca="false">H29*(1+H28)</f>
        <v>15806.4996217357</v>
      </c>
      <c r="J29" s="51" t="n">
        <f aca="false">I29*(1+I28)</f>
        <v>16651.1989615213</v>
      </c>
      <c r="K29" s="51" t="n">
        <f aca="false">J29*(1+J28)</f>
        <v>17383.1856678698</v>
      </c>
      <c r="L29" s="51" t="n">
        <f aca="false">K29*(1+K28)</f>
        <v>17982.5579096979</v>
      </c>
      <c r="M29" s="51" t="n">
        <f aca="false">L29*(1+L28)</f>
        <v>18432.1218574404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0.625258799171843</v>
      </c>
      <c r="D30" s="38" t="n">
        <f aca="false">1-MAX(D28,0)/$B$12</f>
        <v>0.625258799171843</v>
      </c>
      <c r="E30" s="38" t="n">
        <f aca="false">1-MAX(E28,0)/$B$12</f>
        <v>0.625258799171843</v>
      </c>
      <c r="F30" s="38" t="n">
        <f aca="false">1-MAX(F28,0)/$B$12</f>
        <v>0.625258799171843</v>
      </c>
      <c r="G30" s="38" t="n">
        <f aca="false">1-MAX(G28,0)/$B$12</f>
        <v>0.625258799171843</v>
      </c>
      <c r="H30" s="38" t="n">
        <f aca="false">1-MAX(H28,0)/$B$12</f>
        <v>0.674327122153209</v>
      </c>
      <c r="I30" s="38" t="n">
        <f aca="false">1-MAX(I28,0)/$B$12</f>
        <v>0.723395445134576</v>
      </c>
      <c r="J30" s="38" t="n">
        <f aca="false">1-MAX(J28,0)/$B$12</f>
        <v>0.772463768115942</v>
      </c>
      <c r="K30" s="38" t="n">
        <f aca="false">1-MAX(K28,0)/$B$12</f>
        <v>0.821532091097309</v>
      </c>
      <c r="L30" s="38" t="n">
        <f aca="false">1-MAX(L28,0)/$B$12</f>
        <v>0.870600414078675</v>
      </c>
    </row>
    <row r="31" customFormat="false" ht="15" hidden="false" customHeight="false" outlineLevel="0" collapsed="false">
      <c r="A31" s="5" t="s">
        <v>249</v>
      </c>
      <c r="C31" s="51" t="n">
        <f aca="false">C29*C30</f>
        <v>6555.57683713209</v>
      </c>
      <c r="D31" s="51" t="n">
        <f aca="false">D29*D30</f>
        <v>7030.20060014046</v>
      </c>
      <c r="E31" s="51" t="n">
        <f aca="false">E29*E30</f>
        <v>7539.18712359063</v>
      </c>
      <c r="F31" s="51" t="n">
        <f aca="false">F29*F30</f>
        <v>8085.02427133859</v>
      </c>
      <c r="G31" s="51" t="n">
        <f aca="false">G29*G30</f>
        <v>8670.3800285835</v>
      </c>
      <c r="H31" s="51" t="n">
        <f aca="false">H29*H30</f>
        <v>10027.8020935168</v>
      </c>
      <c r="I31" s="51" t="n">
        <f aca="false">I29*I30</f>
        <v>11434.349829885</v>
      </c>
      <c r="J31" s="51" t="n">
        <f aca="false">J29*J30</f>
        <v>12862.447893465</v>
      </c>
      <c r="K31" s="51" t="n">
        <f aca="false">K29*K30</f>
        <v>14280.8448716578</v>
      </c>
      <c r="L31" s="51" t="n">
        <f aca="false">L29*L30</f>
        <v>15655.6223623768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0.919033177097693</v>
      </c>
      <c r="D32" s="40" t="n">
        <f aca="false">1/(1+$B$17)^D27</f>
        <v>0.84462198060628</v>
      </c>
      <c r="E32" s="40" t="n">
        <f aca="false">1/(1+$B$17)^E27</f>
        <v>0.776235622283136</v>
      </c>
      <c r="F32" s="40" t="n">
        <f aca="false">1/(1+$B$17)^F27</f>
        <v>0.713386290123275</v>
      </c>
      <c r="G32" s="40" t="n">
        <f aca="false">1/(1+$B$17)^G27</f>
        <v>0.65562566870993</v>
      </c>
      <c r="H32" s="40" t="n">
        <f aca="false">1/(1+$B$17)^H27</f>
        <v>0.602541741301287</v>
      </c>
      <c r="I32" s="40" t="n">
        <f aca="false">1/(1+$B$17)^I27</f>
        <v>0.553755850842098</v>
      </c>
      <c r="J32" s="40" t="n">
        <f aca="false">1/(1+$B$17)^J27</f>
        <v>0.50891999893585</v>
      </c>
      <c r="K32" s="40" t="n">
        <f aca="false">1/(1+$B$17)^K27</f>
        <v>0.467714363510568</v>
      </c>
      <c r="L32" s="40" t="n">
        <f aca="false">1/(1+$B$17)^L27</f>
        <v>0.429845017471343</v>
      </c>
    </row>
    <row r="33" customFormat="false" ht="15" hidden="false" customHeight="false" outlineLevel="0" collapsed="false">
      <c r="A33" s="5" t="s">
        <v>250</v>
      </c>
      <c r="C33" s="51" t="n">
        <f aca="false">C31*C32</f>
        <v>6024.79260833756</v>
      </c>
      <c r="D33" s="51" t="n">
        <f aca="false">D31*D32</f>
        <v>5937.86195495009</v>
      </c>
      <c r="E33" s="51" t="n">
        <f aca="false">E31*E32</f>
        <v>5852.18560838937</v>
      </c>
      <c r="F33" s="51" t="n">
        <f aca="false">F31*F32</f>
        <v>5767.74547048687</v>
      </c>
      <c r="G33" s="51" t="n">
        <f aca="false">G31*G32</f>
        <v>5684.52370420928</v>
      </c>
      <c r="H33" s="51" t="n">
        <f aca="false">H31*H32</f>
        <v>6042.16933485229</v>
      </c>
      <c r="I33" s="51" t="n">
        <f aca="false">I31*I32</f>
        <v>6331.83811887418</v>
      </c>
      <c r="J33" s="51" t="n">
        <f aca="false">J31*J32</f>
        <v>6545.95696825463</v>
      </c>
      <c r="K33" s="51" t="n">
        <f aca="false">K31*K32</f>
        <v>6679.3562695406</v>
      </c>
      <c r="L33" s="51" t="n">
        <f aca="false">L31*L32</f>
        <v>6729.49126788059</v>
      </c>
    </row>
    <row r="34" customFormat="false" ht="15" hidden="false" customHeight="false" outlineLevel="0" collapsed="false">
      <c r="A34" s="5" t="s">
        <v>241</v>
      </c>
      <c r="C34" s="51" t="n">
        <f aca="false">$B$24*(1+$B$19)</f>
        <v>-3187.48617197605</v>
      </c>
      <c r="D34" s="51" t="n">
        <f aca="false">C34*(1+C28)</f>
        <v>-3418.26017082711</v>
      </c>
      <c r="E34" s="51" t="n">
        <f aca="false">D34*(1+D28)</f>
        <v>-3665.742207195</v>
      </c>
      <c r="F34" s="51" t="n">
        <f aca="false">E34*(1+E28)</f>
        <v>-3931.14194299592</v>
      </c>
      <c r="G34" s="51" t="n">
        <f aca="false">F34*(1+F28)</f>
        <v>-4215.75661966882</v>
      </c>
      <c r="H34" s="51" t="n">
        <f aca="false">G34*(1+G28)</f>
        <v>-4520.97739893284</v>
      </c>
      <c r="I34" s="51" t="n">
        <f aca="false">H34*(1+H28)</f>
        <v>-4805.4372968737</v>
      </c>
      <c r="J34" s="51" t="n">
        <f aca="false">I34*(1+I28)</f>
        <v>-5062.23986601863</v>
      </c>
      <c r="K34" s="51" t="n">
        <f aca="false">J34*(1+J28)</f>
        <v>-5284.77593052881</v>
      </c>
      <c r="L34" s="51" t="n">
        <f aca="false">K34*(1+K28)</f>
        <v>-5466.99500461344</v>
      </c>
      <c r="M34" s="51" t="n">
        <f aca="false">L34*(1+L28)</f>
        <v>-5603.66987972878</v>
      </c>
    </row>
    <row r="35" customFormat="false" ht="15" hidden="false" customHeight="false" outlineLevel="0" collapsed="false">
      <c r="A35" s="5" t="s">
        <v>251</v>
      </c>
      <c r="C35" s="51" t="n">
        <f aca="false">C34*C32</f>
        <v>-2929.40554358611</v>
      </c>
      <c r="D35" s="51" t="n">
        <f aca="false">D34*D32</f>
        <v>-2887.13767571156</v>
      </c>
      <c r="E35" s="51" t="n">
        <f aca="false">E34*E32</f>
        <v>-2845.47968333156</v>
      </c>
      <c r="F35" s="51" t="n">
        <f aca="false">F34*F32</f>
        <v>-2804.42276666186</v>
      </c>
      <c r="G35" s="51" t="n">
        <f aca="false">G34*G32</f>
        <v>-2763.95825288869</v>
      </c>
      <c r="H35" s="51" t="n">
        <f aca="false">H34*H32</f>
        <v>-2724.07759433676</v>
      </c>
      <c r="I35" s="51" t="n">
        <f aca="false">I34*I32</f>
        <v>-2661.03901899865</v>
      </c>
      <c r="J35" s="51" t="n">
        <f aca="false">J34*J32</f>
        <v>-2576.27510722722</v>
      </c>
      <c r="K35" s="51" t="n">
        <f aca="false">K34*K32</f>
        <v>-2471.76561064325</v>
      </c>
      <c r="L35" s="51" t="n">
        <f aca="false">L34*L32</f>
        <v>-2349.96056327381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1" t="n">
        <f aca="false">SUM(C33:L33)</f>
        <v>61595.9213057755</v>
      </c>
    </row>
    <row r="39" customFormat="false" ht="15" hidden="false" customHeight="false" outlineLevel="0" collapsed="false">
      <c r="A39" s="5" t="s">
        <v>254</v>
      </c>
      <c r="B39" s="51" t="n">
        <f aca="false">M29*(1-B20/B12)/(B17-B20)*L32</f>
        <v>109314.240088393</v>
      </c>
    </row>
    <row r="40" customFormat="false" ht="15" hidden="false" customHeight="false" outlineLevel="0" collapsed="false">
      <c r="A40" s="5" t="s">
        <v>255</v>
      </c>
      <c r="B40" s="55" t="n">
        <f aca="false">B38+B39</f>
        <v>170910.161394169</v>
      </c>
    </row>
    <row r="41" customFormat="false" ht="15" hidden="false" customHeight="false" outlineLevel="0" collapsed="false">
      <c r="A41" s="5" t="s">
        <v>256</v>
      </c>
      <c r="B41" s="51" t="n">
        <f aca="false">SUM(C35:L35)</f>
        <v>-27013.5218166595</v>
      </c>
    </row>
    <row r="42" customFormat="false" ht="15" hidden="false" customHeight="false" outlineLevel="0" collapsed="false">
      <c r="A42" s="5" t="s">
        <v>257</v>
      </c>
      <c r="B42" s="51" t="n">
        <f aca="false">M34/(B17-B20)*L32</f>
        <v>-38172.89346047</v>
      </c>
    </row>
    <row r="43" customFormat="false" ht="15" hidden="false" customHeight="false" outlineLevel="0" collapsed="false">
      <c r="A43" s="5" t="s">
        <v>258</v>
      </c>
      <c r="B43" s="55" t="n">
        <f aca="false">IF(B21&gt;0,B41+B42,0)</f>
        <v>0</v>
      </c>
    </row>
    <row r="44" customFormat="false" ht="15" hidden="false" customHeight="false" outlineLevel="0" collapsed="false">
      <c r="A44" s="4" t="s">
        <v>259</v>
      </c>
      <c r="B44" s="56" t="n">
        <f aca="false">IF(B21&gt;0,0.5*B40+0.5*B43,B40)</f>
        <v>170910.161394169</v>
      </c>
      <c r="C44" s="16" t="s">
        <v>269</v>
      </c>
    </row>
    <row r="45" customFormat="false" ht="15" hidden="false" customHeight="false" outlineLevel="0" collapsed="false">
      <c r="A45" s="5" t="s">
        <v>261</v>
      </c>
      <c r="B45" s="51" t="n">
        <f aca="false">B6</f>
        <v>95200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0.795274804560594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0.0781</v>
      </c>
      <c r="C49" s="46" t="n">
        <f aca="false">B17+(0)</f>
        <v>0.0881</v>
      </c>
      <c r="D49" s="46" t="n">
        <f aca="false">B17+(0.01)</f>
        <v>0.0981</v>
      </c>
    </row>
    <row r="50" customFormat="false" ht="15" hidden="false" customHeight="false" outlineLevel="0" collapsed="false">
      <c r="A50" s="5" t="s">
        <v>264</v>
      </c>
      <c r="B50" s="51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207376.089065384</v>
      </c>
      <c r="C50" s="57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170910.161394169</v>
      </c>
      <c r="D50" s="51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144630.730185414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0"/>
  <sheetViews>
    <sheetView showFormulas="false" showGridLines="fals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15" min="3" style="0" width="12"/>
  </cols>
  <sheetData>
    <row r="1" customFormat="false" ht="18" hidden="false" customHeight="true" outlineLevel="0" collapsed="false">
      <c r="A1" s="1" t="s">
        <v>270</v>
      </c>
    </row>
    <row r="2" customFormat="false" ht="15" hidden="false" customHeight="false" outlineLevel="0" collapsed="false">
      <c r="A2" s="16" t="s">
        <v>221</v>
      </c>
    </row>
    <row r="3" customFormat="false" ht="15" hidden="false" customHeight="false" outlineLevel="0" collapsed="false">
      <c r="A3" s="16" t="s">
        <v>222</v>
      </c>
    </row>
    <row r="5" customFormat="false" ht="15" hidden="false" customHeight="false" outlineLevel="0" collapsed="false">
      <c r="A5" s="27" t="s">
        <v>136</v>
      </c>
    </row>
    <row r="6" customFormat="false" ht="15" hidden="false" customHeight="false" outlineLevel="0" collapsed="false">
      <c r="A6" s="5" t="s">
        <v>271</v>
      </c>
      <c r="B6" s="58" t="n">
        <v>2399</v>
      </c>
    </row>
    <row r="7" customFormat="false" ht="15" hidden="false" customHeight="false" outlineLevel="0" collapsed="false">
      <c r="A7" s="5" t="s">
        <v>224</v>
      </c>
      <c r="B7" s="50" t="n">
        <v>11.56</v>
      </c>
    </row>
    <row r="8" customFormat="false" ht="15" hidden="false" customHeight="false" outlineLevel="0" collapsed="false">
      <c r="A8" s="5" t="s">
        <v>225</v>
      </c>
      <c r="B8" s="50" t="n">
        <v>11.82</v>
      </c>
    </row>
    <row r="9" customFormat="false" ht="15" hidden="false" customHeight="false" outlineLevel="0" collapsed="false">
      <c r="A9" s="5" t="s">
        <v>226</v>
      </c>
      <c r="B9" s="59" t="n">
        <f aca="false">B6/B7</f>
        <v>207.525951557093</v>
      </c>
    </row>
    <row r="10" customFormat="false" ht="15" hidden="false" customHeight="false" outlineLevel="0" collapsed="false">
      <c r="A10" s="5" t="s">
        <v>272</v>
      </c>
      <c r="B10" s="38" t="n">
        <f aca="false">MIN(B8/B7-1,0.08)</f>
        <v>0.0224913494809689</v>
      </c>
      <c r="C10" s="16" t="s">
        <v>273</v>
      </c>
    </row>
    <row r="11" customFormat="false" ht="15" hidden="false" customHeight="false" outlineLevel="0" collapsed="false">
      <c r="A11" s="5" t="s">
        <v>229</v>
      </c>
      <c r="B11" s="30" t="n">
        <v>0.213</v>
      </c>
    </row>
    <row r="12" customFormat="false" ht="15" hidden="false" customHeight="false" outlineLevel="0" collapsed="false">
      <c r="A12" s="5" t="s">
        <v>230</v>
      </c>
      <c r="B12" s="38" t="n">
        <f aca="false">MAX(Assumptions!$B$12,MIN(Assumptions!$C$12,B11))</f>
        <v>0.213</v>
      </c>
      <c r="C12" s="16" t="s">
        <v>231</v>
      </c>
    </row>
    <row r="13" customFormat="false" ht="15" hidden="false" customHeight="false" outlineLevel="0" collapsed="false">
      <c r="A13" s="5" t="s">
        <v>232</v>
      </c>
      <c r="B13" s="29" t="n">
        <v>0.09</v>
      </c>
    </row>
    <row r="14" customFormat="false" ht="15" hidden="false" customHeight="false" outlineLevel="0" collapsed="false">
      <c r="A14" s="5" t="s">
        <v>233</v>
      </c>
      <c r="B14" s="52" t="n">
        <f aca="false">MAX(Assumptions!$B$9,MIN(Assumptions!$C$9,B13))</f>
        <v>0.8</v>
      </c>
      <c r="C14" s="16" t="s">
        <v>234</v>
      </c>
    </row>
    <row r="15" customFormat="false" ht="15" hidden="false" customHeight="false" outlineLevel="0" collapsed="false">
      <c r="A15" s="5" t="s">
        <v>119</v>
      </c>
      <c r="B15" s="18" t="n">
        <f aca="false">Assumptions!$B$7</f>
        <v>0.0307</v>
      </c>
    </row>
    <row r="16" customFormat="false" ht="15" hidden="false" customHeight="false" outlineLevel="0" collapsed="false">
      <c r="A16" s="5" t="s">
        <v>120</v>
      </c>
      <c r="B16" s="18" t="n">
        <f aca="false">Assumptions!$C$7</f>
        <v>0.05</v>
      </c>
    </row>
    <row r="17" customFormat="false" ht="15" hidden="false" customHeight="false" outlineLevel="0" collapsed="false">
      <c r="A17" s="5" t="s">
        <v>83</v>
      </c>
      <c r="B17" s="34" t="n">
        <f aca="false">B15+B14*B16</f>
        <v>0.0707</v>
      </c>
      <c r="C17" s="16" t="s">
        <v>139</v>
      </c>
    </row>
    <row r="18" customFormat="false" ht="15" hidden="false" customHeight="false" outlineLevel="0" collapsed="false">
      <c r="A18" s="5" t="s">
        <v>235</v>
      </c>
      <c r="B18" s="18" t="n">
        <f aca="false">Assumptions!$D$7</f>
        <v>0.015</v>
      </c>
    </row>
    <row r="19" customFormat="false" ht="15" hidden="false" customHeight="false" outlineLevel="0" collapsed="false">
      <c r="A19" s="5" t="s">
        <v>191</v>
      </c>
      <c r="B19" s="34" t="n">
        <f aca="false">MAX(Assumptions!$B$11,MIN(0.5*B10+0.5*B18,Assumptions!$B$10,Assumptions!$C$10*B12))</f>
        <v>0.0187456747404844</v>
      </c>
      <c r="C19" s="16" t="s">
        <v>236</v>
      </c>
    </row>
    <row r="20" customFormat="false" ht="15" hidden="false" customHeight="false" outlineLevel="0" collapsed="false">
      <c r="A20" s="5" t="s">
        <v>237</v>
      </c>
      <c r="B20" s="34" t="n">
        <f aca="false">MIN(B18,MAX(B19,0))</f>
        <v>0.015</v>
      </c>
      <c r="C20" s="16" t="s">
        <v>238</v>
      </c>
    </row>
    <row r="21" customFormat="false" ht="15" hidden="false" customHeight="false" outlineLevel="0" collapsed="false">
      <c r="A21" s="5" t="s">
        <v>274</v>
      </c>
      <c r="B21" s="53" t="n">
        <v>0.5343</v>
      </c>
    </row>
    <row r="22" customFormat="false" ht="15" hidden="false" customHeight="false" outlineLevel="0" collapsed="false">
      <c r="A22" s="5" t="s">
        <v>275</v>
      </c>
      <c r="B22" s="54" t="n">
        <v>4.3</v>
      </c>
    </row>
    <row r="23" customFormat="false" ht="15" hidden="false" customHeight="false" outlineLevel="0" collapsed="false">
      <c r="A23" s="5" t="s">
        <v>241</v>
      </c>
      <c r="B23" s="59" t="n">
        <f aca="false">B21/B22*B6</f>
        <v>298.089697674419</v>
      </c>
    </row>
    <row r="24" customFormat="false" ht="15" hidden="false" customHeight="false" outlineLevel="0" collapsed="false">
      <c r="A24" s="5" t="s">
        <v>242</v>
      </c>
      <c r="B24" s="59" t="n">
        <f aca="false">MIN(B23,B9)</f>
        <v>207.525951557093</v>
      </c>
      <c r="C24" s="16" t="s">
        <v>243</v>
      </c>
    </row>
    <row r="26" customFormat="false" ht="15" hidden="false" customHeight="false" outlineLevel="0" collapsed="false">
      <c r="A26" s="27" t="s">
        <v>276</v>
      </c>
      <c r="M26" s="16" t="s">
        <v>245</v>
      </c>
    </row>
    <row r="27" customFormat="false" ht="15" hidden="false" customHeight="false" outlineLevel="0" collapsed="false">
      <c r="A27" s="4" t="s">
        <v>157</v>
      </c>
      <c r="C27" s="37" t="n">
        <v>1</v>
      </c>
      <c r="D27" s="37" t="n">
        <v>2</v>
      </c>
      <c r="E27" s="37" t="n">
        <v>3</v>
      </c>
      <c r="F27" s="37" t="n">
        <v>4</v>
      </c>
      <c r="G27" s="37" t="n">
        <v>5</v>
      </c>
      <c r="H27" s="37" t="n">
        <v>6</v>
      </c>
      <c r="I27" s="37" t="n">
        <v>7</v>
      </c>
      <c r="J27" s="37" t="n">
        <v>8</v>
      </c>
      <c r="K27" s="37" t="n">
        <v>9</v>
      </c>
      <c r="L27" s="37" t="n">
        <v>10</v>
      </c>
      <c r="M27" s="37" t="n">
        <v>11</v>
      </c>
    </row>
    <row r="28" customFormat="false" ht="15" hidden="false" customHeight="false" outlineLevel="0" collapsed="false">
      <c r="A28" s="5" t="s">
        <v>246</v>
      </c>
      <c r="C28" s="34" t="n">
        <f aca="false">$B$19</f>
        <v>0.0187456747404844</v>
      </c>
      <c r="D28" s="34" t="n">
        <f aca="false">$B$19</f>
        <v>0.0187456747404844</v>
      </c>
      <c r="E28" s="34" t="n">
        <f aca="false">$B$19</f>
        <v>0.0187456747404844</v>
      </c>
      <c r="F28" s="34" t="n">
        <f aca="false">$B$19</f>
        <v>0.0187456747404844</v>
      </c>
      <c r="G28" s="34" t="n">
        <f aca="false">$B$19</f>
        <v>0.0187456747404844</v>
      </c>
      <c r="H28" s="34" t="n">
        <f aca="false">$B$19+($B$20-$B$19)*(H27-5)/5</f>
        <v>0.0179965397923875</v>
      </c>
      <c r="I28" s="34" t="n">
        <f aca="false">$B$19+($B$20-$B$19)*(I27-5)/5</f>
        <v>0.0172474048442907</v>
      </c>
      <c r="J28" s="34" t="n">
        <f aca="false">$B$19+($B$20-$B$19)*(J27-5)/5</f>
        <v>0.0164982698961938</v>
      </c>
      <c r="K28" s="34" t="n">
        <f aca="false">$B$19+($B$20-$B$19)*(K27-5)/5</f>
        <v>0.0157491349480969</v>
      </c>
      <c r="L28" s="34" t="n">
        <f aca="false">$B$19+($B$20-$B$19)*(L27-5)/5</f>
        <v>0.015</v>
      </c>
      <c r="M28" s="34" t="n">
        <f aca="false">$B$20</f>
        <v>0.015</v>
      </c>
    </row>
    <row r="29" customFormat="false" ht="15" hidden="false" customHeight="false" outlineLevel="0" collapsed="false">
      <c r="A29" s="5" t="s">
        <v>247</v>
      </c>
      <c r="C29" s="59" t="n">
        <f aca="false">$B$9</f>
        <v>207.525951557093</v>
      </c>
      <c r="D29" s="59" t="n">
        <f aca="false">C29*(1+C28)</f>
        <v>211.416165545192</v>
      </c>
      <c r="E29" s="59" t="n">
        <f aca="false">D29*(1+D28)</f>
        <v>215.379304219383</v>
      </c>
      <c r="F29" s="59" t="n">
        <f aca="false">E29*(1+E28)</f>
        <v>219.416734602111</v>
      </c>
      <c r="G29" s="59" t="n">
        <f aca="false">F29*(1+F28)</f>
        <v>223.529849341582</v>
      </c>
      <c r="H29" s="59" t="n">
        <f aca="false">G29*(1+G28)</f>
        <v>227.720067192128</v>
      </c>
      <c r="I29" s="59" t="n">
        <f aca="false">H29*(1+H28)</f>
        <v>231.818240442877</v>
      </c>
      <c r="J29" s="59" t="n">
        <f aca="false">I29*(1+I28)</f>
        <v>235.816503486086</v>
      </c>
      <c r="K29" s="59" t="n">
        <f aca="false">J29*(1+J28)</f>
        <v>239.707067806576</v>
      </c>
      <c r="L29" s="59" t="n">
        <f aca="false">K29*(1+K28)</f>
        <v>243.482246765475</v>
      </c>
      <c r="M29" s="59" t="n">
        <f aca="false">L29*(1+L28)</f>
        <v>247.134480466957</v>
      </c>
    </row>
    <row r="30" customFormat="false" ht="15" hidden="false" customHeight="false" outlineLevel="0" collapsed="false">
      <c r="A30" s="5" t="s">
        <v>248</v>
      </c>
      <c r="C30" s="38" t="n">
        <f aca="false">1-MAX(C28,0)/$B$12</f>
        <v>0.911992137368618</v>
      </c>
      <c r="D30" s="38" t="n">
        <f aca="false">1-MAX(D28,0)/$B$12</f>
        <v>0.911992137368618</v>
      </c>
      <c r="E30" s="38" t="n">
        <f aca="false">1-MAX(E28,0)/$B$12</f>
        <v>0.911992137368618</v>
      </c>
      <c r="F30" s="38" t="n">
        <f aca="false">1-MAX(F28,0)/$B$12</f>
        <v>0.911992137368618</v>
      </c>
      <c r="G30" s="38" t="n">
        <f aca="false">1-MAX(G28,0)/$B$12</f>
        <v>0.911992137368618</v>
      </c>
      <c r="H30" s="38" t="n">
        <f aca="false">1-MAX(H28,0)/$B$12</f>
        <v>0.915509202852641</v>
      </c>
      <c r="I30" s="38" t="n">
        <f aca="false">1-MAX(I28,0)/$B$12</f>
        <v>0.919026268336664</v>
      </c>
      <c r="J30" s="38" t="n">
        <f aca="false">1-MAX(J28,0)/$B$12</f>
        <v>0.922543333820687</v>
      </c>
      <c r="K30" s="38" t="n">
        <f aca="false">1-MAX(K28,0)/$B$12</f>
        <v>0.926060399304709</v>
      </c>
      <c r="L30" s="38" t="n">
        <f aca="false">1-MAX(L28,0)/$B$12</f>
        <v>0.929577464788732</v>
      </c>
    </row>
    <row r="31" customFormat="false" ht="15" hidden="false" customHeight="false" outlineLevel="0" collapsed="false">
      <c r="A31" s="5" t="s">
        <v>249</v>
      </c>
      <c r="C31" s="59" t="n">
        <f aca="false">C29*C30</f>
        <v>189.26203612001</v>
      </c>
      <c r="D31" s="59" t="n">
        <f aca="false">D29*D30</f>
        <v>192.809880689837</v>
      </c>
      <c r="E31" s="59" t="n">
        <f aca="false">E29*E30</f>
        <v>196.424232000001</v>
      </c>
      <c r="F31" s="59" t="n">
        <f aca="false">F29*F30</f>
        <v>200.106336764222</v>
      </c>
      <c r="G31" s="59" t="n">
        <f aca="false">G29*G30</f>
        <v>203.857465066714</v>
      </c>
      <c r="H31" s="59" t="n">
        <f aca="false">H29*H30</f>
        <v>208.479817188615</v>
      </c>
      <c r="I31" s="59" t="n">
        <f aca="false">I29*I30</f>
        <v>213.047052446588</v>
      </c>
      <c r="J31" s="59" t="n">
        <f aca="false">J29*J30</f>
        <v>217.550943295991</v>
      </c>
      <c r="K31" s="59" t="n">
        <f aca="false">K29*K30</f>
        <v>221.983222929119</v>
      </c>
      <c r="L31" s="59" t="n">
        <f aca="false">L29*L30</f>
        <v>226.335609669314</v>
      </c>
    </row>
    <row r="32" customFormat="false" ht="15" hidden="false" customHeight="false" outlineLevel="0" collapsed="false">
      <c r="A32" s="5" t="s">
        <v>162</v>
      </c>
      <c r="C32" s="40" t="n">
        <f aca="false">1/(1+$B$17)^C27</f>
        <v>0.933968431867003</v>
      </c>
      <c r="D32" s="40" t="n">
        <f aca="false">1/(1+$B$17)^D27</f>
        <v>0.872297031724108</v>
      </c>
      <c r="E32" s="40" t="n">
        <f aca="false">1/(1+$B$17)^E27</f>
        <v>0.814697890841607</v>
      </c>
      <c r="F32" s="40" t="n">
        <f aca="false">1/(1+$B$17)^F27</f>
        <v>0.76090211155469</v>
      </c>
      <c r="G32" s="40" t="n">
        <f aca="false">1/(1+$B$17)^G27</f>
        <v>0.710658551933025</v>
      </c>
      <c r="H32" s="40" t="n">
        <f aca="false">1/(1+$B$17)^H27</f>
        <v>0.663732653341763</v>
      </c>
      <c r="I32" s="40" t="n">
        <f aca="false">1/(1+$B$17)^I27</f>
        <v>0.619905345420531</v>
      </c>
      <c r="J32" s="40" t="n">
        <f aca="false">1/(1+$B$17)^J27</f>
        <v>0.578972023368386</v>
      </c>
      <c r="K32" s="40" t="n">
        <f aca="false">1/(1+$B$17)^K27</f>
        <v>0.540741592760238</v>
      </c>
      <c r="L32" s="40" t="n">
        <f aca="false">1/(1+$B$17)^L27</f>
        <v>0.505035577435545</v>
      </c>
    </row>
    <row r="33" customFormat="false" ht="15" hidden="false" customHeight="false" outlineLevel="0" collapsed="false">
      <c r="A33" s="5" t="s">
        <v>250</v>
      </c>
      <c r="C33" s="59" t="n">
        <f aca="false">C31*C32</f>
        <v>176.764767086962</v>
      </c>
      <c r="D33" s="59" t="n">
        <f aca="false">D31*D32</f>
        <v>168.187486612825</v>
      </c>
      <c r="E33" s="59" t="n">
        <f aca="false">E31*E32</f>
        <v>160.026407520583</v>
      </c>
      <c r="F33" s="59" t="n">
        <f aca="false">F31*F32</f>
        <v>152.261334179371</v>
      </c>
      <c r="G33" s="59" t="n">
        <f aca="false">G31*G32</f>
        <v>144.873050925048</v>
      </c>
      <c r="H33" s="59" t="n">
        <f aca="false">H31*H32</f>
        <v>138.374862230805</v>
      </c>
      <c r="I33" s="59" t="n">
        <f aca="false">I31*I32</f>
        <v>132.069006637728</v>
      </c>
      <c r="J33" s="59" t="n">
        <f aca="false">J31*J32</f>
        <v>125.955909825781</v>
      </c>
      <c r="K33" s="59" t="n">
        <f aca="false">K31*K32</f>
        <v>120.035561532743</v>
      </c>
      <c r="L33" s="59" t="n">
        <f aca="false">L31*L32</f>
        <v>114.307535323568</v>
      </c>
    </row>
    <row r="34" customFormat="false" ht="15" hidden="false" customHeight="false" outlineLevel="0" collapsed="false">
      <c r="A34" s="5" t="s">
        <v>241</v>
      </c>
      <c r="C34" s="59" t="n">
        <f aca="false">$B$24*(1+$B$19)</f>
        <v>211.416165545192</v>
      </c>
      <c r="D34" s="59" t="n">
        <f aca="false">C34*(1+C28)</f>
        <v>215.379304219383</v>
      </c>
      <c r="E34" s="59" t="n">
        <f aca="false">D34*(1+D28)</f>
        <v>219.416734602111</v>
      </c>
      <c r="F34" s="59" t="n">
        <f aca="false">E34*(1+E28)</f>
        <v>223.529849341582</v>
      </c>
      <c r="G34" s="59" t="n">
        <f aca="false">F34*(1+F28)</f>
        <v>227.720067192128</v>
      </c>
      <c r="H34" s="59" t="n">
        <f aca="false">G34*(1+G28)</f>
        <v>231.988833503593</v>
      </c>
      <c r="I34" s="59" t="n">
        <f aca="false">H34*(1+H28)</f>
        <v>236.16382977713</v>
      </c>
      <c r="J34" s="59" t="n">
        <f aca="false">I34*(1+I28)</f>
        <v>240.237042958875</v>
      </c>
      <c r="K34" s="59" t="n">
        <f aca="false">J34*(1+J28)</f>
        <v>244.200538532674</v>
      </c>
      <c r="L34" s="59" t="n">
        <f aca="false">K34*(1+K28)</f>
        <v>248.046485768423</v>
      </c>
      <c r="M34" s="59" t="n">
        <f aca="false">L34*(1+L28)</f>
        <v>251.767183054949</v>
      </c>
    </row>
    <row r="35" customFormat="false" ht="15" hidden="false" customHeight="false" outlineLevel="0" collapsed="false">
      <c r="A35" s="5" t="s">
        <v>251</v>
      </c>
      <c r="C35" s="59" t="n">
        <f aca="false">C34*C32</f>
        <v>197.456024605578</v>
      </c>
      <c r="D35" s="59" t="n">
        <f aca="false">D34*D32</f>
        <v>187.874727765371</v>
      </c>
      <c r="E35" s="59" t="n">
        <f aca="false">E34*E32</f>
        <v>178.758350895693</v>
      </c>
      <c r="F35" s="59" t="n">
        <f aca="false">F34*F32</f>
        <v>170.084334359511</v>
      </c>
      <c r="G35" s="59" t="n">
        <f aca="false">G34*G32</f>
        <v>161.831213196849</v>
      </c>
      <c r="H35" s="59" t="n">
        <f aca="false">H34*H32</f>
        <v>153.978564007</v>
      </c>
      <c r="I35" s="59" t="n">
        <f aca="false">I34*I32</f>
        <v>146.399220473827</v>
      </c>
      <c r="J35" s="59" t="n">
        <f aca="false">J34*J32</f>
        <v>139.090526849938</v>
      </c>
      <c r="K35" s="59" t="n">
        <f aca="false">K34*K32</f>
        <v>132.049388159066</v>
      </c>
      <c r="L35" s="59" t="n">
        <f aca="false">L34*L32</f>
        <v>125.272300170913</v>
      </c>
    </row>
    <row r="37" customFormat="false" ht="15" hidden="false" customHeight="false" outlineLevel="0" collapsed="false">
      <c r="A37" s="27" t="s">
        <v>252</v>
      </c>
    </row>
    <row r="38" customFormat="false" ht="15" hidden="false" customHeight="false" outlineLevel="0" collapsed="false">
      <c r="A38" s="5" t="s">
        <v>253</v>
      </c>
      <c r="B38" s="59" t="n">
        <f aca="false">SUM(C33:L33)</f>
        <v>1432.85592187541</v>
      </c>
    </row>
    <row r="39" customFormat="false" ht="15" hidden="false" customHeight="false" outlineLevel="0" collapsed="false">
      <c r="A39" s="5" t="s">
        <v>254</v>
      </c>
      <c r="B39" s="59" t="n">
        <f aca="false">M29*(1-B20/B12)/(B17-B20)*L32</f>
        <v>2082.98291478315</v>
      </c>
    </row>
    <row r="40" customFormat="false" ht="15" hidden="false" customHeight="false" outlineLevel="0" collapsed="false">
      <c r="A40" s="5" t="s">
        <v>255</v>
      </c>
      <c r="B40" s="60" t="n">
        <f aca="false">B38+B39</f>
        <v>3515.83883665857</v>
      </c>
    </row>
    <row r="41" customFormat="false" ht="15" hidden="false" customHeight="false" outlineLevel="0" collapsed="false">
      <c r="A41" s="5" t="s">
        <v>256</v>
      </c>
      <c r="B41" s="59" t="n">
        <f aca="false">SUM(C35:L35)</f>
        <v>1592.79465048375</v>
      </c>
    </row>
    <row r="42" customFormat="false" ht="15" hidden="false" customHeight="false" outlineLevel="0" collapsed="false">
      <c r="A42" s="5" t="s">
        <v>257</v>
      </c>
      <c r="B42" s="59" t="n">
        <f aca="false">M34/(B17-B20)*L32</f>
        <v>2282.78967097803</v>
      </c>
    </row>
    <row r="43" customFormat="false" ht="15" hidden="false" customHeight="false" outlineLevel="0" collapsed="false">
      <c r="A43" s="5" t="s">
        <v>258</v>
      </c>
      <c r="B43" s="60" t="n">
        <f aca="false">IF(B21&gt;0,B41+B42,0)</f>
        <v>3875.58432146178</v>
      </c>
    </row>
    <row r="44" customFormat="false" ht="15" hidden="false" customHeight="false" outlineLevel="0" collapsed="false">
      <c r="A44" s="4" t="s">
        <v>259</v>
      </c>
      <c r="B44" s="61" t="n">
        <f aca="false">IF(B21&gt;0,0.5*B40+0.5*B43,B40)</f>
        <v>3695.71157906017</v>
      </c>
      <c r="C44" s="16" t="s">
        <v>260</v>
      </c>
    </row>
    <row r="45" customFormat="false" ht="15" hidden="false" customHeight="false" outlineLevel="0" collapsed="false">
      <c r="A45" s="5" t="s">
        <v>261</v>
      </c>
      <c r="B45" s="59" t="n">
        <f aca="false">B6</f>
        <v>2399</v>
      </c>
    </row>
    <row r="46" customFormat="false" ht="15" hidden="false" customHeight="false" outlineLevel="0" collapsed="false">
      <c r="A46" s="4" t="s">
        <v>172</v>
      </c>
      <c r="B46" s="21" t="n">
        <f aca="false">B44/B45-1</f>
        <v>0.540521708653678</v>
      </c>
    </row>
    <row r="48" customFormat="false" ht="15" hidden="false" customHeight="false" outlineLevel="0" collapsed="false">
      <c r="A48" s="27" t="s">
        <v>262</v>
      </c>
    </row>
    <row r="49" customFormat="false" ht="15" hidden="false" customHeight="false" outlineLevel="0" collapsed="false">
      <c r="A49" s="16" t="s">
        <v>263</v>
      </c>
      <c r="B49" s="46" t="n">
        <f aca="false">B17+(-0.01)</f>
        <v>0.0607</v>
      </c>
      <c r="C49" s="46" t="n">
        <f aca="false">B17+(0)</f>
        <v>0.0707</v>
      </c>
      <c r="D49" s="46" t="n">
        <f aca="false">B17+(0.01)</f>
        <v>0.0807</v>
      </c>
    </row>
    <row r="50" customFormat="false" ht="15" hidden="false" customHeight="false" outlineLevel="0" collapsed="false">
      <c r="A50" s="5" t="s">
        <v>264</v>
      </c>
      <c r="B50" s="59" t="n">
        <f aca="false">IF($B$21&gt;0,0.5*(SUMPRODUCT($C$31:$L$31,1/(1+B$49)^$C$27:$L$27)+$M$29*(1-$B$20/$B$12)/(B$49-$B$20)/(1+B$49)^10)+0.5*(SUMPRODUCT($C$34:$L$34,1/(1+B$49)^$C$27:$L$27)+$M$34/(B$49-$B$20)/(1+B$49)^10),(SUMPRODUCT($C$31:$L$31,1/(1+B$49)^$C$27:$L$27)+$M$29*(1-$B$20/$B$12)/(B$49-$B$20)/(1+B$49)^10))</f>
        <v>4509.75509042426</v>
      </c>
      <c r="C50" s="62" t="n">
        <f aca="false">IF($B$21&gt;0,0.5*(SUMPRODUCT($C$31:$L$31,1/(1+C$49)^$C$27:$L$27)+$M$29*(1-$B$20/$B$12)/(C$49-$B$20)/(1+C$49)^10)+0.5*(SUMPRODUCT($C$34:$L$34,1/(1+C$49)^$C$27:$L$27)+$M$34/(C$49-$B$20)/(1+C$49)^10),(SUMPRODUCT($C$31:$L$31,1/(1+C$49)^$C$27:$L$27)+$M$29*(1-$B$20/$B$12)/(C$49-$B$20)/(1+C$49)^10))</f>
        <v>3695.71157906017</v>
      </c>
      <c r="D50" s="59" t="n">
        <f aca="false">IF($B$21&gt;0,0.5*(SUMPRODUCT($C$31:$L$31,1/(1+D$49)^$C$27:$L$27)+$M$29*(1-$B$20/$B$12)/(D$49-$B$20)/(1+D$49)^10)+0.5*(SUMPRODUCT($C$34:$L$34,1/(1+D$49)^$C$27:$L$27)+$M$34/(D$49-$B$20)/(1+D$49)^10),(SUMPRODUCT($C$31:$L$31,1/(1+D$49)^$C$27:$L$27)+$M$29*(1-$B$20/$B$12)/(D$49-$B$20)/(1+D$49)^10))</f>
        <v>3129.70513352721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2026-09-28T02:29:58Z</dcterms:created>
  <dc:creator>Jung Ryul Lee</dc:creator>
  <dc:description/>
  <dc:language>en-US</dc:language>
  <cp:lastModifiedBy>Jung Ryul Lee</cp:lastModifiedBy>
  <dcterms:modified xsi:type="dcterms:W3CDTF">2026-10-19T06:15:32Z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