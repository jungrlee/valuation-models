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CF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<sst xmlns="http://schemas.openxmlformats.org/spreadsheetml/2006/main" count="111" uniqueCount="104">
  <si>
    <t xml:space="preserve">Coway (021240 · KRX) — Systematic 10-yr earnings/FCF valuation</t>
  </si>
  <si>
    <t xml:space="preserve">One of 18 stocks valued for a hedged US–Korea–Japan portfolio. Prices 22–28 Sep 2026. Not investment advice.</t>
  </si>
  <si>
    <t xml:space="preserve">Prepared by</t>
  </si>
  <si>
    <t xml:space="preserve">Jung Ryul Lee</t>
  </si>
  <si>
    <t xml:space="preserve">Data as of</t>
  </si>
  <si>
    <t xml:space="preserve">Prices 22–28 Sep 2026</t>
  </si>
  <si>
    <t xml:space="preserve">Units</t>
  </si>
  <si>
    <t xml:space="preserve">KRW per share; FCF and market cap in trillions</t>
  </si>
  <si>
    <t xml:space="preserve">What this model does</t>
  </si>
  <si>
    <t xml:space="preserve">Systematic 10-year model: discounted distributable earnings (payout = 1 − g/ROE) blended 50/50 with discounted FCF.</t>
  </si>
  <si>
    <t xml:space="preserve">Growth = half consensus, half terminal for five years, then a five-year fade; beta, growth and ROE are bounded.</t>
  </si>
  <si>
    <t xml:space="preserve">Built as a consistent screen across Korean/Japanese names from data-feed statistics, not a full company model.</t>
  </si>
  <si>
    <t xml:space="preserve">Key outputs (live links)</t>
  </si>
  <si>
    <t xml:space="preserve">Value per share</t>
  </si>
  <si>
    <t xml:space="preserve">Share price</t>
  </si>
  <si>
    <t xml:space="preserve">Upside / (downside)</t>
  </si>
  <si>
    <t xml:space="preserve">Cost of equity</t>
  </si>
  <si>
    <t xml:space="preserve">Clears the portfolio's 15% hurdle</t>
  </si>
  <si>
    <t xml:space="preserve">Held in the portfolio</t>
  </si>
  <si>
    <t xml:space="preserve">Yes</t>
  </si>
  <si>
    <t xml:space="preserve">Contents</t>
  </si>
  <si>
    <t xml:space="preserve">DCF</t>
  </si>
  <si>
    <t xml:space="preserve">Inputs, projection, valuation and sensitivity</t>
  </si>
  <si>
    <t xml:space="preserve">Assumptions</t>
  </si>
  <si>
    <t xml:space="preserve">Shared market inputs: risk-free rate, equity risk premium, terminal growth; model guard-rails</t>
  </si>
  <si>
    <t xml:space="preserve">Colour code</t>
  </si>
  <si>
    <t xml:space="preserve">1,234  Blue text: hard-coded input</t>
  </si>
  <si>
    <t xml:space="preserve">1,234  Black text: formula</t>
  </si>
  <si>
    <t xml:space="preserve">1,234  Green text: link to another sheet</t>
  </si>
  <si>
    <t xml:space="preserve">Shaded yellow: key assumption to flex</t>
  </si>
  <si>
    <t xml:space="preserve">Shaded green: key output</t>
  </si>
  <si>
    <t xml:space="preserve">Method notes and limitations</t>
  </si>
  <si>
    <t xml:space="preserve">• Inputs come from company filings and market-data pages cited in the portfolio memo (not included).</t>
  </si>
  <si>
    <t xml:space="preserve">• Market inputs are shared with the other 17 models so valuations are comparable across stocks.</t>
  </si>
  <si>
    <t xml:space="preserve">Disclaimer</t>
  </si>
  <si>
    <t xml:space="preserve">Built from public information for training and portfolio purposes. Not investment advice and not a recommendation to buy or sell any security. Figures marked approximate should be checked against the original filings.</t>
  </si>
  <si>
    <t xml:space="preserve">COWAY Co., Ltd. (021240 · KRX)</t>
  </si>
  <si>
    <t xml:space="preserve">Systematic 10-year model: discounted earnings (payout = 1 − g/ROE) blended 50/50 with discounted free cash flow; growth = ½ consensus + ½ terminal for 5 years, then a 5-year fade</t>
  </si>
  <si>
    <t xml:space="preserve">Inputs: Stock Analysis statistics page, 22–28 Sep 2026. Per-share figures in local currency; FCF and market cap in trillions.</t>
  </si>
  <si>
    <t xml:space="preserve">Inputs</t>
  </si>
  <si>
    <t xml:space="preserve">Share price (KRW)</t>
  </si>
  <si>
    <t xml:space="preserve">Forward P/E</t>
  </si>
  <si>
    <t xml:space="preserve">Trailing P/E</t>
  </si>
  <si>
    <t xml:space="preserve">Forward EPS (year 1)</t>
  </si>
  <si>
    <t xml:space="preserve">Consensus EPS growth (3-yr)</t>
  </si>
  <si>
    <t xml:space="preserve">Analyst consensus from data feed</t>
  </si>
  <si>
    <t xml:space="preserve">ROE (reported)</t>
  </si>
  <si>
    <t xml:space="preserve">ROE used in payout</t>
  </si>
  <si>
    <t xml:space="preserve">Clipped 8–30%</t>
  </si>
  <si>
    <t xml:space="preserve">Beta (data feed)</t>
  </si>
  <si>
    <t xml:space="preserve">Beta used</t>
  </si>
  <si>
    <t xml:space="preserve">Clipped to 0.8–1.6</t>
  </si>
  <si>
    <t xml:space="preserve">Risk-free rate</t>
  </si>
  <si>
    <t xml:space="preserve">Equity risk premium</t>
  </si>
  <si>
    <t xml:space="preserve">CAPM</t>
  </si>
  <si>
    <t xml:space="preserve">Market terminal growth</t>
  </si>
  <si>
    <t xml:space="preserve">Stage-1 growth</t>
  </si>
  <si>
    <t xml:space="preserve">Consensus shrunk halfway to terminal, capped</t>
  </si>
  <si>
    <t xml:space="preserve">Terminal growth used</t>
  </si>
  <si>
    <t xml:space="preserve">Shrinking firms get no market terminal growth</t>
  </si>
  <si>
    <t xml:space="preserve">Free cash flow (₩ tn)</t>
  </si>
  <si>
    <t xml:space="preserve">Market cap (₩ tn)</t>
  </si>
  <si>
    <t xml:space="preserve">FCF per share</t>
  </si>
  <si>
    <t xml:space="preserve">FCF leg base (capped at EPS)</t>
  </si>
  <si>
    <t xml:space="preserve">FCF is never credited above earnings</t>
  </si>
  <si>
    <t xml:space="preserve">Projection (per share, KRW)</t>
  </si>
  <si>
    <t xml:space="preserve">Year 11 feeds the terminal value</t>
  </si>
  <si>
    <t xml:space="preserve">Year</t>
  </si>
  <si>
    <t xml:space="preserve">Growth into next year</t>
  </si>
  <si>
    <t xml:space="preserve">EPS</t>
  </si>
  <si>
    <t xml:space="preserve">Payout = 1 − g/ROE</t>
  </si>
  <si>
    <t xml:space="preserve">Distributable earnings</t>
  </si>
  <si>
    <t xml:space="preserve">Discount factor</t>
  </si>
  <si>
    <t xml:space="preserve">PV of distributable earnings</t>
  </si>
  <si>
    <t xml:space="preserve">PV of FCF</t>
  </si>
  <si>
    <t xml:space="preserve">Valuation (per share)</t>
  </si>
  <si>
    <t xml:space="preserve">Earnings leg: PV years 1–10</t>
  </si>
  <si>
    <t xml:space="preserve">Earnings leg: PV of terminal value</t>
  </si>
  <si>
    <t xml:space="preserve">Earnings-model value</t>
  </si>
  <si>
    <t xml:space="preserve">FCF leg: PV years 1–10</t>
  </si>
  <si>
    <t xml:space="preserve">FCF leg: PV of terminal value</t>
  </si>
  <si>
    <t xml:space="preserve">FCF-model value</t>
  </si>
  <si>
    <t xml:space="preserve">Blended value per share</t>
  </si>
  <si>
    <t xml:space="preserve">Earnings model only when FCF ≤ 0</t>
  </si>
  <si>
    <t xml:space="preserve">Sensitivity: value per share to cost of equity</t>
  </si>
  <si>
    <t xml:space="preserve">Cost of equity →</t>
  </si>
  <si>
    <t xml:space="preserve">Market assumptions (CAPM)</t>
  </si>
  <si>
    <t xml:space="preserve">Blue = hardcoded input. Every model sheet links here (green), so changing a cell below re-values every stock in that market.</t>
  </si>
  <si>
    <t xml:space="preserve">Market</t>
  </si>
  <si>
    <t xml:space="preserve">Terminal growth</t>
  </si>
  <si>
    <t xml:space="preserve">Source / note</t>
  </si>
  <si>
    <t xml:space="preserve">US</t>
  </si>
  <si>
    <t xml:space="preserve">US 10-yr Treasury 5.23% (Washington Trust weekly review, 25 Sep 2026); ERP and terminal growth are author assumptions</t>
  </si>
  <si>
    <t xml:space="preserve">KR</t>
  </si>
  <si>
    <t xml:space="preserve">Korea 10-yr KTB 4.41% (Trading Economics, Sep 2026); ERP and terminal growth are author assumptions</t>
  </si>
  <si>
    <t xml:space="preserve">JP</t>
  </si>
  <si>
    <t xml:space="preserve">JGB 10-yr 3.07% (Trading Economics, 25 Sep 2026); ERP and terminal growth are author assumptions</t>
  </si>
  <si>
    <t xml:space="preserve">Beta floor / cap (systematic models)</t>
  </si>
  <si>
    <t xml:space="preserve">Data-feed betas are clipped to this range so no stock gets a cost of equity far below its market's</t>
  </si>
  <si>
    <t xml:space="preserve">Growth cap (systematic models)</t>
  </si>
  <si>
    <t xml:space="preserve">B = max first-stage growth; C = max growth as a multiple of ROE (payout floor 40%)</t>
  </si>
  <si>
    <t xml:space="preserve">Growth floor</t>
  </si>
  <si>
    <t xml:space="preserve">ROE clip for payout (low / high)</t>
  </si>
  <si>
    <t xml:space="preserve">Hurdle (min. upside to hold)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</si>
</sst>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₩#,##0"/>
    <numFmt numFmtId="166" formatCode="0.0%;\(0.0%\);\-"/>
    <numFmt numFmtId="167" formatCode="\₩#,##0;&quot;(₩&quot;#,##0\);\-"/>
    <numFmt numFmtId="168" formatCode="0.0\x"/>
    <numFmt numFmtId="169" formatCode="0.0%;\(0.0%\);\-"/>
    <numFmt numFmtId="170" formatCode="0.00"/>
    <numFmt numFmtId="171" formatCode="0.00%;\(0.00%\);\-"/>
    <numFmt numFmtId="172" formatCode="#,##0.000;\(#,##0.000\);\-"/>
    <numFmt numFmtId="173" formatCode="#,##0.000"/>
    <numFmt numFmtId="174" formatCode="0"/>
    <numFmt numFmtId="175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021240_Coway_DCF.xlsx" TargetMode="External"/><Relationship Id="rId2" Type="http://schemas.openxmlformats.org/officeDocument/2006/relationships/hyperlink" Target="021240_Coway_DCF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7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3"/>
      <c r="D2" s="3"/>
      <c r="E2" s="3"/>
    </row>
    <row r="4" customFormat="false" ht="15" hidden="false" customHeight="false" outlineLevel="0" collapsed="false">
      <c r="B4" s="4" t="s">
        <v>2</v>
      </c>
      <c r="C4" s="5" t="s">
        <v>3</v>
      </c>
    </row>
    <row r="5" customFormat="false" ht="15" hidden="false" customHeight="false" outlineLevel="0" collapsed="false">
      <c r="B5" s="4" t="s">
        <v>4</v>
      </c>
      <c r="C5" s="5" t="s">
        <v>5</v>
      </c>
    </row>
    <row r="6" customFormat="false" ht="15" hidden="false" customHeight="false" outlineLevel="0" collapsed="false">
      <c r="B6" s="4" t="s">
        <v>6</v>
      </c>
      <c r="C6" s="5" t="s">
        <v>7</v>
      </c>
    </row>
    <row r="8" customFormat="false" ht="15" hidden="false" customHeight="false" outlineLevel="0" collapsed="false">
      <c r="B8" s="6" t="s">
        <v>8</v>
      </c>
      <c r="C8" s="3"/>
      <c r="D8" s="3"/>
      <c r="E8" s="3"/>
    </row>
    <row r="9" customFormat="false" ht="15" hidden="false" customHeight="false" outlineLevel="0" collapsed="false">
      <c r="B9" s="5" t="s">
        <v>9</v>
      </c>
    </row>
    <row r="10" customFormat="false" ht="15" hidden="false" customHeight="false" outlineLevel="0" collapsed="false">
      <c r="B10" s="5" t="s">
        <v>10</v>
      </c>
    </row>
    <row r="11" customFormat="false" ht="15" hidden="false" customHeight="false" outlineLevel="0" collapsed="false">
      <c r="B11" s="5" t="s">
        <v>11</v>
      </c>
    </row>
    <row r="13" customFormat="false" ht="15" hidden="false" customHeight="false" outlineLevel="0" collapsed="false">
      <c r="B13" s="6" t="s">
        <v>12</v>
      </c>
      <c r="C13" s="3"/>
      <c r="D13" s="3"/>
      <c r="E13" s="3"/>
    </row>
    <row r="14" customFormat="false" ht="15" hidden="false" customHeight="false" outlineLevel="0" collapsed="false">
      <c r="B14" s="5" t="s">
        <v>13</v>
      </c>
      <c r="C14" s="7" t="n">
        <f aca="false">DCF!B44</f>
        <v>170910.161394169</v>
      </c>
    </row>
    <row r="15" customFormat="false" ht="15" hidden="false" customHeight="false" outlineLevel="0" collapsed="false">
      <c r="B15" s="5" t="s">
        <v>14</v>
      </c>
      <c r="C15" s="7" t="n">
        <f aca="false">DCF!B45</f>
        <v>95200</v>
      </c>
    </row>
    <row r="16" customFormat="false" ht="15" hidden="false" customHeight="false" outlineLevel="0" collapsed="false">
      <c r="B16" s="5" t="s">
        <v>15</v>
      </c>
      <c r="C16" s="8" t="n">
        <f aca="false">DCF!B46</f>
        <v>0.795274804560594</v>
      </c>
    </row>
    <row r="17" customFormat="false" ht="15" hidden="false" customHeight="false" outlineLevel="0" collapsed="false">
      <c r="B17" s="5" t="s">
        <v>16</v>
      </c>
      <c r="C17" s="8" t="n">
        <f aca="false">DCF!B17</f>
        <v>0.0881</v>
      </c>
    </row>
    <row r="18" customFormat="false" ht="15" hidden="false" customHeight="false" outlineLevel="0" collapsed="false">
      <c r="B18" s="5" t="s">
        <v>17</v>
      </c>
      <c r="C18" s="9" t="str">
        <f aca="false">IF(DCF!B46&gt;=Assumptions!B13,"Yes","No")</f>
        <v>Yes</v>
      </c>
    </row>
    <row r="19" customFormat="false" ht="15" hidden="false" customHeight="false" outlineLevel="0" collapsed="false">
      <c r="B19" s="5" t="s">
        <v>18</v>
      </c>
      <c r="C19" s="9" t="s">
        <v>19</v>
      </c>
    </row>
    <row r="21" customFormat="false" ht="15" hidden="false" customHeight="false" outlineLevel="0" collapsed="false">
      <c r="B21" s="6" t="s">
        <v>20</v>
      </c>
      <c r="C21" s="3"/>
      <c r="D21" s="3"/>
      <c r="E21" s="3"/>
    </row>
    <row r="22" customFormat="false" ht="15" hidden="false" customHeight="false" outlineLevel="0" collapsed="false">
      <c r="B22" s="10" t="s">
        <v>21</v>
      </c>
      <c r="C22" s="5" t="s">
        <v>22</v>
      </c>
    </row>
    <row r="23" customFormat="false" ht="15" hidden="false" customHeight="false" outlineLevel="0" collapsed="false">
      <c r="B23" s="10" t="s">
        <v>23</v>
      </c>
      <c r="C23" s="5" t="s">
        <v>24</v>
      </c>
    </row>
    <row r="25" customFormat="false" ht="15" hidden="false" customHeight="false" outlineLevel="0" collapsed="false">
      <c r="B25" s="6" t="s">
        <v>25</v>
      </c>
      <c r="C25" s="3"/>
      <c r="D25" s="3"/>
      <c r="E25" s="3"/>
    </row>
    <row r="26" customFormat="false" ht="15" hidden="false" customHeight="false" outlineLevel="0" collapsed="false">
      <c r="B26" s="11" t="s">
        <v>26</v>
      </c>
    </row>
    <row r="27" customFormat="false" ht="15" hidden="false" customHeight="false" outlineLevel="0" collapsed="false">
      <c r="B27" s="5" t="s">
        <v>27</v>
      </c>
    </row>
    <row r="28" customFormat="false" ht="15" hidden="false" customHeight="false" outlineLevel="0" collapsed="false">
      <c r="B28" s="12" t="s">
        <v>28</v>
      </c>
    </row>
    <row r="29" customFormat="false" ht="15" hidden="false" customHeight="false" outlineLevel="0" collapsed="false">
      <c r="B29" s="13" t="s">
        <v>29</v>
      </c>
    </row>
    <row r="30" customFormat="false" ht="15" hidden="false" customHeight="false" outlineLevel="0" collapsed="false">
      <c r="B30" s="14" t="s">
        <v>30</v>
      </c>
    </row>
    <row r="32" customFormat="false" ht="15" hidden="false" customHeight="false" outlineLevel="0" collapsed="false">
      <c r="B32" s="6" t="s">
        <v>31</v>
      </c>
      <c r="C32" s="3"/>
      <c r="D32" s="3"/>
      <c r="E32" s="3"/>
    </row>
    <row r="33" customFormat="false" ht="15" hidden="false" customHeight="false" outlineLevel="0" collapsed="false">
      <c r="B33" s="5" t="s">
        <v>32</v>
      </c>
    </row>
    <row r="34" customFormat="false" ht="15" hidden="false" customHeight="false" outlineLevel="0" collapsed="false">
      <c r="B34" s="5" t="s">
        <v>33</v>
      </c>
    </row>
    <row r="36" customFormat="false" ht="15" hidden="false" customHeight="false" outlineLevel="0" collapsed="false">
      <c r="B36" s="4" t="s">
        <v>34</v>
      </c>
    </row>
    <row r="37" customFormat="false" ht="15" hidden="false" customHeight="false" outlineLevel="0" collapsed="false">
      <c r="B37" s="15" t="s">
        <v>35</v>
      </c>
    </row>
  </sheetData>
  <hyperlinks>
    <hyperlink ref="B22" r:id="rId1" location="'DCF'!A1" display="DCF"/>
    <hyperlink ref="B23" r:id="rId2" location="'Assumptions'!A1" display="Assumpt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36</v>
      </c>
    </row>
    <row r="2" customFormat="false" ht="15" hidden="false" customHeight="false" outlineLevel="0" collapsed="false">
      <c r="A2" s="16" t="s">
        <v>37</v>
      </c>
    </row>
    <row r="3" customFormat="false" ht="15" hidden="false" customHeight="false" outlineLevel="0" collapsed="false">
      <c r="A3" s="16" t="s">
        <v>38</v>
      </c>
    </row>
    <row r="5" customFormat="false" ht="15" hidden="false" customHeight="false" outlineLevel="0" collapsed="false">
      <c r="A5" s="17" t="s">
        <v>39</v>
      </c>
    </row>
    <row r="6" customFormat="false" ht="15" hidden="false" customHeight="false" outlineLevel="0" collapsed="false">
      <c r="A6" s="5" t="s">
        <v>40</v>
      </c>
      <c r="B6" s="18" t="n">
        <v>95200</v>
      </c>
    </row>
    <row r="7" customFormat="false" ht="15" hidden="false" customHeight="false" outlineLevel="0" collapsed="false">
      <c r="A7" s="5" t="s">
        <v>41</v>
      </c>
      <c r="B7" s="19" t="n">
        <v>9.08</v>
      </c>
    </row>
    <row r="8" customFormat="false" ht="15" hidden="false" customHeight="false" outlineLevel="0" collapsed="false">
      <c r="A8" s="5" t="s">
        <v>42</v>
      </c>
      <c r="B8" s="19" t="n">
        <v>9.86</v>
      </c>
    </row>
    <row r="9" customFormat="false" ht="15" hidden="false" customHeight="false" outlineLevel="0" collapsed="false">
      <c r="A9" s="5" t="s">
        <v>43</v>
      </c>
      <c r="B9" s="20" t="n">
        <f aca="false">B6/B7</f>
        <v>10484.5814977974</v>
      </c>
    </row>
    <row r="10" customFormat="false" ht="15" hidden="false" customHeight="false" outlineLevel="0" collapsed="false">
      <c r="A10" s="5" t="s">
        <v>44</v>
      </c>
      <c r="B10" s="21" t="n">
        <v>0.1198</v>
      </c>
      <c r="C10" s="16" t="s">
        <v>45</v>
      </c>
    </row>
    <row r="11" customFormat="false" ht="15" hidden="false" customHeight="false" outlineLevel="0" collapsed="false">
      <c r="A11" s="5" t="s">
        <v>46</v>
      </c>
      <c r="B11" s="21" t="n">
        <v>0.1932</v>
      </c>
    </row>
    <row r="12" customFormat="false" ht="15" hidden="false" customHeight="false" outlineLevel="0" collapsed="false">
      <c r="A12" s="5" t="s">
        <v>47</v>
      </c>
      <c r="B12" s="22" t="n">
        <f aca="false">MAX(Assumptions!$B$12,MIN(Assumptions!$C$12,B11))</f>
        <v>0.1932</v>
      </c>
      <c r="C12" s="16" t="s">
        <v>48</v>
      </c>
    </row>
    <row r="13" customFormat="false" ht="15" hidden="false" customHeight="false" outlineLevel="0" collapsed="false">
      <c r="A13" s="5" t="s">
        <v>49</v>
      </c>
      <c r="B13" s="23" t="n">
        <v>0.64</v>
      </c>
    </row>
    <row r="14" customFormat="false" ht="15" hidden="false" customHeight="false" outlineLevel="0" collapsed="false">
      <c r="A14" s="5" t="s">
        <v>50</v>
      </c>
      <c r="B14" s="24" t="n">
        <f aca="false">MAX(Assumptions!$B$9,MIN(Assumptions!$C$9,B13))</f>
        <v>0.8</v>
      </c>
      <c r="C14" s="16" t="s">
        <v>51</v>
      </c>
    </row>
    <row r="15" customFormat="false" ht="15" hidden="false" customHeight="false" outlineLevel="0" collapsed="false">
      <c r="A15" s="5" t="s">
        <v>52</v>
      </c>
      <c r="B15" s="25" t="n">
        <f aca="false">Assumptions!$B$6</f>
        <v>0.0441</v>
      </c>
    </row>
    <row r="16" customFormat="false" ht="15" hidden="false" customHeight="false" outlineLevel="0" collapsed="false">
      <c r="A16" s="5" t="s">
        <v>53</v>
      </c>
      <c r="B16" s="25" t="n">
        <f aca="false">Assumptions!$C$6</f>
        <v>0.055</v>
      </c>
    </row>
    <row r="17" customFormat="false" ht="15" hidden="false" customHeight="false" outlineLevel="0" collapsed="false">
      <c r="A17" s="5" t="s">
        <v>16</v>
      </c>
      <c r="B17" s="26" t="n">
        <f aca="false">B15+B14*B16</f>
        <v>0.0881</v>
      </c>
      <c r="C17" s="16" t="s">
        <v>54</v>
      </c>
    </row>
    <row r="18" customFormat="false" ht="15" hidden="false" customHeight="false" outlineLevel="0" collapsed="false">
      <c r="A18" s="5" t="s">
        <v>55</v>
      </c>
      <c r="B18" s="25" t="n">
        <f aca="false">Assumptions!$D$6</f>
        <v>0.025</v>
      </c>
    </row>
    <row r="19" customFormat="false" ht="15" hidden="false" customHeight="false" outlineLevel="0" collapsed="false">
      <c r="A19" s="5" t="s">
        <v>56</v>
      </c>
      <c r="B19" s="26" t="n">
        <f aca="false">MAX(Assumptions!$B$11,MIN(0.5*B10+0.5*B18,Assumptions!$B$10,Assumptions!$C$10*B12))</f>
        <v>0.0724</v>
      </c>
      <c r="C19" s="16" t="s">
        <v>57</v>
      </c>
    </row>
    <row r="20" customFormat="false" ht="15" hidden="false" customHeight="false" outlineLevel="0" collapsed="false">
      <c r="A20" s="5" t="s">
        <v>58</v>
      </c>
      <c r="B20" s="26" t="n">
        <f aca="false">MIN(B18,MAX(B19,0))</f>
        <v>0.025</v>
      </c>
      <c r="C20" s="16" t="s">
        <v>59</v>
      </c>
    </row>
    <row r="21" customFormat="false" ht="15" hidden="false" customHeight="false" outlineLevel="0" collapsed="false">
      <c r="A21" s="5" t="s">
        <v>60</v>
      </c>
      <c r="B21" s="27" t="n">
        <v>-0.20856</v>
      </c>
    </row>
    <row r="22" customFormat="false" ht="15" hidden="false" customHeight="false" outlineLevel="0" collapsed="false">
      <c r="A22" s="5" t="s">
        <v>61</v>
      </c>
      <c r="B22" s="28" t="n">
        <v>6.68</v>
      </c>
    </row>
    <row r="23" customFormat="false" ht="15" hidden="false" customHeight="false" outlineLevel="0" collapsed="false">
      <c r="A23" s="5" t="s">
        <v>62</v>
      </c>
      <c r="B23" s="20" t="n">
        <f aca="false">B21/B22*B6</f>
        <v>-2972.29221556886</v>
      </c>
    </row>
    <row r="24" customFormat="false" ht="15" hidden="false" customHeight="false" outlineLevel="0" collapsed="false">
      <c r="A24" s="5" t="s">
        <v>63</v>
      </c>
      <c r="B24" s="20" t="n">
        <f aca="false">MIN(B23,B9)</f>
        <v>-2972.29221556886</v>
      </c>
      <c r="C24" s="16" t="s">
        <v>64</v>
      </c>
    </row>
    <row r="26" customFormat="false" ht="15" hidden="false" customHeight="false" outlineLevel="0" collapsed="false">
      <c r="A26" s="17" t="s">
        <v>65</v>
      </c>
      <c r="M26" s="16" t="s">
        <v>66</v>
      </c>
    </row>
    <row r="27" customFormat="false" ht="15" hidden="false" customHeight="false" outlineLevel="0" collapsed="false">
      <c r="A27" s="4" t="s">
        <v>67</v>
      </c>
      <c r="C27" s="29" t="n">
        <v>1</v>
      </c>
      <c r="D27" s="29" t="n">
        <v>2</v>
      </c>
      <c r="E27" s="29" t="n">
        <v>3</v>
      </c>
      <c r="F27" s="29" t="n">
        <v>4</v>
      </c>
      <c r="G27" s="29" t="n">
        <v>5</v>
      </c>
      <c r="H27" s="29" t="n">
        <v>6</v>
      </c>
      <c r="I27" s="29" t="n">
        <v>7</v>
      </c>
      <c r="J27" s="29" t="n">
        <v>8</v>
      </c>
      <c r="K27" s="29" t="n">
        <v>9</v>
      </c>
      <c r="L27" s="29" t="n">
        <v>10</v>
      </c>
      <c r="M27" s="29" t="n">
        <v>11</v>
      </c>
    </row>
    <row r="28" customFormat="false" ht="15" hidden="false" customHeight="false" outlineLevel="0" collapsed="false">
      <c r="A28" s="5" t="s">
        <v>68</v>
      </c>
      <c r="C28" s="26" t="n">
        <f aca="false">$B$19</f>
        <v>0.0724</v>
      </c>
      <c r="D28" s="26" t="n">
        <f aca="false">$B$19</f>
        <v>0.0724</v>
      </c>
      <c r="E28" s="26" t="n">
        <f aca="false">$B$19</f>
        <v>0.0724</v>
      </c>
      <c r="F28" s="26" t="n">
        <f aca="false">$B$19</f>
        <v>0.0724</v>
      </c>
      <c r="G28" s="26" t="n">
        <f aca="false">$B$19</f>
        <v>0.0724</v>
      </c>
      <c r="H28" s="26" t="n">
        <f aca="false">$B$19+($B$20-$B$19)*(H27-5)/5</f>
        <v>0.06292</v>
      </c>
      <c r="I28" s="26" t="n">
        <f aca="false">$B$19+($B$20-$B$19)*(I27-5)/5</f>
        <v>0.05344</v>
      </c>
      <c r="J28" s="26" t="n">
        <f aca="false">$B$19+($B$20-$B$19)*(J27-5)/5</f>
        <v>0.04396</v>
      </c>
      <c r="K28" s="26" t="n">
        <f aca="false">$B$19+($B$20-$B$19)*(K27-5)/5</f>
        <v>0.03448</v>
      </c>
      <c r="L28" s="26" t="n">
        <f aca="false">$B$19+($B$20-$B$19)*(L27-5)/5</f>
        <v>0.025</v>
      </c>
      <c r="M28" s="26" t="n">
        <f aca="false">$B$20</f>
        <v>0.025</v>
      </c>
    </row>
    <row r="29" customFormat="false" ht="15" hidden="false" customHeight="false" outlineLevel="0" collapsed="false">
      <c r="A29" s="5" t="s">
        <v>69</v>
      </c>
      <c r="C29" s="20" t="n">
        <f aca="false">$B$9</f>
        <v>10484.5814977974</v>
      </c>
      <c r="D29" s="20" t="n">
        <f aca="false">C29*(1+C28)</f>
        <v>11243.6651982379</v>
      </c>
      <c r="E29" s="20" t="n">
        <f aca="false">D29*(1+D28)</f>
        <v>12057.7065585903</v>
      </c>
      <c r="F29" s="20" t="n">
        <f aca="false">E29*(1+E28)</f>
        <v>12930.6845134322</v>
      </c>
      <c r="G29" s="20" t="n">
        <f aca="false">F29*(1+F28)</f>
        <v>13866.8660722047</v>
      </c>
      <c r="H29" s="20" t="n">
        <f aca="false">G29*(1+G28)</f>
        <v>14870.8271758324</v>
      </c>
      <c r="I29" s="20" t="n">
        <f aca="false">H29*(1+H28)</f>
        <v>15806.4996217357</v>
      </c>
      <c r="J29" s="20" t="n">
        <f aca="false">I29*(1+I28)</f>
        <v>16651.1989615213</v>
      </c>
      <c r="K29" s="20" t="n">
        <f aca="false">J29*(1+J28)</f>
        <v>17383.1856678698</v>
      </c>
      <c r="L29" s="20" t="n">
        <f aca="false">K29*(1+K28)</f>
        <v>17982.5579096979</v>
      </c>
      <c r="M29" s="20" t="n">
        <f aca="false">L29*(1+L28)</f>
        <v>18432.1218574404</v>
      </c>
    </row>
    <row r="30" customFormat="false" ht="15" hidden="false" customHeight="false" outlineLevel="0" collapsed="false">
      <c r="A30" s="5" t="s">
        <v>70</v>
      </c>
      <c r="C30" s="22" t="n">
        <f aca="false">1-MAX(C28,0)/$B$12</f>
        <v>0.625258799171843</v>
      </c>
      <c r="D30" s="22" t="n">
        <f aca="false">1-MAX(D28,0)/$B$12</f>
        <v>0.625258799171843</v>
      </c>
      <c r="E30" s="22" t="n">
        <f aca="false">1-MAX(E28,0)/$B$12</f>
        <v>0.625258799171843</v>
      </c>
      <c r="F30" s="22" t="n">
        <f aca="false">1-MAX(F28,0)/$B$12</f>
        <v>0.625258799171843</v>
      </c>
      <c r="G30" s="22" t="n">
        <f aca="false">1-MAX(G28,0)/$B$12</f>
        <v>0.625258799171843</v>
      </c>
      <c r="H30" s="22" t="n">
        <f aca="false">1-MAX(H28,0)/$B$12</f>
        <v>0.674327122153209</v>
      </c>
      <c r="I30" s="22" t="n">
        <f aca="false">1-MAX(I28,0)/$B$12</f>
        <v>0.723395445134576</v>
      </c>
      <c r="J30" s="22" t="n">
        <f aca="false">1-MAX(J28,0)/$B$12</f>
        <v>0.772463768115942</v>
      </c>
      <c r="K30" s="22" t="n">
        <f aca="false">1-MAX(K28,0)/$B$12</f>
        <v>0.821532091097309</v>
      </c>
      <c r="L30" s="22" t="n">
        <f aca="false">1-MAX(L28,0)/$B$12</f>
        <v>0.870600414078675</v>
      </c>
    </row>
    <row r="31" customFormat="false" ht="15" hidden="false" customHeight="false" outlineLevel="0" collapsed="false">
      <c r="A31" s="5" t="s">
        <v>71</v>
      </c>
      <c r="C31" s="20" t="n">
        <f aca="false">C29*C30</f>
        <v>6555.57683713209</v>
      </c>
      <c r="D31" s="20" t="n">
        <f aca="false">D29*D30</f>
        <v>7030.20060014046</v>
      </c>
      <c r="E31" s="20" t="n">
        <f aca="false">E29*E30</f>
        <v>7539.18712359063</v>
      </c>
      <c r="F31" s="20" t="n">
        <f aca="false">F29*F30</f>
        <v>8085.02427133859</v>
      </c>
      <c r="G31" s="20" t="n">
        <f aca="false">G29*G30</f>
        <v>8670.3800285835</v>
      </c>
      <c r="H31" s="20" t="n">
        <f aca="false">H29*H30</f>
        <v>10027.8020935168</v>
      </c>
      <c r="I31" s="20" t="n">
        <f aca="false">I29*I30</f>
        <v>11434.349829885</v>
      </c>
      <c r="J31" s="20" t="n">
        <f aca="false">J29*J30</f>
        <v>12862.447893465</v>
      </c>
      <c r="K31" s="20" t="n">
        <f aca="false">K29*K30</f>
        <v>14280.8448716578</v>
      </c>
      <c r="L31" s="20" t="n">
        <f aca="false">L29*L30</f>
        <v>15655.6223623768</v>
      </c>
    </row>
    <row r="32" customFormat="false" ht="15" hidden="false" customHeight="false" outlineLevel="0" collapsed="false">
      <c r="A32" s="5" t="s">
        <v>72</v>
      </c>
      <c r="C32" s="30" t="n">
        <f aca="false">1/(1+$B$17)^C27</f>
        <v>0.919033177097693</v>
      </c>
      <c r="D32" s="30" t="n">
        <f aca="false">1/(1+$B$17)^D27</f>
        <v>0.84462198060628</v>
      </c>
      <c r="E32" s="30" t="n">
        <f aca="false">1/(1+$B$17)^E27</f>
        <v>0.776235622283136</v>
      </c>
      <c r="F32" s="30" t="n">
        <f aca="false">1/(1+$B$17)^F27</f>
        <v>0.713386290123275</v>
      </c>
      <c r="G32" s="30" t="n">
        <f aca="false">1/(1+$B$17)^G27</f>
        <v>0.65562566870993</v>
      </c>
      <c r="H32" s="30" t="n">
        <f aca="false">1/(1+$B$17)^H27</f>
        <v>0.602541741301287</v>
      </c>
      <c r="I32" s="30" t="n">
        <f aca="false">1/(1+$B$17)^I27</f>
        <v>0.553755850842098</v>
      </c>
      <c r="J32" s="30" t="n">
        <f aca="false">1/(1+$B$17)^J27</f>
        <v>0.50891999893585</v>
      </c>
      <c r="K32" s="30" t="n">
        <f aca="false">1/(1+$B$17)^K27</f>
        <v>0.467714363510568</v>
      </c>
      <c r="L32" s="30" t="n">
        <f aca="false">1/(1+$B$17)^L27</f>
        <v>0.429845017471343</v>
      </c>
    </row>
    <row r="33" customFormat="false" ht="15" hidden="false" customHeight="false" outlineLevel="0" collapsed="false">
      <c r="A33" s="5" t="s">
        <v>73</v>
      </c>
      <c r="C33" s="20" t="n">
        <f aca="false">C31*C32</f>
        <v>6024.79260833756</v>
      </c>
      <c r="D33" s="20" t="n">
        <f aca="false">D31*D32</f>
        <v>5937.86195495009</v>
      </c>
      <c r="E33" s="20" t="n">
        <f aca="false">E31*E32</f>
        <v>5852.18560838937</v>
      </c>
      <c r="F33" s="20" t="n">
        <f aca="false">F31*F32</f>
        <v>5767.74547048687</v>
      </c>
      <c r="G33" s="20" t="n">
        <f aca="false">G31*G32</f>
        <v>5684.52370420928</v>
      </c>
      <c r="H33" s="20" t="n">
        <f aca="false">H31*H32</f>
        <v>6042.16933485229</v>
      </c>
      <c r="I33" s="20" t="n">
        <f aca="false">I31*I32</f>
        <v>6331.83811887418</v>
      </c>
      <c r="J33" s="20" t="n">
        <f aca="false">J31*J32</f>
        <v>6545.95696825463</v>
      </c>
      <c r="K33" s="20" t="n">
        <f aca="false">K31*K32</f>
        <v>6679.3562695406</v>
      </c>
      <c r="L33" s="20" t="n">
        <f aca="false">L31*L32</f>
        <v>6729.49126788059</v>
      </c>
    </row>
    <row r="34" customFormat="false" ht="15" hidden="false" customHeight="false" outlineLevel="0" collapsed="false">
      <c r="A34" s="5" t="s">
        <v>62</v>
      </c>
      <c r="C34" s="20" t="n">
        <f aca="false">$B$24*(1+$B$19)</f>
        <v>-3187.48617197605</v>
      </c>
      <c r="D34" s="20" t="n">
        <f aca="false">C34*(1+C28)</f>
        <v>-3418.26017082711</v>
      </c>
      <c r="E34" s="20" t="n">
        <f aca="false">D34*(1+D28)</f>
        <v>-3665.742207195</v>
      </c>
      <c r="F34" s="20" t="n">
        <f aca="false">E34*(1+E28)</f>
        <v>-3931.14194299592</v>
      </c>
      <c r="G34" s="20" t="n">
        <f aca="false">F34*(1+F28)</f>
        <v>-4215.75661966882</v>
      </c>
      <c r="H34" s="20" t="n">
        <f aca="false">G34*(1+G28)</f>
        <v>-4520.97739893284</v>
      </c>
      <c r="I34" s="20" t="n">
        <f aca="false">H34*(1+H28)</f>
        <v>-4805.4372968737</v>
      </c>
      <c r="J34" s="20" t="n">
        <f aca="false">I34*(1+I28)</f>
        <v>-5062.23986601863</v>
      </c>
      <c r="K34" s="20" t="n">
        <f aca="false">J34*(1+J28)</f>
        <v>-5284.77593052881</v>
      </c>
      <c r="L34" s="20" t="n">
        <f aca="false">K34*(1+K28)</f>
        <v>-5466.99500461344</v>
      </c>
      <c r="M34" s="20" t="n">
        <f aca="false">L34*(1+L28)</f>
        <v>-5603.66987972878</v>
      </c>
    </row>
    <row r="35" customFormat="false" ht="15" hidden="false" customHeight="false" outlineLevel="0" collapsed="false">
      <c r="A35" s="5" t="s">
        <v>74</v>
      </c>
      <c r="C35" s="20" t="n">
        <f aca="false">C34*C32</f>
        <v>-2929.40554358611</v>
      </c>
      <c r="D35" s="20" t="n">
        <f aca="false">D34*D32</f>
        <v>-2887.13767571156</v>
      </c>
      <c r="E35" s="20" t="n">
        <f aca="false">E34*E32</f>
        <v>-2845.47968333156</v>
      </c>
      <c r="F35" s="20" t="n">
        <f aca="false">F34*F32</f>
        <v>-2804.42276666186</v>
      </c>
      <c r="G35" s="20" t="n">
        <f aca="false">G34*G32</f>
        <v>-2763.95825288869</v>
      </c>
      <c r="H35" s="20" t="n">
        <f aca="false">H34*H32</f>
        <v>-2724.07759433676</v>
      </c>
      <c r="I35" s="20" t="n">
        <f aca="false">I34*I32</f>
        <v>-2661.03901899865</v>
      </c>
      <c r="J35" s="20" t="n">
        <f aca="false">J34*J32</f>
        <v>-2576.27510722722</v>
      </c>
      <c r="K35" s="20" t="n">
        <f aca="false">K34*K32</f>
        <v>-2471.76561064325</v>
      </c>
      <c r="L35" s="20" t="n">
        <f aca="false">L34*L32</f>
        <v>-2349.96056327381</v>
      </c>
    </row>
    <row r="37" customFormat="false" ht="15" hidden="false" customHeight="false" outlineLevel="0" collapsed="false">
      <c r="A37" s="17" t="s">
        <v>75</v>
      </c>
    </row>
    <row r="38" customFormat="false" ht="15" hidden="false" customHeight="false" outlineLevel="0" collapsed="false">
      <c r="A38" s="5" t="s">
        <v>76</v>
      </c>
      <c r="B38" s="20" t="n">
        <f aca="false">SUM(C33:L33)</f>
        <v>61595.9213057755</v>
      </c>
    </row>
    <row r="39" customFormat="false" ht="15" hidden="false" customHeight="false" outlineLevel="0" collapsed="false">
      <c r="A39" s="5" t="s">
        <v>77</v>
      </c>
      <c r="B39" s="20" t="n">
        <f aca="false">M29*(1-B20/B12)/(B17-B20)*L32</f>
        <v>109314.240088393</v>
      </c>
    </row>
    <row r="40" customFormat="false" ht="15" hidden="false" customHeight="false" outlineLevel="0" collapsed="false">
      <c r="A40" s="5" t="s">
        <v>78</v>
      </c>
      <c r="B40" s="31" t="n">
        <f aca="false">B38+B39</f>
        <v>170910.161394169</v>
      </c>
    </row>
    <row r="41" customFormat="false" ht="15" hidden="false" customHeight="false" outlineLevel="0" collapsed="false">
      <c r="A41" s="5" t="s">
        <v>79</v>
      </c>
      <c r="B41" s="20" t="n">
        <f aca="false">SUM(C35:L35)</f>
        <v>-27013.5218166595</v>
      </c>
    </row>
    <row r="42" customFormat="false" ht="15" hidden="false" customHeight="false" outlineLevel="0" collapsed="false">
      <c r="A42" s="5" t="s">
        <v>80</v>
      </c>
      <c r="B42" s="20" t="n">
        <f aca="false">M34/(B17-B20)*L32</f>
        <v>-38172.89346047</v>
      </c>
    </row>
    <row r="43" customFormat="false" ht="15" hidden="false" customHeight="false" outlineLevel="0" collapsed="false">
      <c r="A43" s="5" t="s">
        <v>81</v>
      </c>
      <c r="B43" s="31" t="n">
        <f aca="false">IF(B21&gt;0,B41+B42,0)</f>
        <v>0</v>
      </c>
    </row>
    <row r="44" customFormat="false" ht="15" hidden="false" customHeight="false" outlineLevel="0" collapsed="false">
      <c r="A44" s="4" t="s">
        <v>82</v>
      </c>
      <c r="B44" s="32" t="n">
        <f aca="false">IF(B21&gt;0,0.5*B40+0.5*B43,B40)</f>
        <v>170910.161394169</v>
      </c>
      <c r="C44" s="16" t="s">
        <v>83</v>
      </c>
    </row>
    <row r="45" customFormat="false" ht="15" hidden="false" customHeight="false" outlineLevel="0" collapsed="false">
      <c r="A45" s="5" t="s">
        <v>14</v>
      </c>
      <c r="B45" s="20" t="n">
        <f aca="false">B6</f>
        <v>95200</v>
      </c>
    </row>
    <row r="46" customFormat="false" ht="15" hidden="false" customHeight="false" outlineLevel="0" collapsed="false">
      <c r="A46" s="4" t="s">
        <v>15</v>
      </c>
      <c r="B46" s="33" t="n">
        <f aca="false">B44/B45-1</f>
        <v>0.795274804560594</v>
      </c>
    </row>
    <row r="48" customFormat="false" ht="15" hidden="false" customHeight="false" outlineLevel="0" collapsed="false">
      <c r="A48" s="17" t="s">
        <v>84</v>
      </c>
    </row>
    <row r="49" customFormat="false" ht="15" hidden="false" customHeight="false" outlineLevel="0" collapsed="false">
      <c r="A49" s="16" t="s">
        <v>85</v>
      </c>
      <c r="B49" s="34" t="n">
        <f aca="false">B17+(-0.01)</f>
        <v>0.0781</v>
      </c>
      <c r="C49" s="34" t="n">
        <f aca="false">B17+(0)</f>
        <v>0.0881</v>
      </c>
      <c r="D49" s="34" t="n">
        <f aca="false">B17+(0.01)</f>
        <v>0.0981</v>
      </c>
    </row>
    <row r="50" customFormat="false" ht="15" hidden="false" customHeight="false" outlineLevel="0" collapsed="false">
      <c r="A50" s="5" t="s">
        <v>13</v>
      </c>
      <c r="B50" s="20" t="n">
        <f aca="false">IF($B$21&gt;0,0.5*(SUMPRODUCT($C$31:$L$31,1/(1+B$49)^$C$27:$L$27)+$M$29*(1-$B$20/$B$12)/(B$49-$B$20)/(1+B$49)^10)+0.5*(SUMPRODUCT($C$34:$L$34,1/(1+B$49)^$C$27:$L$27)+$M$34/(B$49-$B$20)/(1+B$49)^10),(SUMPRODUCT($C$31:$L$31,1/(1+B$49)^$C$27:$L$27)+$M$29*(1-$B$20/$B$12)/(B$49-$B$20)/(1+B$49)^10))</f>
        <v>207376.089065384</v>
      </c>
      <c r="C50" s="35" t="n">
        <f aca="false">IF($B$21&gt;0,0.5*(SUMPRODUCT($C$31:$L$31,1/(1+C$49)^$C$27:$L$27)+$M$29*(1-$B$20/$B$12)/(C$49-$B$20)/(1+C$49)^10)+0.5*(SUMPRODUCT($C$34:$L$34,1/(1+C$49)^$C$27:$L$27)+$M$34/(C$49-$B$20)/(1+C$49)^10),(SUMPRODUCT($C$31:$L$31,1/(1+C$49)^$C$27:$L$27)+$M$29*(1-$B$20/$B$12)/(C$49-$B$20)/(1+C$49)^10))</f>
        <v>170910.161394169</v>
      </c>
      <c r="D50" s="20" t="n">
        <f aca="false">IF($B$21&gt;0,0.5*(SUMPRODUCT($C$31:$L$31,1/(1+D$49)^$C$27:$L$27)+$M$29*(1-$B$20/$B$12)/(D$49-$B$20)/(1+D$49)^10)+0.5*(SUMPRODUCT($C$34:$L$34,1/(1+D$49)^$C$27:$L$27)+$M$34/(D$49-$B$20)/(1+D$49)^10),(SUMPRODUCT($C$31:$L$31,1/(1+D$49)^$C$27:$L$27)+$M$29*(1-$B$20/$B$12)/(D$49-$B$20)/(1+D$49)^10))</f>
        <v>144630.730185414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10"/>
  </cols>
  <sheetData>
    <row r="1" customFormat="false" ht="18" hidden="false" customHeight="true" outlineLevel="0" collapsed="false">
      <c r="A1" s="1" t="s">
        <v>86</v>
      </c>
    </row>
    <row r="2" customFormat="false" ht="15" hidden="false" customHeight="false" outlineLevel="0" collapsed="false">
      <c r="A2" s="16" t="s">
        <v>87</v>
      </c>
    </row>
    <row r="4" customFormat="false" ht="15" hidden="false" customHeight="false" outlineLevel="0" collapsed="false">
      <c r="A4" s="17" t="s">
        <v>88</v>
      </c>
      <c r="B4" s="17" t="s">
        <v>52</v>
      </c>
      <c r="C4" s="17" t="s">
        <v>53</v>
      </c>
      <c r="D4" s="17" t="s">
        <v>89</v>
      </c>
      <c r="E4" s="17" t="s">
        <v>90</v>
      </c>
    </row>
    <row r="5" customFormat="false" ht="15" hidden="false" customHeight="false" outlineLevel="0" collapsed="false">
      <c r="A5" s="4" t="s">
        <v>91</v>
      </c>
      <c r="B5" s="36" t="n">
        <v>0.0523</v>
      </c>
      <c r="C5" s="36" t="n">
        <v>0.045</v>
      </c>
      <c r="D5" s="37" t="n">
        <v>0.03</v>
      </c>
      <c r="E5" s="16" t="s">
        <v>92</v>
      </c>
    </row>
    <row r="6" customFormat="false" ht="15" hidden="false" customHeight="false" outlineLevel="0" collapsed="false">
      <c r="A6" s="4" t="s">
        <v>93</v>
      </c>
      <c r="B6" s="36" t="n">
        <v>0.0441</v>
      </c>
      <c r="C6" s="36" t="n">
        <v>0.055</v>
      </c>
      <c r="D6" s="37" t="n">
        <v>0.025</v>
      </c>
      <c r="E6" s="16" t="s">
        <v>94</v>
      </c>
    </row>
    <row r="7" customFormat="false" ht="15" hidden="false" customHeight="false" outlineLevel="0" collapsed="false">
      <c r="A7" s="4" t="s">
        <v>95</v>
      </c>
      <c r="B7" s="36" t="n">
        <v>0.0307</v>
      </c>
      <c r="C7" s="36" t="n">
        <v>0.05</v>
      </c>
      <c r="D7" s="37" t="n">
        <v>0.015</v>
      </c>
      <c r="E7" s="16" t="s">
        <v>96</v>
      </c>
    </row>
    <row r="9" customFormat="false" ht="15" hidden="false" customHeight="false" outlineLevel="0" collapsed="false">
      <c r="A9" s="4" t="s">
        <v>97</v>
      </c>
      <c r="B9" s="23" t="n">
        <v>0.8</v>
      </c>
      <c r="C9" s="23" t="n">
        <v>1.6</v>
      </c>
      <c r="E9" s="16" t="s">
        <v>98</v>
      </c>
    </row>
    <row r="10" customFormat="false" ht="15" hidden="false" customHeight="false" outlineLevel="0" collapsed="false">
      <c r="A10" s="4" t="s">
        <v>99</v>
      </c>
      <c r="B10" s="21" t="n">
        <v>0.1</v>
      </c>
      <c r="C10" s="23" t="n">
        <v>0.6</v>
      </c>
      <c r="E10" s="16" t="s">
        <v>100</v>
      </c>
    </row>
    <row r="11" customFormat="false" ht="15" hidden="false" customHeight="false" outlineLevel="0" collapsed="false">
      <c r="A11" s="4" t="s">
        <v>101</v>
      </c>
      <c r="B11" s="21" t="n">
        <v>-0.05</v>
      </c>
    </row>
    <row r="12" customFormat="false" ht="15" hidden="false" customHeight="false" outlineLevel="0" collapsed="false">
      <c r="A12" s="4" t="s">
        <v>102</v>
      </c>
      <c r="B12" s="21" t="n">
        <v>0.08</v>
      </c>
      <c r="C12" s="21" t="n">
        <v>0.3</v>
      </c>
    </row>
    <row r="13" customFormat="false" ht="15" hidden="false" customHeight="false" outlineLevel="0" collapsed="false">
      <c r="A13" s="4" t="s">
        <v>103</v>
      </c>
      <c r="B13" s="38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2026-09-28T02:29:58Z</dcterms:created>
  <dc:creator>Jung Ryul Lee</dc:creator>
  <dc:description/>
  <dc:language>en-US</dc:language>
  <cp:lastModifiedBy>Jung Ryul Lee</cp:lastModifiedBy>
  <dcterms:modified xsi:type="dcterms:W3CDTF">2026-10-19T06:44:11Z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