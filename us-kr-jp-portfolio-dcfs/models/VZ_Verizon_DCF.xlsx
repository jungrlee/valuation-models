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<sst xmlns="http://schemas.openxmlformats.org/spreadsheetml/2006/main" count="79" uniqueCount="74">
  <si>
    <t xml:space="preserve">Verizon (VZ) — FCFE perpetuity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</si>
  <si>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</si>
  <si>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</si>
  <si>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</si>
  <si>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</si>
  <si>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</si>
  <si>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</si>
  <si>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US$ billions unless per share</t>
  </si>
  <si>
    <t xml:space="preserve">What this model does</t>
  </si>
  <si>
    <t xml:space="preserve">Free cash flow to equity valued as a growing perpetuity: FCFE × (1 + g) / (cost of equity − g).</t>
  </si>
  <si>
    <t xml:space="preserve">Also shows the FCFE yield and the growth rate the current price implies.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</si>
  <si>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</si>
  <si>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</si>
  <si>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</si>
  <si>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</si>
  <si>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Cost of equity</t>
  </si>
  <si>
    <t xml:space="preserve">Clears the portfolio's 15% hurdle</t>
  </si>
  <si>
    <t xml:space="preserve">Held in the portfolio</t>
  </si>
  <si>
    <t xml:space="preserve">No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</si>
  <si>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</si>
  <si>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</si>
  <si>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</si>
  <si>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</si>
  <si>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</si>
  <si>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</si>
  <si>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</si>
  <si>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</si>
  <si>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</si>
  <si>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</si>
  <si>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</si>
  <si>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</si>
  <si>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</si>
  <si>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</si>
  <si>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</si>
  <si>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</si>
  <si>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Verizon (VZ)</t>
  </si>
  <si>
    <t xml:space="preserve">FCFE perpetuity: value = FCFE × (1 + g) / (cost of equity − g)</t>
  </si>
  <si>
    <t xml:space="preserve">Inputs: company filings and market data as cited in the portfolio memo (not included) (Tickzen, Stock Titan, company guidance); prices 22–26 Sep 2026. $ in billions unless per share.</t>
  </si>
  <si>
    <t xml:space="preserve">Inputs</t>
  </si>
  <si>
    <t xml:space="preserve">Share price ($)</t>
  </si>
  <si>
    <t xml:space="preserve">Beta</t>
  </si>
  <si>
    <t xml:space="preserve">Risk-free rate</t>
  </si>
  <si>
    <t xml:space="preserve">Equity risk premium</t>
  </si>
  <si>
    <t xml:space="preserve">CAPM</t>
  </si>
  <si>
    <t xml:space="preserve">Free cash flow to equity ($bn)</t>
  </si>
  <si>
    <t xml:space="preserve">Perpetual growth</t>
  </si>
  <si>
    <t xml:space="preserve">Shares (bn)</t>
  </si>
  <si>
    <t xml:space="preserve">Market cap ÷ price at data date</t>
  </si>
  <si>
    <t xml:space="preserve">FCFE ≈ $18bn (OCF $37.1bn − capex); zero growth</t>
  </si>
  <si>
    <t xml:space="preserve">Valuation</t>
  </si>
  <si>
    <t xml:space="preserve">Equity value ($bn)</t>
  </si>
  <si>
    <t xml:space="preserve">Value per share ($)</t>
  </si>
  <si>
    <t xml:space="preserve">FCFE yield at current price</t>
  </si>
  <si>
    <t xml:space="preserve">Implied growth at current price</t>
  </si>
  <si>
    <t xml:space="preserve">Sensitivity: value per share ($)</t>
  </si>
  <si>
    <t xml:space="preserve">Cost of equity ↓  /  growth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</si>
  <si>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</si>
  <si>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</si>
  <si>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</si>
  <si>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Terminal growth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</si>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</sst>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%;\(0.0%\);\-"/>
    <numFmt numFmtId="167" formatCode="\$#,##0.00;&quot;($&quot;#,##0.00\);\-"/>
    <numFmt numFmtId="168" formatCode="0.00"/>
    <numFmt numFmtId="169" formatCode="0.00%;\(0.00%\);\-"/>
    <numFmt numFmtId="170" formatCode="#,##0.00;\(#,##0.00\);\-"/>
    <numFmt numFmtId="171" formatCode="0.0%;\(0.0%\);\-"/>
    <numFmt numFmtId="172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VZ_Verizon_DCF.xlsx" TargetMode="External"/><Relationship Id="rId2" Type="http://schemas.openxmlformats.org/officeDocument/2006/relationships/hyperlink" Target="VZ_Verizon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2" customFormat="false" ht="15" hidden="false" customHeight="false" outlineLevel="0" collapsed="false">
      <c r="B12" s="6" t="s">
        <v>11</v>
      </c>
      <c r="C12" s="3"/>
      <c r="D12" s="3"/>
      <c r="E12" s="3"/>
    </row>
    <row r="13" customFormat="false" ht="15" hidden="false" customHeight="false" outlineLevel="0" collapsed="false">
      <c r="B13" s="5" t="s">
        <v>12</v>
      </c>
      <c r="C13" s="7" t="n">
        <f aca="false">DCF!B18</f>
        <v>56.2061971006692</v>
      </c>
    </row>
    <row r="14" customFormat="false" ht="15" hidden="false" customHeight="false" outlineLevel="0" collapsed="false">
      <c r="B14" s="5" t="s">
        <v>13</v>
      </c>
      <c r="C14" s="7" t="n">
        <f aca="false">DCF!B19</f>
        <v>47.08</v>
      </c>
    </row>
    <row r="15" customFormat="false" ht="15" hidden="false" customHeight="false" outlineLevel="0" collapsed="false">
      <c r="B15" s="5" t="s">
        <v>14</v>
      </c>
      <c r="C15" s="8" t="n">
        <f aca="false">DCF!B20</f>
        <v>0.193844458382948</v>
      </c>
    </row>
    <row r="16" customFormat="false" ht="15" hidden="false" customHeight="false" outlineLevel="0" collapsed="false">
      <c r="B16" s="5" t="s">
        <v>15</v>
      </c>
      <c r="C16" s="8" t="n">
        <f aca="false">DCF!B10</f>
        <v>0.07255</v>
      </c>
    </row>
    <row r="17" customFormat="false" ht="15" hidden="false" customHeight="false" outlineLevel="0" collapsed="false">
      <c r="B17" s="5" t="s">
        <v>16</v>
      </c>
      <c r="C17" s="9" t="str">
        <f aca="false">IF(DCF!B20&gt;=Assumptions!B13,"Yes","No")</f>
        <v>Yes</v>
      </c>
    </row>
    <row r="18" customFormat="false" ht="15" hidden="false" customHeight="false" outlineLevel="0" collapsed="false">
      <c r="B18" s="5" t="s">
        <v>17</v>
      </c>
      <c r="C18" s="9" t="s">
        <v>18</v>
      </c>
    </row>
    <row r="20" customFormat="false" ht="15" hidden="false" customHeight="false" outlineLevel="0" collapsed="false">
      <c r="B20" s="6" t="s">
        <v>19</v>
      </c>
      <c r="C20" s="3"/>
      <c r="D20" s="3"/>
      <c r="E20" s="3"/>
    </row>
    <row r="21" customFormat="false" ht="15" hidden="false" customHeight="false" outlineLevel="0" collapsed="false">
      <c r="B21" s="10" t="s">
        <v>20</v>
      </c>
      <c r="C21" s="5" t="s">
        <v>21</v>
      </c>
    </row>
    <row r="22" customFormat="false" ht="15" hidden="false" customHeight="false" outlineLevel="0" collapsed="false">
      <c r="B22" s="10" t="s">
        <v>22</v>
      </c>
      <c r="C22" s="5" t="s">
        <v>23</v>
      </c>
    </row>
    <row r="24" customFormat="false" ht="15" hidden="false" customHeight="false" outlineLevel="0" collapsed="false">
      <c r="B24" s="6" t="s">
        <v>24</v>
      </c>
      <c r="C24" s="3"/>
      <c r="D24" s="3"/>
      <c r="E24" s="3"/>
    </row>
    <row r="25" customFormat="false" ht="15" hidden="false" customHeight="false" outlineLevel="0" collapsed="false">
      <c r="B25" s="11" t="s">
        <v>25</v>
      </c>
    </row>
    <row r="26" customFormat="false" ht="15" hidden="false" customHeight="false" outlineLevel="0" collapsed="false">
      <c r="B26" s="5" t="s">
        <v>26</v>
      </c>
    </row>
    <row r="27" customFormat="false" ht="15" hidden="false" customHeight="false" outlineLevel="0" collapsed="false">
      <c r="B27" s="12" t="s">
        <v>27</v>
      </c>
    </row>
    <row r="28" customFormat="false" ht="15" hidden="false" customHeight="false" outlineLevel="0" collapsed="false">
      <c r="B28" s="13" t="s">
        <v>28</v>
      </c>
    </row>
    <row r="29" customFormat="false" ht="15" hidden="false" customHeight="false" outlineLevel="0" collapsed="false">
      <c r="B29" s="14" t="s">
        <v>29</v>
      </c>
    </row>
    <row r="31" customFormat="false" ht="15" hidden="false" customHeight="false" outlineLevel="0" collapsed="false">
      <c r="B31" s="6" t="s">
        <v>30</v>
      </c>
      <c r="C31" s="3"/>
      <c r="D31" s="3"/>
      <c r="E31" s="3"/>
    </row>
    <row r="32" customFormat="false" ht="15" hidden="false" customHeight="false" outlineLevel="0" collapsed="false">
      <c r="B32" s="5" t="s">
        <v>31</v>
      </c>
    </row>
    <row r="33" customFormat="false" ht="15" hidden="false" customHeight="false" outlineLevel="0" collapsed="false">
      <c r="B33" s="5" t="s">
        <v>32</v>
      </c>
    </row>
    <row r="35" customFormat="false" ht="15" hidden="false" customHeight="false" outlineLevel="0" collapsed="false">
      <c r="B35" s="4" t="s">
        <v>33</v>
      </c>
    </row>
    <row r="36" customFormat="false" ht="15" hidden="false" customHeight="false" outlineLevel="0" collapsed="false">
      <c r="B36" s="15" t="s">
        <v>34</v>
      </c>
    </row>
  </sheetData>
  <hyperlinks>
    <hyperlink ref="B21" r:id="rId1" location="'DCF'!A1" display="DCF"/>
    <hyperlink ref="B22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35</v>
      </c>
    </row>
    <row r="2" customFormat="false" ht="15" hidden="false" customHeight="false" outlineLevel="0" collapsed="false">
      <c r="A2" s="16" t="s">
        <v>36</v>
      </c>
    </row>
    <row r="3" customFormat="false" ht="15" hidden="false" customHeight="false" outlineLevel="0" collapsed="false">
      <c r="A3" s="16" t="s">
        <v>37</v>
      </c>
    </row>
    <row r="5" customFormat="false" ht="15" hidden="false" customHeight="false" outlineLevel="0" collapsed="false">
      <c r="A5" s="17" t="s">
        <v>38</v>
      </c>
    </row>
    <row r="6" customFormat="false" ht="15" hidden="false" customHeight="false" outlineLevel="0" collapsed="false">
      <c r="A6" s="5" t="s">
        <v>39</v>
      </c>
      <c r="B6" s="18" t="n">
        <v>47.08</v>
      </c>
    </row>
    <row r="7" customFormat="false" ht="15" hidden="false" customHeight="false" outlineLevel="0" collapsed="false">
      <c r="A7" s="5" t="s">
        <v>40</v>
      </c>
      <c r="B7" s="19" t="n">
        <v>0.45</v>
      </c>
    </row>
    <row r="8" customFormat="false" ht="15" hidden="false" customHeight="false" outlineLevel="0" collapsed="false">
      <c r="A8" s="5" t="s">
        <v>41</v>
      </c>
      <c r="B8" s="20" t="n">
        <f aca="false">Assumptions!$B$5</f>
        <v>0.0523</v>
      </c>
    </row>
    <row r="9" customFormat="false" ht="15" hidden="false" customHeight="false" outlineLevel="0" collapsed="false">
      <c r="A9" s="5" t="s">
        <v>42</v>
      </c>
      <c r="B9" s="20" t="n">
        <f aca="false">Assumptions!$C$5</f>
        <v>0.045</v>
      </c>
    </row>
    <row r="10" customFormat="false" ht="15" hidden="false" customHeight="false" outlineLevel="0" collapsed="false">
      <c r="A10" s="5" t="s">
        <v>15</v>
      </c>
      <c r="B10" s="21" t="n">
        <f aca="false">B8+B7*B9</f>
        <v>0.07255</v>
      </c>
      <c r="C10" s="16" t="s">
        <v>43</v>
      </c>
    </row>
    <row r="11" customFormat="false" ht="15" hidden="false" customHeight="false" outlineLevel="0" collapsed="false">
      <c r="A11" s="5" t="s">
        <v>44</v>
      </c>
      <c r="B11" s="22" t="n">
        <v>18</v>
      </c>
    </row>
    <row r="12" customFormat="false" ht="15" hidden="false" customHeight="false" outlineLevel="0" collapsed="false">
      <c r="A12" s="5" t="s">
        <v>45</v>
      </c>
      <c r="B12" s="23" t="n">
        <v>0</v>
      </c>
    </row>
    <row r="13" customFormat="false" ht="15" hidden="false" customHeight="false" outlineLevel="0" collapsed="false">
      <c r="A13" s="5" t="s">
        <v>46</v>
      </c>
      <c r="B13" s="24" t="n">
        <v>4.41418861512319</v>
      </c>
      <c r="C13" s="16" t="s">
        <v>47</v>
      </c>
    </row>
    <row r="14" customFormat="false" ht="15" hidden="false" customHeight="false" outlineLevel="0" collapsed="false">
      <c r="C14" s="16" t="s">
        <v>48</v>
      </c>
    </row>
    <row r="16" customFormat="false" ht="15" hidden="false" customHeight="false" outlineLevel="0" collapsed="false">
      <c r="A16" s="17" t="s">
        <v>49</v>
      </c>
    </row>
    <row r="17" customFormat="false" ht="15" hidden="false" customHeight="false" outlineLevel="0" collapsed="false">
      <c r="A17" s="5" t="s">
        <v>50</v>
      </c>
      <c r="B17" s="25" t="n">
        <f aca="false">B11*(1+B12)/(B10-B12)</f>
        <v>248.104755341144</v>
      </c>
    </row>
    <row r="18" customFormat="false" ht="15" hidden="false" customHeight="false" outlineLevel="0" collapsed="false">
      <c r="A18" s="4" t="s">
        <v>51</v>
      </c>
      <c r="B18" s="26" t="n">
        <f aca="false">B17/B13</f>
        <v>56.2061971006692</v>
      </c>
    </row>
    <row r="19" customFormat="false" ht="15" hidden="false" customHeight="false" outlineLevel="0" collapsed="false">
      <c r="A19" s="5" t="s">
        <v>39</v>
      </c>
      <c r="B19" s="27" t="n">
        <f aca="false">B6</f>
        <v>47.08</v>
      </c>
    </row>
    <row r="20" customFormat="false" ht="15" hidden="false" customHeight="false" outlineLevel="0" collapsed="false">
      <c r="A20" s="4" t="s">
        <v>14</v>
      </c>
      <c r="B20" s="28" t="n">
        <f aca="false">B18/B19-1</f>
        <v>0.193844458382948</v>
      </c>
    </row>
    <row r="21" customFormat="false" ht="15" hidden="false" customHeight="false" outlineLevel="0" collapsed="false">
      <c r="A21" s="5" t="s">
        <v>52</v>
      </c>
      <c r="B21" s="29" t="n">
        <f aca="false">B11/(B6*B13)</f>
        <v>0.0866134154556829</v>
      </c>
    </row>
    <row r="22" customFormat="false" ht="15" hidden="false" customHeight="false" outlineLevel="0" collapsed="false">
      <c r="A22" s="5" t="s">
        <v>53</v>
      </c>
      <c r="B22" s="29" t="n">
        <f aca="false">(B10*B6*B13-B11)/(B6*B13+B11)</f>
        <v>-0.0129424275972014</v>
      </c>
    </row>
    <row r="24" customFormat="false" ht="15" hidden="false" customHeight="false" outlineLevel="0" collapsed="false">
      <c r="A24" s="17" t="s">
        <v>54</v>
      </c>
    </row>
    <row r="25" customFormat="false" ht="15" hidden="false" customHeight="false" outlineLevel="0" collapsed="false">
      <c r="A25" s="16" t="s">
        <v>55</v>
      </c>
      <c r="B25" s="30" t="n">
        <v>-0.01</v>
      </c>
      <c r="C25" s="30" t="n">
        <v>0</v>
      </c>
      <c r="D25" s="30" t="n">
        <v>0.01</v>
      </c>
    </row>
    <row r="26" customFormat="false" ht="15" hidden="false" customHeight="false" outlineLevel="0" collapsed="false">
      <c r="A26" s="31" t="n">
        <f aca="false">B10+(-0.01)</f>
        <v>0.06255</v>
      </c>
      <c r="B26" s="27" t="n">
        <f aca="false">$B$11*(1+B$25)/($A26-B$25)/$B$13</f>
        <v>55.6441351296625</v>
      </c>
      <c r="C26" s="27" t="n">
        <f aca="false">$B$11*(1+C$25)/($A26-C$25)/$B$13</f>
        <v>65.1919999944612</v>
      </c>
      <c r="D26" s="27" t="n">
        <f aca="false">$B$11*(1+D$25)/($A26-D$25)/$B$13</f>
        <v>78.373685930544</v>
      </c>
    </row>
    <row r="27" customFormat="false" ht="15" hidden="false" customHeight="false" outlineLevel="0" collapsed="false">
      <c r="A27" s="31" t="n">
        <f aca="false">B10+(0)</f>
        <v>0.07255</v>
      </c>
      <c r="B27" s="27" t="n">
        <f aca="false">$B$11*(1+B$25)/($A27-B$25)/$B$13</f>
        <v>48.9034767251001</v>
      </c>
      <c r="C27" s="32" t="n">
        <f aca="false">$B$11*(1+C$25)/($A27-C$25)/$B$13</f>
        <v>56.2061971006692</v>
      </c>
      <c r="D27" s="27" t="n">
        <f aca="false">$B$11*(1+D$25)/($A27-D$25)/$B$13</f>
        <v>65.8439199944059</v>
      </c>
    </row>
    <row r="28" customFormat="false" ht="15" hidden="false" customHeight="false" outlineLevel="0" collapsed="false">
      <c r="A28" s="31" t="n">
        <f aca="false">B10+(0.01)</f>
        <v>0.08255</v>
      </c>
      <c r="B28" s="27" t="n">
        <f aca="false">$B$11*(1+B$25)/($A28-B$25)/$B$13</f>
        <v>43.6194705959699</v>
      </c>
      <c r="C28" s="27" t="n">
        <f aca="false">$B$11*(1+C$25)/($A28-C$25)/$B$13</f>
        <v>49.3974512374749</v>
      </c>
      <c r="D28" s="27" t="n">
        <f aca="false">$B$11*(1+D$25)/($A28-D$25)/$B$13</f>
        <v>56.7682590716759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56</v>
      </c>
    </row>
    <row r="2" customFormat="false" ht="15" hidden="false" customHeight="false" outlineLevel="0" collapsed="false">
      <c r="A2" s="16" t="s">
        <v>57</v>
      </c>
    </row>
    <row r="4" customFormat="false" ht="15" hidden="false" customHeight="false" outlineLevel="0" collapsed="false">
      <c r="A4" s="17" t="s">
        <v>58</v>
      </c>
      <c r="B4" s="17" t="s">
        <v>41</v>
      </c>
      <c r="C4" s="17" t="s">
        <v>42</v>
      </c>
      <c r="D4" s="17" t="s">
        <v>59</v>
      </c>
      <c r="E4" s="17" t="s">
        <v>60</v>
      </c>
    </row>
    <row r="5" customFormat="false" ht="15" hidden="false" customHeight="false" outlineLevel="0" collapsed="false">
      <c r="A5" s="4" t="s">
        <v>61</v>
      </c>
      <c r="B5" s="33" t="n">
        <v>0.0523</v>
      </c>
      <c r="C5" s="33" t="n">
        <v>0.045</v>
      </c>
      <c r="D5" s="34" t="n">
        <v>0.03</v>
      </c>
      <c r="E5" s="16" t="s">
        <v>62</v>
      </c>
    </row>
    <row r="6" customFormat="false" ht="15" hidden="false" customHeight="false" outlineLevel="0" collapsed="false">
      <c r="A6" s="4" t="s">
        <v>63</v>
      </c>
      <c r="B6" s="33" t="n">
        <v>0.0441</v>
      </c>
      <c r="C6" s="33" t="n">
        <v>0.055</v>
      </c>
      <c r="D6" s="34" t="n">
        <v>0.025</v>
      </c>
      <c r="E6" s="16" t="s">
        <v>64</v>
      </c>
    </row>
    <row r="7" customFormat="false" ht="15" hidden="false" customHeight="false" outlineLevel="0" collapsed="false">
      <c r="A7" s="4" t="s">
        <v>65</v>
      </c>
      <c r="B7" s="33" t="n">
        <v>0.0307</v>
      </c>
      <c r="C7" s="33" t="n">
        <v>0.05</v>
      </c>
      <c r="D7" s="34" t="n">
        <v>0.015</v>
      </c>
      <c r="E7" s="16" t="s">
        <v>66</v>
      </c>
    </row>
    <row r="9" customFormat="false" ht="15" hidden="false" customHeight="false" outlineLevel="0" collapsed="false">
      <c r="A9" s="4" t="s">
        <v>67</v>
      </c>
      <c r="B9" s="35" t="n">
        <v>0.8</v>
      </c>
      <c r="C9" s="35" t="n">
        <v>1.6</v>
      </c>
      <c r="E9" s="16" t="s">
        <v>68</v>
      </c>
    </row>
    <row r="10" customFormat="false" ht="15" hidden="false" customHeight="false" outlineLevel="0" collapsed="false">
      <c r="A10" s="4" t="s">
        <v>69</v>
      </c>
      <c r="B10" s="36" t="n">
        <v>0.1</v>
      </c>
      <c r="C10" s="35" t="n">
        <v>0.6</v>
      </c>
      <c r="E10" s="16" t="s">
        <v>70</v>
      </c>
    </row>
    <row r="11" customFormat="false" ht="15" hidden="false" customHeight="false" outlineLevel="0" collapsed="false">
      <c r="A11" s="4" t="s">
        <v>71</v>
      </c>
      <c r="B11" s="36" t="n">
        <v>-0.05</v>
      </c>
    </row>
    <row r="12" customFormat="false" ht="15" hidden="false" customHeight="false" outlineLevel="0" collapsed="false">
      <c r="A12" s="4" t="s">
        <v>72</v>
      </c>
      <c r="B12" s="36" t="n">
        <v>0.08</v>
      </c>
      <c r="C12" s="36" t="n">
        <v>0.3</v>
      </c>
    </row>
    <row r="13" customFormat="false" ht="15" hidden="false" customHeight="false" outlineLevel="0" collapsed="false">
      <c r="A13" s="4" t="s">
        <v>73</v>
      </c>
      <c r="B13" s="23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