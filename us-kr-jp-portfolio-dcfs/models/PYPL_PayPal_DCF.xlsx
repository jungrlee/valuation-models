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<sst xmlns="http://schemas.openxmlformats.org/spreadsheetml/2006/main" count="79" uniqueCount="74">
  <si>
    <t xml:space="preserve">PayPal (PYPL) — FCFE perpetuity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</si>
  <si>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</si>
  <si>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</si>
  <si>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</si>
  <si>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</si>
  <si>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</si>
  <si>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</si>
  <si>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</si>
  <si>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</si>
  <si>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Free cash flow to equity valued as a growing perpetuity: FCFE × (1 + g) / (cost of equity − g).</t>
  </si>
  <si>
    <t xml:space="preserve">Also shows the FCFE yield and the growth rate the current price implies.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</si>
  <si>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</si>
  <si>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</si>
  <si>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</si>
  <si>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</si>
  <si>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</si>
  <si>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</si>
  <si>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</si>
  <si>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</si>
  <si>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</si>
  <si>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</si>
  <si>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</si>
  <si>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</si>
  <si>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</si>
  <si>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</si>
  <si>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</si>
  <si>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</si>
  <si>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</si>
  <si>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</si>
  <si>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</si>
  <si>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</si>
  <si>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</si>
  <si>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</si>
  <si>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</si>
  <si>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</si>
  <si>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PayPal (PYPL)</t>
  </si>
  <si>
    <t xml:space="preserve">FCFE perpetuity: value = FCFE × (1 + g) / (cost of equity − g)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</si>
  <si>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</si>
  <si>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</si>
  <si>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</si>
  <si>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</si>
  <si>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</si>
  <si>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</si>
  <si>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CAPM</t>
  </si>
  <si>
    <t xml:space="preserve">Free cash flow to equity ($bn)</t>
  </si>
  <si>
    <t xml:space="preserve">Perpetual growth</t>
  </si>
  <si>
    <t xml:space="preserve">Shares (bn)</t>
  </si>
  <si>
    <t xml:space="preserve">Market cap ÷ price at data date</t>
  </si>
  <si>
    <t xml:space="preserve">FY25 FCF $5.6bn (~12% yield); 1.5% growth</t>
  </si>
  <si>
    <t xml:space="preserve">Valuation</t>
  </si>
  <si>
    <t xml:space="preserve">Equity value ($bn)</t>
  </si>
  <si>
    <t xml:space="preserve">Value per share ($)</t>
  </si>
  <si>
    <t xml:space="preserve">FCFE yield at current price</t>
  </si>
  <si>
    <t xml:space="preserve">Implied growth at current price</t>
  </si>
  <si>
    <t xml:space="preserve">Sensitivity: value per share ($)</t>
  </si>
  <si>
    <t xml:space="preserve">Cost of equity ↓  / 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</si>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</sst>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#,##0.00;\(#,##0.00\);\-"/>
    <numFmt numFmtId="171" formatCode="0.0%;\(0.0%\);\-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YPL_PayPal_DCF.xlsx" TargetMode="External"/><Relationship Id="rId2" Type="http://schemas.openxmlformats.org/officeDocument/2006/relationships/hyperlink" Target="PYPL_PayPal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DCF!B18</f>
        <v>77.203418596717</v>
      </c>
    </row>
    <row r="14" customFormat="false" ht="15" hidden="false" customHeight="false" outlineLevel="0" collapsed="false">
      <c r="B14" s="5" t="s">
        <v>13</v>
      </c>
      <c r="C14" s="7" t="n">
        <f aca="false">DCF!B19</f>
        <v>55.04</v>
      </c>
    </row>
    <row r="15" customFormat="false" ht="15" hidden="false" customHeight="false" outlineLevel="0" collapsed="false">
      <c r="B15" s="5" t="s">
        <v>14</v>
      </c>
      <c r="C15" s="8" t="n">
        <f aca="false">DCF!B20</f>
        <v>0.40267839020198</v>
      </c>
    </row>
    <row r="16" customFormat="false" ht="15" hidden="false" customHeight="false" outlineLevel="0" collapsed="false">
      <c r="B16" s="5" t="s">
        <v>15</v>
      </c>
      <c r="C16" s="8" t="n">
        <f aca="false">DCF!B10</f>
        <v>0.10495</v>
      </c>
    </row>
    <row r="17" customFormat="false" ht="15" hidden="false" customHeight="false" outlineLevel="0" collapsed="false">
      <c r="B17" s="5" t="s">
        <v>16</v>
      </c>
      <c r="C17" s="9" t="str">
        <f aca="false">IF(DCF!B20&gt;=Assumptions!B13,"Yes","No")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55.04</v>
      </c>
    </row>
    <row r="7" customFormat="false" ht="15" hidden="false" customHeight="false" outlineLevel="0" collapsed="false">
      <c r="A7" s="5" t="s">
        <v>40</v>
      </c>
      <c r="B7" s="19" t="n">
        <v>1.17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15</v>
      </c>
      <c r="B10" s="21" t="n">
        <f aca="false">B8+B7*B9</f>
        <v>0.10495</v>
      </c>
      <c r="C10" s="16" t="s">
        <v>43</v>
      </c>
    </row>
    <row r="11" customFormat="false" ht="15" hidden="false" customHeight="false" outlineLevel="0" collapsed="false">
      <c r="A11" s="5" t="s">
        <v>44</v>
      </c>
      <c r="B11" s="22" t="n">
        <v>5.6</v>
      </c>
    </row>
    <row r="12" customFormat="false" ht="15" hidden="false" customHeight="false" outlineLevel="0" collapsed="false">
      <c r="A12" s="5" t="s">
        <v>45</v>
      </c>
      <c r="B12" s="23" t="n">
        <v>0.015</v>
      </c>
    </row>
    <row r="13" customFormat="false" ht="15" hidden="false" customHeight="false" outlineLevel="0" collapsed="false">
      <c r="A13" s="5" t="s">
        <v>46</v>
      </c>
      <c r="B13" s="24" t="n">
        <v>0.818495639534884</v>
      </c>
      <c r="C13" s="16" t="s">
        <v>47</v>
      </c>
    </row>
    <row r="14" customFormat="false" ht="15" hidden="false" customHeight="false" outlineLevel="0" collapsed="false">
      <c r="C14" s="16" t="s">
        <v>48</v>
      </c>
    </row>
    <row r="16" customFormat="false" ht="15" hidden="false" customHeight="false" outlineLevel="0" collapsed="false">
      <c r="A16" s="17" t="s">
        <v>49</v>
      </c>
    </row>
    <row r="17" customFormat="false" ht="15" hidden="false" customHeight="false" outlineLevel="0" collapsed="false">
      <c r="A17" s="5" t="s">
        <v>50</v>
      </c>
      <c r="B17" s="25" t="n">
        <f aca="false">B11*(1+B12)/(B10-B12)</f>
        <v>63.1906614785992</v>
      </c>
    </row>
    <row r="18" customFormat="false" ht="15" hidden="false" customHeight="false" outlineLevel="0" collapsed="false">
      <c r="A18" s="4" t="s">
        <v>51</v>
      </c>
      <c r="B18" s="26" t="n">
        <f aca="false">B17/B13</f>
        <v>77.203418596717</v>
      </c>
    </row>
    <row r="19" customFormat="false" ht="15" hidden="false" customHeight="false" outlineLevel="0" collapsed="false">
      <c r="A19" s="5" t="s">
        <v>39</v>
      </c>
      <c r="B19" s="27" t="n">
        <f aca="false">B6</f>
        <v>55.04</v>
      </c>
    </row>
    <row r="20" customFormat="false" ht="15" hidden="false" customHeight="false" outlineLevel="0" collapsed="false">
      <c r="A20" s="4" t="s">
        <v>14</v>
      </c>
      <c r="B20" s="28" t="n">
        <f aca="false">B18/B19-1</f>
        <v>0.40267839020198</v>
      </c>
    </row>
    <row r="21" customFormat="false" ht="15" hidden="false" customHeight="false" outlineLevel="0" collapsed="false">
      <c r="A21" s="5" t="s">
        <v>52</v>
      </c>
      <c r="B21" s="29" t="n">
        <f aca="false">B11/(B6*B13)</f>
        <v>0.124306326304106</v>
      </c>
    </row>
    <row r="22" customFormat="false" ht="15" hidden="false" customHeight="false" outlineLevel="0" collapsed="false">
      <c r="A22" s="5" t="s">
        <v>53</v>
      </c>
      <c r="B22" s="29" t="n">
        <f aca="false">(B10*B6*B13-B11)/(B6*B13+B11)</f>
        <v>-0.0172162388943731</v>
      </c>
    </row>
    <row r="24" customFormat="false" ht="15" hidden="false" customHeight="false" outlineLevel="0" collapsed="false">
      <c r="A24" s="17" t="s">
        <v>54</v>
      </c>
    </row>
    <row r="25" customFormat="false" ht="15" hidden="false" customHeight="false" outlineLevel="0" collapsed="false">
      <c r="A25" s="16" t="s">
        <v>55</v>
      </c>
      <c r="B25" s="30" t="n">
        <v>0</v>
      </c>
      <c r="C25" s="30" t="n">
        <v>0.015</v>
      </c>
      <c r="D25" s="30" t="n">
        <v>0.03</v>
      </c>
    </row>
    <row r="26" customFormat="false" ht="15" hidden="false" customHeight="false" outlineLevel="0" collapsed="false">
      <c r="A26" s="31" t="n">
        <f aca="false">B10+(-0.01)</f>
        <v>0.09495</v>
      </c>
      <c r="B26" s="27" t="n">
        <f aca="false">$B$11*(1+B$25)/($A26-B$25)/$B$13</f>
        <v>72.0570847791261</v>
      </c>
      <c r="C26" s="27" t="n">
        <f aca="false">$B$11*(1+C$25)/($A26-C$25)/$B$13</f>
        <v>86.8598812104402</v>
      </c>
      <c r="D26" s="27" t="n">
        <f aca="false">$B$11*(1+D$25)/($A26-D$25)/$B$13</f>
        <v>108.499997009567</v>
      </c>
    </row>
    <row r="27" customFormat="false" ht="15" hidden="false" customHeight="false" outlineLevel="0" collapsed="false">
      <c r="A27" s="31" t="n">
        <f aca="false">B10+(0)</f>
        <v>0.10495</v>
      </c>
      <c r="B27" s="27" t="n">
        <f aca="false">$B$11*(1+B$25)/($A27-B$25)/$B$13</f>
        <v>65.191235824469</v>
      </c>
      <c r="C27" s="32" t="n">
        <f aca="false">$B$11*(1+C$25)/($A27-C$25)/$B$13</f>
        <v>77.203418596717</v>
      </c>
      <c r="D27" s="27" t="n">
        <f aca="false">$B$11*(1+D$25)/($A27-D$25)/$B$13</f>
        <v>94.0236798635272</v>
      </c>
    </row>
    <row r="28" customFormat="false" ht="15" hidden="false" customHeight="false" outlineLevel="0" collapsed="false">
      <c r="A28" s="31" t="n">
        <f aca="false">B10+(0.01)</f>
        <v>0.11495</v>
      </c>
      <c r="B28" s="27" t="n">
        <f aca="false">$B$11*(1+B$25)/($A28-B$25)/$B$13</f>
        <v>59.5199669402177</v>
      </c>
      <c r="C28" s="27" t="n">
        <f aca="false">$B$11*(1+C$25)/($A28-C$25)/$B$13</f>
        <v>69.4792146350645</v>
      </c>
      <c r="D28" s="27" t="n">
        <f aca="false">$B$11*(1+D$25)/($A28-D$25)/$B$13</f>
        <v>82.9555598089625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56</v>
      </c>
    </row>
    <row r="2" customFormat="false" ht="15" hidden="false" customHeight="false" outlineLevel="0" collapsed="false">
      <c r="A2" s="16" t="s">
        <v>57</v>
      </c>
    </row>
    <row r="4" customFormat="false" ht="15" hidden="false" customHeight="false" outlineLevel="0" collapsed="false">
      <c r="A4" s="17" t="s">
        <v>58</v>
      </c>
      <c r="B4" s="17" t="s">
        <v>41</v>
      </c>
      <c r="C4" s="17" t="s">
        <v>42</v>
      </c>
      <c r="D4" s="17" t="s">
        <v>59</v>
      </c>
      <c r="E4" s="17" t="s">
        <v>60</v>
      </c>
    </row>
    <row r="5" customFormat="false" ht="15" hidden="false" customHeight="false" outlineLevel="0" collapsed="false">
      <c r="A5" s="4" t="s">
        <v>61</v>
      </c>
      <c r="B5" s="33" t="n">
        <v>0.0523</v>
      </c>
      <c r="C5" s="33" t="n">
        <v>0.045</v>
      </c>
      <c r="D5" s="34" t="n">
        <v>0.03</v>
      </c>
      <c r="E5" s="16" t="s">
        <v>62</v>
      </c>
    </row>
    <row r="6" customFormat="false" ht="15" hidden="false" customHeight="false" outlineLevel="0" collapsed="false">
      <c r="A6" s="4" t="s">
        <v>63</v>
      </c>
      <c r="B6" s="33" t="n">
        <v>0.0441</v>
      </c>
      <c r="C6" s="33" t="n">
        <v>0.055</v>
      </c>
      <c r="D6" s="34" t="n">
        <v>0.025</v>
      </c>
      <c r="E6" s="16" t="s">
        <v>64</v>
      </c>
    </row>
    <row r="7" customFormat="false" ht="15" hidden="false" customHeight="false" outlineLevel="0" collapsed="false">
      <c r="A7" s="4" t="s">
        <v>65</v>
      </c>
      <c r="B7" s="33" t="n">
        <v>0.0307</v>
      </c>
      <c r="C7" s="33" t="n">
        <v>0.05</v>
      </c>
      <c r="D7" s="34" t="n">
        <v>0.015</v>
      </c>
      <c r="E7" s="16" t="s">
        <v>66</v>
      </c>
    </row>
    <row r="9" customFormat="false" ht="15" hidden="false" customHeight="false" outlineLevel="0" collapsed="false">
      <c r="A9" s="4" t="s">
        <v>67</v>
      </c>
      <c r="B9" s="35" t="n">
        <v>0.8</v>
      </c>
      <c r="C9" s="35" t="n">
        <v>1.6</v>
      </c>
      <c r="E9" s="16" t="s">
        <v>68</v>
      </c>
    </row>
    <row r="10" customFormat="false" ht="15" hidden="false" customHeight="false" outlineLevel="0" collapsed="false">
      <c r="A10" s="4" t="s">
        <v>69</v>
      </c>
      <c r="B10" s="36" t="n">
        <v>0.1</v>
      </c>
      <c r="C10" s="35" t="n">
        <v>0.6</v>
      </c>
      <c r="E10" s="16" t="s">
        <v>70</v>
      </c>
    </row>
    <row r="11" customFormat="false" ht="15" hidden="false" customHeight="false" outlineLevel="0" collapsed="false">
      <c r="A11" s="4" t="s">
        <v>71</v>
      </c>
      <c r="B11" s="36" t="n">
        <v>-0.05</v>
      </c>
    </row>
    <row r="12" customFormat="false" ht="15" hidden="false" customHeight="false" outlineLevel="0" collapsed="false">
      <c r="A12" s="4" t="s">
        <v>72</v>
      </c>
      <c r="B12" s="36" t="n">
        <v>0.08</v>
      </c>
      <c r="C12" s="36" t="n">
        <v>0.3</v>
      </c>
    </row>
    <row r="13" customFormat="false" ht="15" hidden="false" customHeight="false" outlineLevel="0" collapsed="false">
      <c r="A13" s="4" t="s">
        <v>73</v>
      </c>
      <c r="B13" s="2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