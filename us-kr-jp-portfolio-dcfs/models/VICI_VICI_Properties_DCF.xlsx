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CF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<sst xmlns="http://schemas.openxmlformats.org/spreadsheetml/2006/main" count="86" uniqueCount="80">
  <si>
    <t xml:space="preserve">VICI Properties (VICI) — Two-stage AFFO discount valuation</t>
  </si>
  <si>
    <t xml:space="preserve">One of 18 stocks valued for a hedged US–Korea–Japan portfolio. Prices 22–28 Sep 2026. Not investment advice.</t>
  </si>
  <si>
    <t xml:space="preserve">Prepared by</t>
  </si>
  <si>
    <t xml:space="preserve">Jung Ryul Lee</t>
  </si>
  <si>
    <t xml:space="preserve">Data as of</t>
  </si>
  <si>
    <t xml:space="preserve">Prices 22–28 Sep 2026</t>
  </si>
  <si>
    <t xml:space="preserve">Units</t>
  </si>
  <si>
    <t xml:space="preserve">US$ billions unless per share</t>
  </si>
  <si>
    <t xml:space="preserve">What this model does</t>
  </si>
  <si>
    <t xml:space="preserve">Two-stage model: cash flow grows at a stage-1 rate for five years, then at a terminal rate forever.</t>
  </si>
  <si>
    <t xml:space="preserve">Discounted at the CAPM cost of equity.</t>
  </si>
  <si>
    <t xml:space="preserve">Key outputs (live links)</t>
  </si>
  <si>
    <t xml:space="preserve">Value per share</t>
  </si>
  <si>
    <t xml:space="preserve">Share price</t>
  </si>
  <si>
    <t xml:space="preserve">Upside / (downside)</t>
  </si>
  <si>
    <t xml:space="preserve">Cost of equity</t>
  </si>
  <si>
    <t xml:space="preserve">Clears the portfolio's 15% hurdle</t>
  </si>
  <si>
    <t xml:space="preserve">Held in the portfolio</t>
  </si>
  <si>
    <t xml:space="preserve">Yes</t>
  </si>
  <si>
    <t xml:space="preserve">Contents</t>
  </si>
  <si>
    <t xml:space="preserve">DCF</t>
  </si>
  <si>
    <t xml:space="preserve">Inputs, projection, valuation and sensitivity</t>
  </si>
  <si>
    <t xml:space="preserve">Assumptions</t>
  </si>
  <si>
    <t xml:space="preserve">Shared market inputs: risk-free rate, equity risk premium, terminal growth; model guard-rails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</si>
  <si>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</si>
  <si>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</si>
  <si>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</si>
  <si>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</si>
  <si>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</si>
  <si>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</si>
  <si>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</si>
  <si>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Inputs come from company filings and market-data pages cited in the portfolio memo (not included).</t>
  </si>
  <si>
    <t xml:space="preserve">• Market inputs are shared with the other 17 models so valuations are comparable across stocks.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</si>
  <si>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</si>
  <si>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</si>
  <si>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VICI Properties (VICI)</t>
  </si>
  <si>
    <t xml:space="preserve">Two-stage AFFO discount: organic rent growth only (2% for 5 years, then 1.5%)</t>
  </si>
  <si>
    <t xml:space="preserve">Inputs: company filings and market data as cited in the portfolio memo (not included) (Tickzen, Stock Titan, company guidance); prices 22–26 Sep 2026. $ in billions unless per share.</t>
  </si>
  <si>
    <t xml:space="preserve">Inputs</t>
  </si>
  <si>
    <t xml:space="preserve">Share price ($)</t>
  </si>
  <si>
    <t xml:space="preserve">Beta</t>
  </si>
  <si>
    <t xml:space="preserve">Risk-free rate</t>
  </si>
  <si>
    <t xml:space="preserve">Equity risk premium</t>
  </si>
  <si>
    <t xml:space="preserve">CAPM</t>
  </si>
  <si>
    <t xml:space="preserve">AFFO per share, forward ($)</t>
  </si>
  <si>
    <t xml:space="preserve">Stage-1 growth</t>
  </si>
  <si>
    <t xml:space="preserve">Stage-1 years</t>
  </si>
  <si>
    <t xml:space="preserve">Terminal growth</t>
  </si>
  <si>
    <t xml:space="preserve">Per-share model (shares = 1)</t>
  </si>
  <si>
    <t xml:space="preserve">Projection ($/share)</t>
  </si>
  <si>
    <t xml:space="preserve">Year</t>
  </si>
  <si>
    <t xml:space="preserve">Cash flow</t>
  </si>
  <si>
    <t xml:space="preserve">Discount factor</t>
  </si>
  <si>
    <t xml:space="preserve">PV</t>
  </si>
  <si>
    <t xml:space="preserve">Valuation</t>
  </si>
  <si>
    <t xml:space="preserve">Sum of PV, years 1–5</t>
  </si>
  <si>
    <t xml:space="preserve">Terminal value (year 5)</t>
  </si>
  <si>
    <t xml:space="preserve">PV of terminal value</t>
  </si>
  <si>
    <t xml:space="preserve">Equity value</t>
  </si>
  <si>
    <t xml:space="preserve">Value per share ($)</t>
  </si>
  <si>
    <t xml:space="preserve">Price ÷ current cash flow</t>
  </si>
  <si>
    <t xml:space="preserve">Sensitivity: value per share ($)</t>
  </si>
  <si>
    <t xml:space="preserve">Cost of equity ↓  /  terminal growth →</t>
  </si>
  <si>
    <t xml:space="preserve">Market assumptions (CAPM)</t>
  </si>
  <si>
    <t xml:space="preserve">Blue = hardcoded input. Every model sheet links here (green), so changing a cell below re-values every stock in that market.</t>
  </si>
  <si>
    <t xml:space="preserve">Market</t>
  </si>
  <si>
    <t xml:space="preserve">Source / note</t>
  </si>
  <si>
    <t xml:space="preserve">US</t>
  </si>
  <si>
    <t xml:space="preserve">US 10-yr Treasury 5.23% (Washington Trust weekly review, 25 Sep 2026); ERP and terminal growth are author assumptions</t>
  </si>
  <si>
    <t xml:space="preserve">KR</t>
  </si>
  <si>
    <t xml:space="preserve">Korea 10-yr KTB 4.41% (Trading Economics, Sep 2026); ERP and terminal growth are author assumptions</t>
  </si>
  <si>
    <t xml:space="preserve">JP</t>
  </si>
  <si>
    <t xml:space="preserve">JGB 10-yr 3.07% (Trading Economics, 25 Sep 2026); ERP and terminal growth are author assumptions</t>
  </si>
  <si>
    <t xml:space="preserve">Beta floor / cap (systematic models)</t>
  </si>
  <si>
    <t xml:space="preserve">Data-feed betas are clipped to this range so no stock gets a cost of equity far below its market's</t>
  </si>
  <si>
    <t xml:space="preserve">Growth cap (systematic models)</t>
  </si>
  <si>
    <t xml:space="preserve">B = max first-stage growth; C = max growth as a multiple of ROE (payout floor 40%)</t>
  </si>
  <si>
    <t xml:space="preserve">Growth floor</t>
  </si>
  <si>
    <t xml:space="preserve">ROE clip for payout (low / high)</t>
  </si>
  <si>
    <t xml:space="preserve">Hurdle (min. upside to hold)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</si>
</sst>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0.0%;\(0.0%\);\-"/>
    <numFmt numFmtId="167" formatCode="\$#,##0.00;&quot;($&quot;#,##0.00\);\-"/>
    <numFmt numFmtId="168" formatCode="0.00"/>
    <numFmt numFmtId="169" formatCode="0.00%;\(0.00%\);\-"/>
    <numFmt numFmtId="170" formatCode="#,##0.00;\(#,##0.00\);\-"/>
    <numFmt numFmtId="171" formatCode="0.0%;\(0.0%\);\-"/>
    <numFmt numFmtId="172" formatCode="0"/>
    <numFmt numFmtId="173" formatCode="0.000"/>
    <numFmt numFmtId="174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VICI_VICI_Properties_DCF.xlsx" TargetMode="External"/><Relationship Id="rId2" Type="http://schemas.openxmlformats.org/officeDocument/2006/relationships/hyperlink" Target="VICI_VICI_Properties_DCF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6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2" customFormat="false" ht="15" hidden="false" customHeight="false" outlineLevel="0" collapsed="false">
      <c r="B12" s="6" t="s">
        <v>11</v>
      </c>
      <c r="C12" s="3"/>
      <c r="D12" s="3"/>
      <c r="E12" s="3"/>
    </row>
    <row r="13" customFormat="false" ht="15" hidden="false" customHeight="false" outlineLevel="0" collapsed="false">
      <c r="B13" s="5" t="s">
        <v>12</v>
      </c>
      <c r="C13" s="7" t="n">
        <f aca="false">DCF!B28</f>
        <v>33.5060700698833</v>
      </c>
    </row>
    <row r="14" customFormat="false" ht="15" hidden="false" customHeight="false" outlineLevel="0" collapsed="false">
      <c r="B14" s="5" t="s">
        <v>13</v>
      </c>
      <c r="C14" s="7" t="n">
        <f aca="false">DCF!B29</f>
        <v>23.71</v>
      </c>
    </row>
    <row r="15" customFormat="false" ht="15" hidden="false" customHeight="false" outlineLevel="0" collapsed="false">
      <c r="B15" s="5" t="s">
        <v>14</v>
      </c>
      <c r="C15" s="8" t="n">
        <f aca="false">DCF!B30</f>
        <v>0.413161959927594</v>
      </c>
    </row>
    <row r="16" customFormat="false" ht="15" hidden="false" customHeight="false" outlineLevel="0" collapsed="false">
      <c r="B16" s="5" t="s">
        <v>15</v>
      </c>
      <c r="C16" s="8" t="n">
        <f aca="false">DCF!B10</f>
        <v>0.0928</v>
      </c>
    </row>
    <row r="17" customFormat="false" ht="15" hidden="false" customHeight="false" outlineLevel="0" collapsed="false">
      <c r="B17" s="5" t="s">
        <v>16</v>
      </c>
      <c r="C17" s="9" t="str">
        <f aca="false">IF(DCF!B30&gt;=Assumptions!B13,"Yes","No")</f>
        <v>Yes</v>
      </c>
    </row>
    <row r="18" customFormat="false" ht="15" hidden="false" customHeight="false" outlineLevel="0" collapsed="false">
      <c r="B18" s="5" t="s">
        <v>17</v>
      </c>
      <c r="C18" s="9" t="s">
        <v>18</v>
      </c>
    </row>
    <row r="20" customFormat="false" ht="15" hidden="false" customHeight="false" outlineLevel="0" collapsed="false">
      <c r="B20" s="6" t="s">
        <v>19</v>
      </c>
      <c r="C20" s="3"/>
      <c r="D20" s="3"/>
      <c r="E20" s="3"/>
    </row>
    <row r="21" customFormat="false" ht="15" hidden="false" customHeight="false" outlineLevel="0" collapsed="false">
      <c r="B21" s="10" t="s">
        <v>20</v>
      </c>
      <c r="C21" s="5" t="s">
        <v>21</v>
      </c>
    </row>
    <row r="22" customFormat="false" ht="15" hidden="false" customHeight="false" outlineLevel="0" collapsed="false">
      <c r="B22" s="10" t="s">
        <v>22</v>
      </c>
      <c r="C22" s="5" t="s">
        <v>23</v>
      </c>
    </row>
    <row r="24" customFormat="false" ht="15" hidden="false" customHeight="false" outlineLevel="0" collapsed="false">
      <c r="B24" s="6" t="s">
        <v>24</v>
      </c>
      <c r="C24" s="3"/>
      <c r="D24" s="3"/>
      <c r="E24" s="3"/>
    </row>
    <row r="25" customFormat="false" ht="15" hidden="false" customHeight="false" outlineLevel="0" collapsed="false">
      <c r="B25" s="11" t="s">
        <v>25</v>
      </c>
    </row>
    <row r="26" customFormat="false" ht="15" hidden="false" customHeight="false" outlineLevel="0" collapsed="false">
      <c r="B26" s="5" t="s">
        <v>26</v>
      </c>
    </row>
    <row r="27" customFormat="false" ht="15" hidden="false" customHeight="false" outlineLevel="0" collapsed="false">
      <c r="B27" s="12" t="s">
        <v>27</v>
      </c>
    </row>
    <row r="28" customFormat="false" ht="15" hidden="false" customHeight="false" outlineLevel="0" collapsed="false">
      <c r="B28" s="13" t="s">
        <v>28</v>
      </c>
    </row>
    <row r="29" customFormat="false" ht="15" hidden="false" customHeight="false" outlineLevel="0" collapsed="false">
      <c r="B29" s="14" t="s">
        <v>29</v>
      </c>
    </row>
    <row r="31" customFormat="false" ht="15" hidden="false" customHeight="false" outlineLevel="0" collapsed="false">
      <c r="B31" s="6" t="s">
        <v>30</v>
      </c>
      <c r="C31" s="3"/>
      <c r="D31" s="3"/>
      <c r="E31" s="3"/>
    </row>
    <row r="32" customFormat="false" ht="15" hidden="false" customHeight="false" outlineLevel="0" collapsed="false">
      <c r="B32" s="5" t="s">
        <v>31</v>
      </c>
    </row>
    <row r="33" customFormat="false" ht="15" hidden="false" customHeight="false" outlineLevel="0" collapsed="false">
      <c r="B33" s="5" t="s">
        <v>32</v>
      </c>
    </row>
    <row r="35" customFormat="false" ht="15" hidden="false" customHeight="false" outlineLevel="0" collapsed="false">
      <c r="B35" s="4" t="s">
        <v>33</v>
      </c>
    </row>
    <row r="36" customFormat="false" ht="15" hidden="false" customHeight="false" outlineLevel="0" collapsed="false">
      <c r="B36" s="15" t="s">
        <v>34</v>
      </c>
    </row>
  </sheetData>
  <hyperlinks>
    <hyperlink ref="B21" r:id="rId1" location="'DCF'!A1" display="DCF"/>
    <hyperlink ref="B22" r:id="rId2" location="'Assumptions'!A1" display="Assump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35</v>
      </c>
    </row>
    <row r="2" customFormat="false" ht="15" hidden="false" customHeight="false" outlineLevel="0" collapsed="false">
      <c r="A2" s="16" t="s">
        <v>36</v>
      </c>
    </row>
    <row r="3" customFormat="false" ht="15" hidden="false" customHeight="false" outlineLevel="0" collapsed="false">
      <c r="A3" s="16" t="s">
        <v>37</v>
      </c>
    </row>
    <row r="5" customFormat="false" ht="15" hidden="false" customHeight="false" outlineLevel="0" collapsed="false">
      <c r="A5" s="17" t="s">
        <v>38</v>
      </c>
    </row>
    <row r="6" customFormat="false" ht="15" hidden="false" customHeight="false" outlineLevel="0" collapsed="false">
      <c r="A6" s="5" t="s">
        <v>39</v>
      </c>
      <c r="B6" s="18" t="n">
        <v>23.71</v>
      </c>
    </row>
    <row r="7" customFormat="false" ht="15" hidden="false" customHeight="false" outlineLevel="0" collapsed="false">
      <c r="A7" s="5" t="s">
        <v>40</v>
      </c>
      <c r="B7" s="19" t="n">
        <v>0.9</v>
      </c>
    </row>
    <row r="8" customFormat="false" ht="15" hidden="false" customHeight="false" outlineLevel="0" collapsed="false">
      <c r="A8" s="5" t="s">
        <v>41</v>
      </c>
      <c r="B8" s="20" t="n">
        <f aca="false">Assumptions!$B$5</f>
        <v>0.0523</v>
      </c>
    </row>
    <row r="9" customFormat="false" ht="15" hidden="false" customHeight="false" outlineLevel="0" collapsed="false">
      <c r="A9" s="5" t="s">
        <v>42</v>
      </c>
      <c r="B9" s="20" t="n">
        <f aca="false">Assumptions!$C$5</f>
        <v>0.045</v>
      </c>
    </row>
    <row r="10" customFormat="false" ht="15" hidden="false" customHeight="false" outlineLevel="0" collapsed="false">
      <c r="A10" s="5" t="s">
        <v>15</v>
      </c>
      <c r="B10" s="21" t="n">
        <f aca="false">B8+B7*B9</f>
        <v>0.0928</v>
      </c>
      <c r="C10" s="16" t="s">
        <v>43</v>
      </c>
    </row>
    <row r="11" customFormat="false" ht="15" hidden="false" customHeight="false" outlineLevel="0" collapsed="false">
      <c r="A11" s="5" t="s">
        <v>44</v>
      </c>
      <c r="B11" s="22" t="n">
        <v>2.51404494382023</v>
      </c>
    </row>
    <row r="12" customFormat="false" ht="15" hidden="false" customHeight="false" outlineLevel="0" collapsed="false">
      <c r="A12" s="5" t="s">
        <v>45</v>
      </c>
      <c r="B12" s="23" t="n">
        <v>0.02</v>
      </c>
    </row>
    <row r="13" customFormat="false" ht="15" hidden="false" customHeight="false" outlineLevel="0" collapsed="false">
      <c r="A13" s="5" t="s">
        <v>46</v>
      </c>
      <c r="B13" s="24" t="n">
        <v>5</v>
      </c>
    </row>
    <row r="14" customFormat="false" ht="15" hidden="false" customHeight="false" outlineLevel="0" collapsed="false">
      <c r="A14" s="5" t="s">
        <v>47</v>
      </c>
      <c r="B14" s="23" t="n">
        <v>0.015</v>
      </c>
    </row>
    <row r="15" customFormat="false" ht="15" hidden="false" customHeight="false" outlineLevel="0" collapsed="false">
      <c r="A15" s="5" t="s">
        <v>48</v>
      </c>
      <c r="B15" s="25" t="n">
        <v>1</v>
      </c>
    </row>
    <row r="17" customFormat="false" ht="15" hidden="false" customHeight="false" outlineLevel="0" collapsed="false">
      <c r="A17" s="17" t="s">
        <v>49</v>
      </c>
    </row>
    <row r="18" customFormat="false" ht="15" hidden="false" customHeight="false" outlineLevel="0" collapsed="false">
      <c r="A18" s="4" t="s">
        <v>50</v>
      </c>
      <c r="C18" s="26" t="n">
        <v>1</v>
      </c>
      <c r="D18" s="26" t="n">
        <v>2</v>
      </c>
      <c r="E18" s="26" t="n">
        <v>3</v>
      </c>
      <c r="F18" s="26" t="n">
        <v>4</v>
      </c>
      <c r="G18" s="26" t="n">
        <v>5</v>
      </c>
    </row>
    <row r="19" customFormat="false" ht="15" hidden="false" customHeight="false" outlineLevel="0" collapsed="false">
      <c r="A19" s="5" t="s">
        <v>51</v>
      </c>
      <c r="C19" s="27" t="n">
        <f aca="false">$B$11*(1+$B$12)</f>
        <v>2.56432584269664</v>
      </c>
      <c r="D19" s="27" t="n">
        <f aca="false">C19*(1+$B$12)</f>
        <v>2.61561235955057</v>
      </c>
      <c r="E19" s="27" t="n">
        <f aca="false">D19*(1+$B$12)</f>
        <v>2.66792460674158</v>
      </c>
      <c r="F19" s="27" t="n">
        <f aca="false">E19*(1+$B$12)</f>
        <v>2.72128309887641</v>
      </c>
      <c r="G19" s="27" t="n">
        <f aca="false">F19*(1+$B$12)</f>
        <v>2.77570876085394</v>
      </c>
    </row>
    <row r="20" customFormat="false" ht="15" hidden="false" customHeight="false" outlineLevel="0" collapsed="false">
      <c r="A20" s="5" t="s">
        <v>52</v>
      </c>
      <c r="C20" s="28" t="n">
        <f aca="false">1/(1+$B$10)^C18</f>
        <v>0.915080527086384</v>
      </c>
      <c r="D20" s="28" t="n">
        <f aca="false">1/(1+$B$10)^D18</f>
        <v>0.837372371052694</v>
      </c>
      <c r="E20" s="28" t="n">
        <f aca="false">1/(1+$B$10)^E18</f>
        <v>0.766263150670474</v>
      </c>
      <c r="F20" s="28" t="n">
        <f aca="false">1/(1+$B$10)^F18</f>
        <v>0.70119248780241</v>
      </c>
      <c r="G20" s="28" t="n">
        <f aca="false">1/(1+$B$10)^G18</f>
        <v>0.641647591327242</v>
      </c>
    </row>
    <row r="21" customFormat="false" ht="15" hidden="false" customHeight="false" outlineLevel="0" collapsed="false">
      <c r="A21" s="5" t="s">
        <v>53</v>
      </c>
      <c r="C21" s="27" t="n">
        <f aca="false">C19*C20</f>
        <v>2.34656464375607</v>
      </c>
      <c r="D21" s="27" t="n">
        <f aca="false">D19*D20</f>
        <v>2.19024152327159</v>
      </c>
      <c r="E21" s="27" t="n">
        <f aca="false">E19*E20</f>
        <v>2.04433231491309</v>
      </c>
      <c r="F21" s="27" t="n">
        <f aca="false">F19*F20</f>
        <v>1.9081432661158</v>
      </c>
      <c r="G21" s="27" t="n">
        <f aca="false">G19*G20</f>
        <v>1.78102684062785</v>
      </c>
    </row>
    <row r="23" customFormat="false" ht="15" hidden="false" customHeight="false" outlineLevel="0" collapsed="false">
      <c r="A23" s="17" t="s">
        <v>54</v>
      </c>
    </row>
    <row r="24" customFormat="false" ht="15" hidden="false" customHeight="false" outlineLevel="0" collapsed="false">
      <c r="A24" s="5" t="s">
        <v>55</v>
      </c>
      <c r="B24" s="27" t="n">
        <f aca="false">SUM(C21:G21)</f>
        <v>10.2703085886844</v>
      </c>
    </row>
    <row r="25" customFormat="false" ht="15" hidden="false" customHeight="false" outlineLevel="0" collapsed="false">
      <c r="A25" s="5" t="s">
        <v>56</v>
      </c>
      <c r="B25" s="27" t="n">
        <f aca="false">G19*(1+B14)/(B10-B14)</f>
        <v>36.2126528568991</v>
      </c>
    </row>
    <row r="26" customFormat="false" ht="15" hidden="false" customHeight="false" outlineLevel="0" collapsed="false">
      <c r="A26" s="5" t="s">
        <v>57</v>
      </c>
      <c r="B26" s="27" t="n">
        <f aca="false">B25*G20</f>
        <v>23.2357614811989</v>
      </c>
    </row>
    <row r="27" customFormat="false" ht="15" hidden="false" customHeight="false" outlineLevel="0" collapsed="false">
      <c r="A27" s="5" t="s">
        <v>58</v>
      </c>
      <c r="B27" s="29" t="n">
        <f aca="false">B24+B26</f>
        <v>33.5060700698833</v>
      </c>
    </row>
    <row r="28" customFormat="false" ht="15" hidden="false" customHeight="false" outlineLevel="0" collapsed="false">
      <c r="A28" s="4" t="s">
        <v>59</v>
      </c>
      <c r="B28" s="30" t="n">
        <f aca="false">B27/B15</f>
        <v>33.5060700698833</v>
      </c>
    </row>
    <row r="29" customFormat="false" ht="15" hidden="false" customHeight="false" outlineLevel="0" collapsed="false">
      <c r="A29" s="5" t="s">
        <v>39</v>
      </c>
      <c r="B29" s="31" t="n">
        <f aca="false">B6</f>
        <v>23.71</v>
      </c>
    </row>
    <row r="30" customFormat="false" ht="15" hidden="false" customHeight="false" outlineLevel="0" collapsed="false">
      <c r="A30" s="4" t="s">
        <v>14</v>
      </c>
      <c r="B30" s="32" t="n">
        <f aca="false">B28/B29-1</f>
        <v>0.413161959927594</v>
      </c>
    </row>
    <row r="31" customFormat="false" ht="15" hidden="false" customHeight="false" outlineLevel="0" collapsed="false">
      <c r="A31" s="5" t="s">
        <v>60</v>
      </c>
      <c r="B31" s="33" t="n">
        <f aca="false">B6/(B11/B15)</f>
        <v>9.43101675977652</v>
      </c>
    </row>
    <row r="33" customFormat="false" ht="15" hidden="false" customHeight="false" outlineLevel="0" collapsed="false">
      <c r="A33" s="17" t="s">
        <v>61</v>
      </c>
    </row>
    <row r="34" customFormat="false" ht="15" hidden="false" customHeight="false" outlineLevel="0" collapsed="false">
      <c r="A34" s="16" t="s">
        <v>62</v>
      </c>
      <c r="B34" s="34" t="n">
        <v>0.005</v>
      </c>
      <c r="C34" s="34" t="n">
        <v>0.015</v>
      </c>
      <c r="D34" s="34" t="n">
        <v>0.025</v>
      </c>
    </row>
    <row r="35" customFormat="false" ht="15" hidden="false" customHeight="false" outlineLevel="0" collapsed="false">
      <c r="A35" s="35" t="n">
        <f aca="false">B10+(-0.01)</f>
        <v>0.0828</v>
      </c>
      <c r="B35" s="31" t="n">
        <f aca="false">(SUMPRODUCT($C$19:$G$19,1/(1+$A35)^$C$18:$G$18)+$G$19*(1+B$34)/($A35-B$34)/(1+$A35)^5)/$B$15</f>
        <v>34.6340529069978</v>
      </c>
      <c r="C35" s="31" t="n">
        <f aca="false">(SUMPRODUCT($C$19:$G$19,1/(1+$A35)^$C$18:$G$18)+$G$19*(1+C$34)/($A35-C$34)/(1+$A35)^5)/$B$15</f>
        <v>38.4620501551509</v>
      </c>
      <c r="D35" s="31" t="n">
        <f aca="false">(SUMPRODUCT($C$19:$G$19,1/(1+$A35)^$C$18:$G$18)+$G$19*(1+D$34)/($A35-D$34)/(1+$A35)^5)/$B$15</f>
        <v>43.6146139251563</v>
      </c>
    </row>
    <row r="36" customFormat="false" ht="15" hidden="false" customHeight="false" outlineLevel="0" collapsed="false">
      <c r="A36" s="35" t="n">
        <f aca="false">B10+(0)</f>
        <v>0.0928</v>
      </c>
      <c r="B36" s="31" t="n">
        <f aca="false">(SUMPRODUCT($C$19:$G$19,1/(1+$A36)^$C$18:$G$18)+$G$19*(1+B$34)/($A36-B$34)/(1+$A36)^5)/$B$15</f>
        <v>30.656777550313</v>
      </c>
      <c r="C36" s="36" t="n">
        <f aca="false">(SUMPRODUCT($C$19:$G$19,1/(1+$A36)^$C$18:$G$18)+$G$19*(1+C$34)/($A36-C$34)/(1+$A36)^5)/$B$15</f>
        <v>33.5060700698833</v>
      </c>
      <c r="D36" s="31" t="n">
        <f aca="false">(SUMPRODUCT($C$19:$G$19,1/(1+$A36)^$C$18:$G$18)+$G$19*(1+D$34)/($A36-D$34)/(1+$A36)^5)/$B$15</f>
        <v>37.1958618577633</v>
      </c>
    </row>
    <row r="37" customFormat="false" ht="15" hidden="false" customHeight="false" outlineLevel="0" collapsed="false">
      <c r="A37" s="35" t="n">
        <f aca="false">B10+(0.01)</f>
        <v>0.1028</v>
      </c>
      <c r="B37" s="31" t="n">
        <f aca="false">(SUMPRODUCT($C$19:$G$19,1/(1+$A37)^$C$18:$G$18)+$G$19*(1+B$34)/($A37-B$34)/(1+$A37)^5)/$B$15</f>
        <v>27.4938854258984</v>
      </c>
      <c r="C37" s="31" t="n">
        <f aca="false">(SUMPRODUCT($C$19:$G$19,1/(1+$A37)^$C$18:$G$18)+$G$19*(1+C$34)/($A37-C$34)/(1+$A37)^5)/$B$15</f>
        <v>29.6793989371531</v>
      </c>
      <c r="D37" s="31" t="n">
        <f aca="false">(SUMPRODUCT($C$19:$G$19,1/(1+$A37)^$C$18:$G$18)+$G$19*(1+D$34)/($A37-D$34)/(1+$A37)^5)/$B$15</f>
        <v>32.4267411145402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10"/>
  </cols>
  <sheetData>
    <row r="1" customFormat="false" ht="18" hidden="false" customHeight="true" outlineLevel="0" collapsed="false">
      <c r="A1" s="1" t="s">
        <v>63</v>
      </c>
    </row>
    <row r="2" customFormat="false" ht="15" hidden="false" customHeight="false" outlineLevel="0" collapsed="false">
      <c r="A2" s="16" t="s">
        <v>64</v>
      </c>
    </row>
    <row r="4" customFormat="false" ht="15" hidden="false" customHeight="false" outlineLevel="0" collapsed="false">
      <c r="A4" s="17" t="s">
        <v>65</v>
      </c>
      <c r="B4" s="17" t="s">
        <v>41</v>
      </c>
      <c r="C4" s="17" t="s">
        <v>42</v>
      </c>
      <c r="D4" s="17" t="s">
        <v>47</v>
      </c>
      <c r="E4" s="17" t="s">
        <v>66</v>
      </c>
    </row>
    <row r="5" customFormat="false" ht="15" hidden="false" customHeight="false" outlineLevel="0" collapsed="false">
      <c r="A5" s="4" t="s">
        <v>67</v>
      </c>
      <c r="B5" s="37" t="n">
        <v>0.0523</v>
      </c>
      <c r="C5" s="37" t="n">
        <v>0.045</v>
      </c>
      <c r="D5" s="38" t="n">
        <v>0.03</v>
      </c>
      <c r="E5" s="16" t="s">
        <v>68</v>
      </c>
    </row>
    <row r="6" customFormat="false" ht="15" hidden="false" customHeight="false" outlineLevel="0" collapsed="false">
      <c r="A6" s="4" t="s">
        <v>69</v>
      </c>
      <c r="B6" s="37" t="n">
        <v>0.0441</v>
      </c>
      <c r="C6" s="37" t="n">
        <v>0.055</v>
      </c>
      <c r="D6" s="38" t="n">
        <v>0.025</v>
      </c>
      <c r="E6" s="16" t="s">
        <v>70</v>
      </c>
    </row>
    <row r="7" customFormat="false" ht="15" hidden="false" customHeight="false" outlineLevel="0" collapsed="false">
      <c r="A7" s="4" t="s">
        <v>71</v>
      </c>
      <c r="B7" s="37" t="n">
        <v>0.0307</v>
      </c>
      <c r="C7" s="37" t="n">
        <v>0.05</v>
      </c>
      <c r="D7" s="38" t="n">
        <v>0.015</v>
      </c>
      <c r="E7" s="16" t="s">
        <v>72</v>
      </c>
    </row>
    <row r="9" customFormat="false" ht="15" hidden="false" customHeight="false" outlineLevel="0" collapsed="false">
      <c r="A9" s="4" t="s">
        <v>73</v>
      </c>
      <c r="B9" s="39" t="n">
        <v>0.8</v>
      </c>
      <c r="C9" s="39" t="n">
        <v>1.6</v>
      </c>
      <c r="E9" s="16" t="s">
        <v>74</v>
      </c>
    </row>
    <row r="10" customFormat="false" ht="15" hidden="false" customHeight="false" outlineLevel="0" collapsed="false">
      <c r="A10" s="4" t="s">
        <v>75</v>
      </c>
      <c r="B10" s="40" t="n">
        <v>0.1</v>
      </c>
      <c r="C10" s="39" t="n">
        <v>0.6</v>
      </c>
      <c r="E10" s="16" t="s">
        <v>76</v>
      </c>
    </row>
    <row r="11" customFormat="false" ht="15" hidden="false" customHeight="false" outlineLevel="0" collapsed="false">
      <c r="A11" s="4" t="s">
        <v>77</v>
      </c>
      <c r="B11" s="40" t="n">
        <v>-0.05</v>
      </c>
    </row>
    <row r="12" customFormat="false" ht="15" hidden="false" customHeight="false" outlineLevel="0" collapsed="false">
      <c r="A12" s="4" t="s">
        <v>78</v>
      </c>
      <c r="B12" s="40" t="n">
        <v>0.08</v>
      </c>
      <c r="C12" s="40" t="n">
        <v>0.3</v>
      </c>
    </row>
    <row r="13" customFormat="false" ht="15" hidden="false" customHeight="false" outlineLevel="0" collapsed="false">
      <c r="A13" s="4" t="s">
        <v>79</v>
      </c>
      <c r="B13" s="23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2026-09-28T02:29:58Z</dcterms:created>
  <dc:creator>Jung Ryul Lee</dc:creator>
  <dc:description/>
  <dc:language>en-US</dc:language>
  <cp:lastModifiedBy>Jung Ryul Lee</cp:lastModifiedBy>
  <dcterms:modified xsi:type="dcterms:W3CDTF">2026-10-19T06:44:11Z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