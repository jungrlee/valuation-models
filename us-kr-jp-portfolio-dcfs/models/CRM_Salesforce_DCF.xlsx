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<sst xmlns="http://schemas.openxmlformats.org/spreadsheetml/2006/main" count="106" uniqueCount="100">
  <si>
    <t xml:space="preserve">Salesforce (CRM) — 10-yr FCFF DCF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</si>
  <si>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</si>
  <si>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</si>
  <si>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</si>
  <si>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</si>
  <si>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</si>
  <si>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</si>
  <si>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</si>
  <si>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</si>
  <si>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10-year free cash flow to the firm: revenue × FCF margin, with growth and margin fading linearly to year 10.</t>
  </si>
  <si>
    <t xml:space="preserve">Discounted at WACC (CAPM cost of equity, after-tax cost of debt); Gordon terminal value; equity = EV − net debt.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</si>
  <si>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</si>
  <si>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</si>
  <si>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</si>
  <si>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</si>
  <si>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WACC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</si>
  <si>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</si>
  <si>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</si>
  <si>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</si>
  <si>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</si>
  <si>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</si>
  <si>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</si>
  <si>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</si>
  <si>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</si>
  <si>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</si>
  <si>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</si>
  <si>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</si>
  <si>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</si>
  <si>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</si>
  <si>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</si>
  <si>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</si>
  <si>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</si>
  <si>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</si>
  <si>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</si>
  <si>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</si>
  <si>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Salesforce (CRM)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</si>
  <si>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</si>
  <si>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</si>
  <si>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</si>
  <si>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</si>
  <si>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</si>
  <si>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</si>
  <si>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</si>
  <si>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Cost of equity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</si>
  <si>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</si>
  <si>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</si>
  <si>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</si>
  <si>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</si>
  <si>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</si>
  <si>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</si>
  <si>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Small haircut used for mega-caps with net cash / low leverage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</si>
  <si>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</si>
  <si>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</si>
  <si>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</si>
  <si>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</si>
  <si>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</si>
  <si>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Terminal growth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</si>
  <si>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</si>
  <si>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</si>
  <si>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</si>
  <si>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</si>
  <si>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</si>
  <si>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Rev $45.6bn TTM; growth 9% → 2%; FCF margin 35% → 33%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</si>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</sst>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0.0%;\(0.0%\);\-"/>
    <numFmt numFmtId="171" formatCode="#,##0.00;\(#,##0.00\);\-"/>
    <numFmt numFmtId="172" formatCode="0.000"/>
    <numFmt numFmtId="173" formatCode="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RM_Salesforce_DCF.xlsx" TargetMode="External"/><Relationship Id="rId2" Type="http://schemas.openxmlformats.org/officeDocument/2006/relationships/hyperlink" Target="CRM_Salesforce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DCF!B42</f>
        <v>255.457892236287</v>
      </c>
    </row>
    <row r="14" customFormat="false" ht="15" hidden="false" customHeight="false" outlineLevel="0" collapsed="false">
      <c r="B14" s="5" t="s">
        <v>13</v>
      </c>
      <c r="C14" s="7" t="n">
        <f aca="false">DCF!B43</f>
        <v>234.02</v>
      </c>
    </row>
    <row r="15" customFormat="false" ht="15" hidden="false" customHeight="false" outlineLevel="0" collapsed="false">
      <c r="B15" s="5" t="s">
        <v>14</v>
      </c>
      <c r="C15" s="8" t="n">
        <f aca="false">DCF!B44</f>
        <v>0.0916070944205076</v>
      </c>
    </row>
    <row r="16" customFormat="false" ht="15" hidden="false" customHeight="false" outlineLevel="0" collapsed="false">
      <c r="B16" s="5" t="s">
        <v>15</v>
      </c>
      <c r="C16" s="8" t="n">
        <f aca="false">DCF!B15</f>
        <v>0.0988</v>
      </c>
    </row>
    <row r="17" customFormat="false" ht="15" hidden="false" customHeight="false" outlineLevel="0" collapsed="false">
      <c r="B17" s="5" t="s">
        <v>16</v>
      </c>
      <c r="C17" s="9" t="str">
        <f aca="false">IF(DCF!B44&gt;=Assumptions!B13,"Yes","No")</f>
        <v>No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234.02</v>
      </c>
    </row>
    <row r="7" customFormat="false" ht="15" hidden="false" customHeight="false" outlineLevel="0" collapsed="false">
      <c r="A7" s="5" t="s">
        <v>40</v>
      </c>
      <c r="B7" s="19" t="n">
        <v>1.1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43</v>
      </c>
      <c r="B10" s="21" t="n">
        <f aca="false">B8+B7*B9</f>
        <v>0.1018</v>
      </c>
      <c r="C10" s="16" t="s">
        <v>44</v>
      </c>
    </row>
    <row r="11" customFormat="false" ht="15" hidden="false" customHeight="false" outlineLevel="0" collapsed="false">
      <c r="A11" s="5" t="s">
        <v>45</v>
      </c>
      <c r="B11" s="22" t="n">
        <v>0</v>
      </c>
      <c r="C11" s="16" t="s">
        <v>46</v>
      </c>
    </row>
    <row r="12" customFormat="false" ht="15" hidden="false" customHeight="false" outlineLevel="0" collapsed="false">
      <c r="A12" s="5" t="s">
        <v>47</v>
      </c>
      <c r="B12" s="23" t="n">
        <v>0</v>
      </c>
    </row>
    <row r="13" customFormat="false" ht="15" hidden="false" customHeight="false" outlineLevel="0" collapsed="false">
      <c r="A13" s="5" t="s">
        <v>48</v>
      </c>
      <c r="B13" s="22" t="n">
        <v>0</v>
      </c>
    </row>
    <row r="14" customFormat="false" ht="15" hidden="false" customHeight="false" outlineLevel="0" collapsed="false">
      <c r="A14" s="5" t="s">
        <v>49</v>
      </c>
      <c r="B14" s="23" t="n">
        <v>-0.003</v>
      </c>
      <c r="C14" s="16" t="s">
        <v>50</v>
      </c>
    </row>
    <row r="15" customFormat="false" ht="15" hidden="false" customHeight="false" outlineLevel="0" collapsed="false">
      <c r="A15" s="5" t="s">
        <v>15</v>
      </c>
      <c r="B15" s="21" t="n">
        <f aca="false">(1-B11)*B10+B11*B12*(1-B13)+B14</f>
        <v>0.0988</v>
      </c>
    </row>
    <row r="16" customFormat="false" ht="15" hidden="false" customHeight="false" outlineLevel="0" collapsed="false">
      <c r="A16" s="5" t="s">
        <v>51</v>
      </c>
      <c r="B16" s="24" t="n">
        <v>45.6</v>
      </c>
    </row>
    <row r="17" customFormat="false" ht="15" hidden="false" customHeight="false" outlineLevel="0" collapsed="false">
      <c r="A17" s="5" t="s">
        <v>52</v>
      </c>
      <c r="B17" s="25" t="n">
        <v>0.09</v>
      </c>
    </row>
    <row r="18" customFormat="false" ht="15" hidden="false" customHeight="false" outlineLevel="0" collapsed="false">
      <c r="A18" s="5" t="s">
        <v>53</v>
      </c>
      <c r="B18" s="25" t="n">
        <v>0.02</v>
      </c>
    </row>
    <row r="19" customFormat="false" ht="15" hidden="false" customHeight="false" outlineLevel="0" collapsed="false">
      <c r="A19" s="5" t="s">
        <v>54</v>
      </c>
      <c r="B19" s="25" t="n">
        <v>0.35</v>
      </c>
    </row>
    <row r="20" customFormat="false" ht="15" hidden="false" customHeight="false" outlineLevel="0" collapsed="false">
      <c r="A20" s="5" t="s">
        <v>55</v>
      </c>
      <c r="B20" s="25" t="n">
        <v>0.33</v>
      </c>
    </row>
    <row r="21" customFormat="false" ht="15" hidden="false" customHeight="false" outlineLevel="0" collapsed="false">
      <c r="A21" s="5" t="s">
        <v>56</v>
      </c>
      <c r="B21" s="25" t="n">
        <v>0.02</v>
      </c>
      <c r="C21" s="16" t="s">
        <v>57</v>
      </c>
    </row>
    <row r="22" customFormat="false" ht="15" hidden="false" customHeight="false" outlineLevel="0" collapsed="false">
      <c r="A22" s="5" t="s">
        <v>58</v>
      </c>
      <c r="B22" s="24" t="n">
        <v>31</v>
      </c>
      <c r="C22" s="16" t="s">
        <v>59</v>
      </c>
    </row>
    <row r="23" customFormat="false" ht="15" hidden="false" customHeight="false" outlineLevel="0" collapsed="false">
      <c r="A23" s="5" t="s">
        <v>60</v>
      </c>
      <c r="B23" s="26" t="n">
        <v>0.905734552602342</v>
      </c>
      <c r="C23" s="16" t="s">
        <v>61</v>
      </c>
    </row>
    <row r="24" customFormat="false" ht="15" hidden="false" customHeight="false" outlineLevel="0" collapsed="false">
      <c r="C24" s="16" t="s">
        <v>62</v>
      </c>
    </row>
    <row r="26" customFormat="false" ht="15" hidden="false" customHeight="false" outlineLevel="0" collapsed="false">
      <c r="A26" s="17" t="s">
        <v>63</v>
      </c>
    </row>
    <row r="27" customFormat="false" ht="15" hidden="false" customHeight="false" outlineLevel="0" collapsed="false">
      <c r="A27" s="4" t="s">
        <v>64</v>
      </c>
      <c r="C27" s="27" t="n">
        <v>1</v>
      </c>
      <c r="D27" s="27" t="n">
        <v>2</v>
      </c>
      <c r="E27" s="27" t="n">
        <v>3</v>
      </c>
      <c r="F27" s="27" t="n">
        <v>4</v>
      </c>
      <c r="G27" s="27" t="n">
        <v>5</v>
      </c>
      <c r="H27" s="27" t="n">
        <v>6</v>
      </c>
      <c r="I27" s="27" t="n">
        <v>7</v>
      </c>
      <c r="J27" s="27" t="n">
        <v>8</v>
      </c>
      <c r="K27" s="27" t="n">
        <v>9</v>
      </c>
      <c r="L27" s="27" t="n">
        <v>10</v>
      </c>
    </row>
    <row r="28" customFormat="false" ht="15" hidden="false" customHeight="false" outlineLevel="0" collapsed="false">
      <c r="A28" s="5" t="s">
        <v>65</v>
      </c>
      <c r="C28" s="28" t="n">
        <f aca="false">$B$17+($B$18-$B$17)*(C27-1)/9</f>
        <v>0.09</v>
      </c>
      <c r="D28" s="28" t="n">
        <f aca="false">$B$17+($B$18-$B$17)*(D27-1)/9</f>
        <v>0.0822222222222222</v>
      </c>
      <c r="E28" s="28" t="n">
        <f aca="false">$B$17+($B$18-$B$17)*(E27-1)/9</f>
        <v>0.0744444444444444</v>
      </c>
      <c r="F28" s="28" t="n">
        <f aca="false">$B$17+($B$18-$B$17)*(F27-1)/9</f>
        <v>0.0666666666666667</v>
      </c>
      <c r="G28" s="28" t="n">
        <f aca="false">$B$17+($B$18-$B$17)*(G27-1)/9</f>
        <v>0.0588888888888889</v>
      </c>
      <c r="H28" s="28" t="n">
        <f aca="false">$B$17+($B$18-$B$17)*(H27-1)/9</f>
        <v>0.0511111111111111</v>
      </c>
      <c r="I28" s="28" t="n">
        <f aca="false">$B$17+($B$18-$B$17)*(I27-1)/9</f>
        <v>0.0433333333333333</v>
      </c>
      <c r="J28" s="28" t="n">
        <f aca="false">$B$17+($B$18-$B$17)*(J27-1)/9</f>
        <v>0.0355555555555556</v>
      </c>
      <c r="K28" s="28" t="n">
        <f aca="false">$B$17+($B$18-$B$17)*(K27-1)/9</f>
        <v>0.0277777777777778</v>
      </c>
      <c r="L28" s="28" t="n">
        <f aca="false">$B$17+($B$18-$B$17)*(L27-1)/9</f>
        <v>0.02</v>
      </c>
    </row>
    <row r="29" customFormat="false" ht="15" hidden="false" customHeight="false" outlineLevel="0" collapsed="false">
      <c r="A29" s="5" t="s">
        <v>66</v>
      </c>
      <c r="C29" s="28" t="n">
        <f aca="false">$B$19+($B$20-$B$19)*(C27-1)/9</f>
        <v>0.35</v>
      </c>
      <c r="D29" s="28" t="n">
        <f aca="false">$B$19+($B$20-$B$19)*(D27-1)/9</f>
        <v>0.347777777777778</v>
      </c>
      <c r="E29" s="28" t="n">
        <f aca="false">$B$19+($B$20-$B$19)*(E27-1)/9</f>
        <v>0.345555555555556</v>
      </c>
      <c r="F29" s="28" t="n">
        <f aca="false">$B$19+($B$20-$B$19)*(F27-1)/9</f>
        <v>0.343333333333333</v>
      </c>
      <c r="G29" s="28" t="n">
        <f aca="false">$B$19+($B$20-$B$19)*(G27-1)/9</f>
        <v>0.341111111111111</v>
      </c>
      <c r="H29" s="28" t="n">
        <f aca="false">$B$19+($B$20-$B$19)*(H27-1)/9</f>
        <v>0.338888888888889</v>
      </c>
      <c r="I29" s="28" t="n">
        <f aca="false">$B$19+($B$20-$B$19)*(I27-1)/9</f>
        <v>0.336666666666667</v>
      </c>
      <c r="J29" s="28" t="n">
        <f aca="false">$B$19+($B$20-$B$19)*(J27-1)/9</f>
        <v>0.334444444444444</v>
      </c>
      <c r="K29" s="28" t="n">
        <f aca="false">$B$19+($B$20-$B$19)*(K27-1)/9</f>
        <v>0.332222222222222</v>
      </c>
      <c r="L29" s="28" t="n">
        <f aca="false">$B$19+($B$20-$B$19)*(L27-1)/9</f>
        <v>0.33</v>
      </c>
    </row>
    <row r="30" customFormat="false" ht="15" hidden="false" customHeight="false" outlineLevel="0" collapsed="false">
      <c r="A30" s="5" t="s">
        <v>67</v>
      </c>
      <c r="C30" s="29" t="n">
        <f aca="false">$B$16*(1+C28)</f>
        <v>49.704</v>
      </c>
      <c r="D30" s="29" t="n">
        <f aca="false">C30*(1+D28)</f>
        <v>53.7907733333333</v>
      </c>
      <c r="E30" s="29" t="n">
        <f aca="false">D30*(1+E28)</f>
        <v>57.7951975703704</v>
      </c>
      <c r="F30" s="29" t="n">
        <f aca="false">E30*(1+F28)</f>
        <v>61.6482107417284</v>
      </c>
      <c r="G30" s="29" t="n">
        <f aca="false">F30*(1+G28)</f>
        <v>65.2786053742969</v>
      </c>
      <c r="H30" s="29" t="n">
        <f aca="false">G30*(1+H28)</f>
        <v>68.6150674267609</v>
      </c>
      <c r="I30" s="29" t="n">
        <f aca="false">H30*(1+I28)</f>
        <v>71.5883870152539</v>
      </c>
      <c r="J30" s="29" t="n">
        <f aca="false">I30*(1+J28)</f>
        <v>74.1337518869074</v>
      </c>
      <c r="K30" s="29" t="n">
        <f aca="false">J30*(1+K28)</f>
        <v>76.1930227726548</v>
      </c>
      <c r="L30" s="29" t="n">
        <f aca="false">K30*(1+L28)</f>
        <v>77.7168832281079</v>
      </c>
    </row>
    <row r="31" customFormat="false" ht="15" hidden="false" customHeight="false" outlineLevel="0" collapsed="false">
      <c r="A31" s="5" t="s">
        <v>68</v>
      </c>
      <c r="C31" s="29" t="n">
        <f aca="false">C30*C29</f>
        <v>17.3964</v>
      </c>
      <c r="D31" s="29" t="n">
        <f aca="false">D30*D29</f>
        <v>18.7072356148148</v>
      </c>
      <c r="E31" s="29" t="n">
        <f aca="false">E30*E29</f>
        <v>19.9714516048724</v>
      </c>
      <c r="F31" s="29" t="n">
        <f aca="false">F30*F29</f>
        <v>21.1658856879934</v>
      </c>
      <c r="G31" s="29" t="n">
        <f aca="false">G30*G29</f>
        <v>22.2672576110101</v>
      </c>
      <c r="H31" s="29" t="n">
        <f aca="false">H30*H29</f>
        <v>23.2528839612912</v>
      </c>
      <c r="I31" s="29" t="n">
        <f aca="false">I30*I29</f>
        <v>24.1014236284688</v>
      </c>
      <c r="J31" s="29" t="n">
        <f aca="false">J30*J29</f>
        <v>24.793621464399</v>
      </c>
      <c r="K31" s="29" t="n">
        <f aca="false">K30*K29</f>
        <v>25.3130153433598</v>
      </c>
      <c r="L31" s="29" t="n">
        <f aca="false">L30*L29</f>
        <v>25.6465714652756</v>
      </c>
    </row>
    <row r="32" customFormat="false" ht="15" hidden="false" customHeight="false" outlineLevel="0" collapsed="false">
      <c r="A32" s="5" t="s">
        <v>69</v>
      </c>
      <c r="C32" s="30" t="n">
        <f aca="false">1/(1+$B$15)^C27</f>
        <v>0.910083727702949</v>
      </c>
      <c r="D32" s="30" t="n">
        <f aca="false">1/(1+$B$15)^D27</f>
        <v>0.828252391429695</v>
      </c>
      <c r="E32" s="30" t="n">
        <f aca="false">1/(1+$B$15)^E27</f>
        <v>0.753779023871219</v>
      </c>
      <c r="F32" s="30" t="n">
        <f aca="false">1/(1+$B$15)^F27</f>
        <v>0.686002023909008</v>
      </c>
      <c r="G32" s="30" t="n">
        <f aca="false">1/(1+$B$15)^G27</f>
        <v>0.624319279130878</v>
      </c>
      <c r="H32" s="30" t="n">
        <f aca="false">1/(1+$B$15)^H27</f>
        <v>0.568182816828247</v>
      </c>
      <c r="I32" s="30" t="n">
        <f aca="false">1/(1+$B$15)^I27</f>
        <v>0.517093935955813</v>
      </c>
      <c r="J32" s="30" t="n">
        <f aca="false">1/(1+$B$15)^J27</f>
        <v>0.470598776807256</v>
      </c>
      <c r="K32" s="30" t="n">
        <f aca="false">1/(1+$B$15)^K27</f>
        <v>0.428284289049195</v>
      </c>
      <c r="L32" s="30" t="n">
        <f aca="false">1/(1+$B$15)^L27</f>
        <v>0.389774562294499</v>
      </c>
    </row>
    <row r="33" customFormat="false" ht="15" hidden="false" customHeight="false" outlineLevel="0" collapsed="false">
      <c r="A33" s="5" t="s">
        <v>70</v>
      </c>
      <c r="C33" s="29" t="n">
        <f aca="false">C31*C32</f>
        <v>15.8321805606116</v>
      </c>
      <c r="D33" s="29" t="n">
        <f aca="false">D31*D32</f>
        <v>15.4943126350091</v>
      </c>
      <c r="E33" s="29" t="n">
        <f aca="false">E31*E32</f>
        <v>15.054061296012</v>
      </c>
      <c r="F33" s="29" t="n">
        <f aca="false">F31*F32</f>
        <v>14.5198404197902</v>
      </c>
      <c r="G33" s="29" t="n">
        <f aca="false">G31*G32</f>
        <v>13.9018782199274</v>
      </c>
      <c r="H33" s="29" t="n">
        <f aca="false">H31*H32</f>
        <v>13.2118891085068</v>
      </c>
      <c r="I33" s="29" t="n">
        <f aca="false">I31*I32</f>
        <v>12.4627000061834</v>
      </c>
      <c r="J33" s="29" t="n">
        <f aca="false">J31*J32</f>
        <v>11.6678479337683</v>
      </c>
      <c r="K33" s="29" t="n">
        <f aca="false">K31*K32</f>
        <v>10.8411667800222</v>
      </c>
      <c r="L33" s="29" t="n">
        <f aca="false">L31*L32</f>
        <v>9.99638116723238</v>
      </c>
    </row>
    <row r="35" customFormat="false" ht="15" hidden="false" customHeight="false" outlineLevel="0" collapsed="false">
      <c r="A35" s="17" t="s">
        <v>71</v>
      </c>
    </row>
    <row r="36" customFormat="false" ht="15" hidden="false" customHeight="false" outlineLevel="0" collapsed="false">
      <c r="A36" s="5" t="s">
        <v>72</v>
      </c>
      <c r="B36" s="29" t="n">
        <f aca="false">SUM(C33:L33)</f>
        <v>132.982258127063</v>
      </c>
    </row>
    <row r="37" customFormat="false" ht="15" hidden="false" customHeight="false" outlineLevel="0" collapsed="false">
      <c r="A37" s="5" t="s">
        <v>73</v>
      </c>
      <c r="B37" s="29" t="n">
        <f aca="false">L31*(1+B21)/(B15-B21)</f>
        <v>331.97338698707</v>
      </c>
    </row>
    <row r="38" customFormat="false" ht="15" hidden="false" customHeight="false" outlineLevel="0" collapsed="false">
      <c r="A38" s="5" t="s">
        <v>74</v>
      </c>
      <c r="B38" s="29" t="n">
        <f aca="false">B37*L32</f>
        <v>129.394781606308</v>
      </c>
    </row>
    <row r="39" customFormat="false" ht="15" hidden="false" customHeight="false" outlineLevel="0" collapsed="false">
      <c r="A39" s="5" t="s">
        <v>75</v>
      </c>
      <c r="B39" s="31" t="n">
        <f aca="false">B36+B38</f>
        <v>262.377039733371</v>
      </c>
    </row>
    <row r="40" customFormat="false" ht="15" hidden="false" customHeight="false" outlineLevel="0" collapsed="false">
      <c r="A40" s="5" t="s">
        <v>76</v>
      </c>
      <c r="B40" s="29" t="n">
        <f aca="false">B22</f>
        <v>31</v>
      </c>
    </row>
    <row r="41" customFormat="false" ht="15" hidden="false" customHeight="false" outlineLevel="0" collapsed="false">
      <c r="A41" s="5" t="s">
        <v>77</v>
      </c>
      <c r="B41" s="31" t="n">
        <f aca="false">B39-B40</f>
        <v>231.377039733371</v>
      </c>
    </row>
    <row r="42" customFormat="false" ht="15" hidden="false" customHeight="false" outlineLevel="0" collapsed="false">
      <c r="A42" s="4" t="s">
        <v>78</v>
      </c>
      <c r="B42" s="32" t="n">
        <f aca="false">B41/B23</f>
        <v>255.457892236287</v>
      </c>
    </row>
    <row r="43" customFormat="false" ht="15" hidden="false" customHeight="false" outlineLevel="0" collapsed="false">
      <c r="A43" s="5" t="s">
        <v>39</v>
      </c>
      <c r="B43" s="33" t="n">
        <f aca="false">B6</f>
        <v>234.02</v>
      </c>
    </row>
    <row r="44" customFormat="false" ht="15" hidden="false" customHeight="false" outlineLevel="0" collapsed="false">
      <c r="A44" s="4" t="s">
        <v>14</v>
      </c>
      <c r="B44" s="34" t="n">
        <f aca="false">B42/B43-1</f>
        <v>0.0916070944205076</v>
      </c>
    </row>
    <row r="45" customFormat="false" ht="15" hidden="false" customHeight="false" outlineLevel="0" collapsed="false">
      <c r="A45" s="5" t="s">
        <v>79</v>
      </c>
      <c r="B45" s="28" t="n">
        <f aca="false">B38/B39</f>
        <v>0.493163509039508</v>
      </c>
    </row>
    <row r="46" customFormat="false" ht="15" hidden="false" customHeight="false" outlineLevel="0" collapsed="false">
      <c r="A46" s="5" t="s">
        <v>80</v>
      </c>
      <c r="B46" s="35" t="n">
        <f aca="false">B37/L31</f>
        <v>12.9441624365482</v>
      </c>
    </row>
    <row r="48" customFormat="false" ht="15" hidden="false" customHeight="false" outlineLevel="0" collapsed="false">
      <c r="A48" s="17" t="s">
        <v>81</v>
      </c>
    </row>
    <row r="49" customFormat="false" ht="15" hidden="false" customHeight="false" outlineLevel="0" collapsed="false">
      <c r="A49" s="16" t="s">
        <v>82</v>
      </c>
      <c r="B49" s="36" t="n">
        <v>0.015</v>
      </c>
      <c r="C49" s="36" t="n">
        <v>0.02</v>
      </c>
      <c r="D49" s="36" t="n">
        <v>0.025</v>
      </c>
    </row>
    <row r="50" customFormat="false" ht="15" hidden="false" customHeight="false" outlineLevel="0" collapsed="false">
      <c r="A50" s="37" t="n">
        <f aca="false">B15+(-0.01)</f>
        <v>0.0888</v>
      </c>
      <c r="B50" s="33" t="n">
        <f aca="false">(SUMPRODUCT($C$31:$L$31,1/(1+$A50)^$C$27:$L$27)+$L$31*(1+B$49)/($A50-B$49)/(1+$A50)^10-$B$22)/$B$23</f>
        <v>285.966925611904</v>
      </c>
      <c r="C50" s="33" t="n">
        <f aca="false">(SUMPRODUCT($C$31:$L$31,1/(1+$A50)^$C$27:$L$27)+$L$31*(1+C$49)/($A50-C$49)/(1+$A50)^10-$B$22)/$B$23</f>
        <v>298.933360209678</v>
      </c>
      <c r="D50" s="33" t="n">
        <f aca="false">(SUMPRODUCT($C$31:$L$31,1/(1+$A50)^$C$27:$L$27)+$L$31*(1+D$49)/($A50-D$49)/(1+$A50)^10-$B$22)/$B$23</f>
        <v>313.93215132748</v>
      </c>
    </row>
    <row r="51" customFormat="false" ht="15" hidden="false" customHeight="false" outlineLevel="0" collapsed="false">
      <c r="A51" s="37" t="n">
        <f aca="false">B15+(0)</f>
        <v>0.0988</v>
      </c>
      <c r="B51" s="33" t="n">
        <f aca="false">(SUMPRODUCT($C$31:$L$31,1/(1+$A51)^$C$27:$L$27)+$L$31*(1+B$49)/($A51-B$49)/(1+$A51)^10-$B$22)/$B$23</f>
        <v>246.275405900024</v>
      </c>
      <c r="C51" s="38" t="n">
        <f aca="false">(SUMPRODUCT($C$31:$L$31,1/(1+$A51)^$C$27:$L$27)+$L$31*(1+C$49)/($A51-C$49)/(1+$A51)^10-$B$22)/$B$23</f>
        <v>255.457892236287</v>
      </c>
      <c r="D51" s="33" t="n">
        <f aca="false">(SUMPRODUCT($C$31:$L$31,1/(1+$A51)^$C$27:$L$27)+$L$31*(1+D$49)/($A51-D$49)/(1+$A51)^10-$B$22)/$B$23</f>
        <v>265.884617913507</v>
      </c>
    </row>
    <row r="52" customFormat="false" ht="15" hidden="false" customHeight="false" outlineLevel="0" collapsed="false">
      <c r="A52" s="37" t="n">
        <f aca="false">B15+(0.01)</f>
        <v>0.1088</v>
      </c>
      <c r="B52" s="33" t="n">
        <f aca="false">(SUMPRODUCT($C$31:$L$31,1/(1+$A52)^$C$27:$L$27)+$L$31*(1+B$49)/($A52-B$49)/(1+$A52)^10-$B$22)/$B$23</f>
        <v>215.107922853192</v>
      </c>
      <c r="C52" s="33" t="n">
        <f aca="false">(SUMPRODUCT($C$31:$L$31,1/(1+$A52)^$C$27:$L$27)+$L$31*(1+C$49)/($A52-C$49)/(1+$A52)^10-$B$22)/$B$23</f>
        <v>221.817630908239</v>
      </c>
      <c r="D52" s="33" t="n">
        <f aca="false">(SUMPRODUCT($C$31:$L$31,1/(1+$A52)^$C$27:$L$27)+$L$31*(1+D$49)/($A52-D$49)/(1+$A52)^10-$B$22)/$B$23</f>
        <v>229.32802011544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83</v>
      </c>
    </row>
    <row r="2" customFormat="false" ht="15" hidden="false" customHeight="false" outlineLevel="0" collapsed="false">
      <c r="A2" s="16" t="s">
        <v>84</v>
      </c>
    </row>
    <row r="4" customFormat="false" ht="15" hidden="false" customHeight="false" outlineLevel="0" collapsed="false">
      <c r="A4" s="17" t="s">
        <v>85</v>
      </c>
      <c r="B4" s="17" t="s">
        <v>41</v>
      </c>
      <c r="C4" s="17" t="s">
        <v>42</v>
      </c>
      <c r="D4" s="17" t="s">
        <v>56</v>
      </c>
      <c r="E4" s="17" t="s">
        <v>86</v>
      </c>
    </row>
    <row r="5" customFormat="false" ht="15" hidden="false" customHeight="false" outlineLevel="0" collapsed="false">
      <c r="A5" s="4" t="s">
        <v>87</v>
      </c>
      <c r="B5" s="23" t="n">
        <v>0.0523</v>
      </c>
      <c r="C5" s="23" t="n">
        <v>0.045</v>
      </c>
      <c r="D5" s="39" t="n">
        <v>0.03</v>
      </c>
      <c r="E5" s="16" t="s">
        <v>88</v>
      </c>
    </row>
    <row r="6" customFormat="false" ht="15" hidden="false" customHeight="false" outlineLevel="0" collapsed="false">
      <c r="A6" s="4" t="s">
        <v>89</v>
      </c>
      <c r="B6" s="23" t="n">
        <v>0.0441</v>
      </c>
      <c r="C6" s="23" t="n">
        <v>0.055</v>
      </c>
      <c r="D6" s="39" t="n">
        <v>0.025</v>
      </c>
      <c r="E6" s="16" t="s">
        <v>90</v>
      </c>
    </row>
    <row r="7" customFormat="false" ht="15" hidden="false" customHeight="false" outlineLevel="0" collapsed="false">
      <c r="A7" s="4" t="s">
        <v>91</v>
      </c>
      <c r="B7" s="23" t="n">
        <v>0.0307</v>
      </c>
      <c r="C7" s="23" t="n">
        <v>0.05</v>
      </c>
      <c r="D7" s="39" t="n">
        <v>0.015</v>
      </c>
      <c r="E7" s="16" t="s">
        <v>92</v>
      </c>
    </row>
    <row r="9" customFormat="false" ht="15" hidden="false" customHeight="false" outlineLevel="0" collapsed="false">
      <c r="A9" s="4" t="s">
        <v>93</v>
      </c>
      <c r="B9" s="40" t="n">
        <v>0.8</v>
      </c>
      <c r="C9" s="40" t="n">
        <v>1.6</v>
      </c>
      <c r="E9" s="16" t="s">
        <v>94</v>
      </c>
    </row>
    <row r="10" customFormat="false" ht="15" hidden="false" customHeight="false" outlineLevel="0" collapsed="false">
      <c r="A10" s="4" t="s">
        <v>95</v>
      </c>
      <c r="B10" s="22" t="n">
        <v>0.1</v>
      </c>
      <c r="C10" s="40" t="n">
        <v>0.6</v>
      </c>
      <c r="E10" s="16" t="s">
        <v>96</v>
      </c>
    </row>
    <row r="11" customFormat="false" ht="15" hidden="false" customHeight="false" outlineLevel="0" collapsed="false">
      <c r="A11" s="4" t="s">
        <v>97</v>
      </c>
      <c r="B11" s="22" t="n">
        <v>-0.05</v>
      </c>
    </row>
    <row r="12" customFormat="false" ht="15" hidden="false" customHeight="false" outlineLevel="0" collapsed="false">
      <c r="A12" s="4" t="s">
        <v>98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99</v>
      </c>
      <c r="B13" s="25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