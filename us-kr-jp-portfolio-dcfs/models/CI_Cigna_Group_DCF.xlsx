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<sst xmlns="http://schemas.openxmlformats.org/spreadsheetml/2006/main" count="87" uniqueCount="81">
  <si>
    <t xml:space="preserve">Cigna Group (CI) — Two-stage FCFE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</si>
  <si>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</si>
  <si>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</si>
  <si>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</si>
  <si>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</si>
  <si>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</si>
  <si>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</si>
  <si>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</si>
  <si>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</si>
  <si>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Two-stage model: cash flow grows at a stage-1 rate for five years, then at a terminal rate forever.</t>
  </si>
  <si>
    <t xml:space="preserve">Discounted at the CAPM cost of equity.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</si>
  <si>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</si>
  <si>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</si>
  <si>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</si>
  <si>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</si>
  <si>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</si>
  <si>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</si>
  <si>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</si>
  <si>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</si>
  <si>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</si>
  <si>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</si>
  <si>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</si>
  <si>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</si>
  <si>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</si>
  <si>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</si>
  <si>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</si>
  <si>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</si>
  <si>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</si>
  <si>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</si>
  <si>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</si>
  <si>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</si>
  <si>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</si>
  <si>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</si>
  <si>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</si>
  <si>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</si>
  <si>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Cigna Group (CI)</t>
  </si>
  <si>
    <t xml:space="preserve">Two-stage FCFE: +4%/yr for 5 years, then 0% forever (prices PBM reform)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</si>
  <si>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</si>
  <si>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</si>
  <si>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</si>
  <si>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</si>
  <si>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</si>
  <si>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</si>
  <si>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</si>
  <si>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Free cash flow to equity, last 12 months ($bn)</t>
  </si>
  <si>
    <t xml:space="preserve">Stage-1 growth</t>
  </si>
  <si>
    <t xml:space="preserve">Stage-1 years</t>
  </si>
  <si>
    <t xml:space="preserve">Terminal growth</t>
  </si>
  <si>
    <t xml:space="preserve">Shares (bn)</t>
  </si>
  <si>
    <t xml:space="preserve">Market cap ÷ price at data date</t>
  </si>
  <si>
    <t xml:space="preserve">Projection ($bn)</t>
  </si>
  <si>
    <t xml:space="preserve">Year</t>
  </si>
  <si>
    <t xml:space="preserve">Cash flow</t>
  </si>
  <si>
    <t xml:space="preserve">Discount factor</t>
  </si>
  <si>
    <t xml:space="preserve">PV</t>
  </si>
  <si>
    <t xml:space="preserve">Valuation</t>
  </si>
  <si>
    <t xml:space="preserve">Sum of PV, years 1–5</t>
  </si>
  <si>
    <t xml:space="preserve">Terminal value (year 5)</t>
  </si>
  <si>
    <t xml:space="preserve">PV of terminal value</t>
  </si>
  <si>
    <t xml:space="preserve">Equity value</t>
  </si>
  <si>
    <t xml:space="preserve">Value per share ($)</t>
  </si>
  <si>
    <t xml:space="preserve">Price ÷ current cash flow</t>
  </si>
  <si>
    <t xml:space="preserve">Sensitivity: value per share ($)</t>
  </si>
  <si>
    <t xml:space="preserve">Cost of equity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</si>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</sst>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"/>
    <numFmt numFmtId="173" formatCode="0.00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I_Cigna_Group_DCF.xlsx" TargetMode="External"/><Relationship Id="rId2" Type="http://schemas.openxmlformats.org/officeDocument/2006/relationships/hyperlink" Target="CI_Cigna_Group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DCF!B28</f>
        <v>425.443018161639</v>
      </c>
    </row>
    <row r="14" customFormat="false" ht="15" hidden="false" customHeight="false" outlineLevel="0" collapsed="false">
      <c r="B14" s="5" t="s">
        <v>13</v>
      </c>
      <c r="C14" s="7" t="n">
        <f aca="false">DCF!B29</f>
        <v>274.47</v>
      </c>
    </row>
    <row r="15" customFormat="false" ht="15" hidden="false" customHeight="false" outlineLevel="0" collapsed="false">
      <c r="B15" s="5" t="s">
        <v>14</v>
      </c>
      <c r="C15" s="8" t="n">
        <f aca="false">DCF!B30</f>
        <v>0.550052895258641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0.0838</v>
      </c>
    </row>
    <row r="17" customFormat="false" ht="15" hidden="false" customHeight="false" outlineLevel="0" collapsed="false">
      <c r="B17" s="5" t="s">
        <v>16</v>
      </c>
      <c r="C17" s="9" t="str">
        <f aca="false">IF(DCF!B30&gt;=Assumptions!B13,"Yes","No")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7" activeCellId="0" sqref="E1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274.47</v>
      </c>
    </row>
    <row r="7" customFormat="false" ht="15" hidden="false" customHeight="false" outlineLevel="0" collapsed="false">
      <c r="A7" s="5" t="s">
        <v>40</v>
      </c>
      <c r="B7" s="19" t="n">
        <v>0.7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0.0838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8</v>
      </c>
    </row>
    <row r="12" customFormat="false" ht="15" hidden="false" customHeight="false" outlineLevel="0" collapsed="false">
      <c r="A12" s="5" t="s">
        <v>45</v>
      </c>
      <c r="B12" s="23" t="n">
        <v>0.04</v>
      </c>
    </row>
    <row r="13" customFormat="false" ht="15" hidden="false" customHeight="false" outlineLevel="0" collapsed="false">
      <c r="A13" s="5" t="s">
        <v>46</v>
      </c>
      <c r="B13" s="24" t="n">
        <v>5</v>
      </c>
    </row>
    <row r="14" customFormat="false" ht="15" hidden="false" customHeight="false" outlineLevel="0" collapsed="false">
      <c r="A14" s="5" t="s">
        <v>47</v>
      </c>
      <c r="B14" s="23" t="n">
        <v>0</v>
      </c>
    </row>
    <row r="15" customFormat="false" ht="15" hidden="false" customHeight="false" outlineLevel="0" collapsed="false">
      <c r="A15" s="5" t="s">
        <v>48</v>
      </c>
      <c r="B15" s="25" t="n">
        <v>0.2657849673917</v>
      </c>
      <c r="C15" s="16" t="s">
        <v>49</v>
      </c>
    </row>
    <row r="17" customFormat="false" ht="15" hidden="false" customHeight="false" outlineLevel="0" collapsed="false">
      <c r="A17" s="17" t="s">
        <v>50</v>
      </c>
    </row>
    <row r="18" customFormat="false" ht="15" hidden="false" customHeight="false" outlineLevel="0" collapsed="false">
      <c r="A18" s="4" t="s">
        <v>51</v>
      </c>
      <c r="C18" s="26" t="n">
        <v>1</v>
      </c>
      <c r="D18" s="26" t="n">
        <v>2</v>
      </c>
      <c r="E18" s="26" t="n">
        <v>3</v>
      </c>
      <c r="F18" s="26" t="n">
        <v>4</v>
      </c>
      <c r="G18" s="26" t="n">
        <v>5</v>
      </c>
    </row>
    <row r="19" customFormat="false" ht="15" hidden="false" customHeight="false" outlineLevel="0" collapsed="false">
      <c r="A19" s="5" t="s">
        <v>52</v>
      </c>
      <c r="C19" s="27" t="n">
        <f aca="false">$B$11*(1+$B$12)</f>
        <v>8.32</v>
      </c>
      <c r="D19" s="27" t="n">
        <f aca="false">C19*(1+$B$12)</f>
        <v>8.6528</v>
      </c>
      <c r="E19" s="27" t="n">
        <f aca="false">D19*(1+$B$12)</f>
        <v>8.998912</v>
      </c>
      <c r="F19" s="27" t="n">
        <f aca="false">E19*(1+$B$12)</f>
        <v>9.35886848</v>
      </c>
      <c r="G19" s="27" t="n">
        <f aca="false">F19*(1+$B$12)</f>
        <v>9.7332232192</v>
      </c>
    </row>
    <row r="20" customFormat="false" ht="15" hidden="false" customHeight="false" outlineLevel="0" collapsed="false">
      <c r="A20" s="5" t="s">
        <v>53</v>
      </c>
      <c r="C20" s="28" t="n">
        <f aca="false">1/(1+$B$10)^C18</f>
        <v>0.922679461155195</v>
      </c>
      <c r="D20" s="28" t="n">
        <f aca="false">1/(1+$B$10)^D18</f>
        <v>0.85133738803764</v>
      </c>
      <c r="E20" s="28" t="n">
        <f aca="false">1/(1+$B$10)^E18</f>
        <v>0.785511522455841</v>
      </c>
      <c r="F20" s="28" t="n">
        <f aca="false">1/(1+$B$10)^F18</f>
        <v>0.724775348270752</v>
      </c>
      <c r="G20" s="28" t="n">
        <f aca="false">1/(1+$B$10)^G18</f>
        <v>0.668735327801026</v>
      </c>
    </row>
    <row r="21" customFormat="false" ht="15" hidden="false" customHeight="false" outlineLevel="0" collapsed="false">
      <c r="A21" s="5" t="s">
        <v>54</v>
      </c>
      <c r="C21" s="27" t="n">
        <f aca="false">C19*C20</f>
        <v>7.67669311681122</v>
      </c>
      <c r="D21" s="27" t="n">
        <f aca="false">D19*D20</f>
        <v>7.36645215121209</v>
      </c>
      <c r="E21" s="27" t="n">
        <f aca="false">E19*E20</f>
        <v>7.06874906556614</v>
      </c>
      <c r="F21" s="27" t="n">
        <f aca="false">F19*F20</f>
        <v>6.78307716201216</v>
      </c>
      <c r="G21" s="27" t="n">
        <f aca="false">G19*G20</f>
        <v>6.50895022005227</v>
      </c>
    </row>
    <row r="23" customFormat="false" ht="15" hidden="false" customHeight="false" outlineLevel="0" collapsed="false">
      <c r="A23" s="17" t="s">
        <v>55</v>
      </c>
    </row>
    <row r="24" customFormat="false" ht="15" hidden="false" customHeight="false" outlineLevel="0" collapsed="false">
      <c r="A24" s="5" t="s">
        <v>56</v>
      </c>
      <c r="B24" s="27" t="n">
        <f aca="false">SUM(C21:G21)</f>
        <v>35.4039217156539</v>
      </c>
    </row>
    <row r="25" customFormat="false" ht="15" hidden="false" customHeight="false" outlineLevel="0" collapsed="false">
      <c r="A25" s="5" t="s">
        <v>57</v>
      </c>
      <c r="B25" s="27" t="n">
        <f aca="false">G19*(1+B14)/(B10-B14)</f>
        <v>116.148248439141</v>
      </c>
    </row>
    <row r="26" customFormat="false" ht="15" hidden="false" customHeight="false" outlineLevel="0" collapsed="false">
      <c r="A26" s="5" t="s">
        <v>58</v>
      </c>
      <c r="B26" s="27" t="n">
        <f aca="false">B25*G20</f>
        <v>77.6724369934638</v>
      </c>
    </row>
    <row r="27" customFormat="false" ht="15" hidden="false" customHeight="false" outlineLevel="0" collapsed="false">
      <c r="A27" s="5" t="s">
        <v>59</v>
      </c>
      <c r="B27" s="29" t="n">
        <f aca="false">B24+B26</f>
        <v>113.076358709118</v>
      </c>
    </row>
    <row r="28" customFormat="false" ht="15" hidden="false" customHeight="false" outlineLevel="0" collapsed="false">
      <c r="A28" s="4" t="s">
        <v>60</v>
      </c>
      <c r="B28" s="30" t="n">
        <f aca="false">B27/B15</f>
        <v>425.443018161639</v>
      </c>
    </row>
    <row r="29" customFormat="false" ht="15" hidden="false" customHeight="false" outlineLevel="0" collapsed="false">
      <c r="A29" s="5" t="s">
        <v>39</v>
      </c>
      <c r="B29" s="31" t="n">
        <f aca="false">B6</f>
        <v>274.47</v>
      </c>
    </row>
    <row r="30" customFormat="false" ht="15" hidden="false" customHeight="false" outlineLevel="0" collapsed="false">
      <c r="A30" s="4" t="s">
        <v>14</v>
      </c>
      <c r="B30" s="32" t="n">
        <f aca="false">B28/B29-1</f>
        <v>0.550052895258641</v>
      </c>
    </row>
    <row r="31" customFormat="false" ht="15" hidden="false" customHeight="false" outlineLevel="0" collapsed="false">
      <c r="A31" s="5" t="s">
        <v>61</v>
      </c>
      <c r="B31" s="33" t="n">
        <f aca="false">B6/(B11/B15)</f>
        <v>9.11874999999999</v>
      </c>
    </row>
    <row r="33" customFormat="false" ht="15" hidden="false" customHeight="false" outlineLevel="0" collapsed="false">
      <c r="A33" s="17" t="s">
        <v>62</v>
      </c>
    </row>
    <row r="34" customFormat="false" ht="15" hidden="false" customHeight="false" outlineLevel="0" collapsed="false">
      <c r="A34" s="16" t="s">
        <v>63</v>
      </c>
      <c r="B34" s="34" t="n">
        <v>-0.02</v>
      </c>
      <c r="C34" s="34" t="n">
        <v>0</v>
      </c>
      <c r="D34" s="34" t="n">
        <v>0.02</v>
      </c>
    </row>
    <row r="35" customFormat="false" ht="15" hidden="false" customHeight="false" outlineLevel="0" collapsed="false">
      <c r="A35" s="35" t="n">
        <f aca="false">B10+(-0.01)</f>
        <v>0.0738</v>
      </c>
      <c r="B35" s="31" t="n">
        <f aca="false">(SUMPRODUCT($C$19:$G$19,1/(1+$A35)^$C$18:$G$18)+$G$19*(1+B$34)/($A35-B$34)/(1+$A35)^5)/$B$15</f>
        <v>404.867101364971</v>
      </c>
      <c r="C35" s="31" t="n">
        <f aca="false">(SUMPRODUCT($C$19:$G$19,1/(1+$A35)^$C$18:$G$18)+$G$19*(1+C$34)/($A35-C$34)/(1+$A35)^5)/$B$15</f>
        <v>484.447015556323</v>
      </c>
      <c r="D35" s="31" t="n">
        <f aca="false">(SUMPRODUCT($C$19:$G$19,1/(1+$A35)^$C$18:$G$18)+$G$19*(1+D$34)/($A35-D$34)/(1+$A35)^5)/$B$15</f>
        <v>623.194152194778</v>
      </c>
    </row>
    <row r="36" customFormat="false" ht="15" hidden="false" customHeight="false" outlineLevel="0" collapsed="false">
      <c r="A36" s="35" t="n">
        <f aca="false">B10+(0)</f>
        <v>0.0838</v>
      </c>
      <c r="B36" s="31" t="n">
        <f aca="false">(SUMPRODUCT($C$19:$G$19,1/(1+$A36)^$C$18:$G$18)+$G$19*(1+B$34)/($A36-B$34)/(1+$A36)^5)/$B$15</f>
        <v>364.416540162498</v>
      </c>
      <c r="C36" s="36" t="n">
        <f aca="false">(SUMPRODUCT($C$19:$G$19,1/(1+$A36)^$C$18:$G$18)+$G$19*(1+C$34)/($A36-C$34)/(1+$A36)^5)/$B$15</f>
        <v>425.443018161639</v>
      </c>
      <c r="D36" s="31" t="n">
        <f aca="false">(SUMPRODUCT($C$19:$G$19,1/(1+$A36)^$C$18:$G$18)+$G$19*(1+D$34)/($A36-D$34)/(1+$A36)^5)/$B$15</f>
        <v>524.730610893784</v>
      </c>
    </row>
    <row r="37" customFormat="false" ht="15" hidden="false" customHeight="false" outlineLevel="0" collapsed="false">
      <c r="A37" s="35" t="n">
        <f aca="false">B10+(0.01)</f>
        <v>0.0938</v>
      </c>
      <c r="B37" s="31" t="n">
        <f aca="false">(SUMPRODUCT($C$19:$G$19,1/(1+$A37)^$C$18:$G$18)+$G$19*(1+B$34)/($A37-B$34)/(1+$A37)^5)/$B$15</f>
        <v>331.122344988651</v>
      </c>
      <c r="C37" s="31" t="n">
        <f aca="false">(SUMPRODUCT($C$19:$G$19,1/(1+$A37)^$C$18:$G$18)+$G$19*(1+C$34)/($A37-C$34)/(1+$A37)^5)/$B$15</f>
        <v>379.058090787202</v>
      </c>
      <c r="D37" s="31" t="n">
        <f aca="false">(SUMPRODUCT($C$19:$G$19,1/(1+$A37)^$C$18:$G$18)+$G$19*(1+D$34)/($A37-D$34)/(1+$A37)^5)/$B$15</f>
        <v>452.975270622907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64</v>
      </c>
    </row>
    <row r="2" customFormat="false" ht="15" hidden="false" customHeight="false" outlineLevel="0" collapsed="false">
      <c r="A2" s="16" t="s">
        <v>65</v>
      </c>
    </row>
    <row r="4" customFormat="false" ht="15" hidden="false" customHeight="false" outlineLevel="0" collapsed="false">
      <c r="A4" s="17" t="s">
        <v>66</v>
      </c>
      <c r="B4" s="17" t="s">
        <v>41</v>
      </c>
      <c r="C4" s="17" t="s">
        <v>42</v>
      </c>
      <c r="D4" s="17" t="s">
        <v>47</v>
      </c>
      <c r="E4" s="17" t="s">
        <v>67</v>
      </c>
    </row>
    <row r="5" customFormat="false" ht="15" hidden="false" customHeight="false" outlineLevel="0" collapsed="false">
      <c r="A5" s="4" t="s">
        <v>68</v>
      </c>
      <c r="B5" s="37" t="n">
        <v>0.0523</v>
      </c>
      <c r="C5" s="37" t="n">
        <v>0.045</v>
      </c>
      <c r="D5" s="38" t="n">
        <v>0.03</v>
      </c>
      <c r="E5" s="16" t="s">
        <v>69</v>
      </c>
    </row>
    <row r="6" customFormat="false" ht="15" hidden="false" customHeight="false" outlineLevel="0" collapsed="false">
      <c r="A6" s="4" t="s">
        <v>70</v>
      </c>
      <c r="B6" s="37" t="n">
        <v>0.0441</v>
      </c>
      <c r="C6" s="37" t="n">
        <v>0.055</v>
      </c>
      <c r="D6" s="38" t="n">
        <v>0.025</v>
      </c>
      <c r="E6" s="16" t="s">
        <v>71</v>
      </c>
    </row>
    <row r="7" customFormat="false" ht="15" hidden="false" customHeight="false" outlineLevel="0" collapsed="false">
      <c r="A7" s="4" t="s">
        <v>72</v>
      </c>
      <c r="B7" s="37" t="n">
        <v>0.0307</v>
      </c>
      <c r="C7" s="37" t="n">
        <v>0.05</v>
      </c>
      <c r="D7" s="38" t="n">
        <v>0.015</v>
      </c>
      <c r="E7" s="16" t="s">
        <v>73</v>
      </c>
    </row>
    <row r="9" customFormat="false" ht="15" hidden="false" customHeight="false" outlineLevel="0" collapsed="false">
      <c r="A9" s="4" t="s">
        <v>74</v>
      </c>
      <c r="B9" s="39" t="n">
        <v>0.8</v>
      </c>
      <c r="C9" s="39" t="n">
        <v>1.6</v>
      </c>
      <c r="E9" s="16" t="s">
        <v>75</v>
      </c>
    </row>
    <row r="10" customFormat="false" ht="15" hidden="false" customHeight="false" outlineLevel="0" collapsed="false">
      <c r="A10" s="4" t="s">
        <v>76</v>
      </c>
      <c r="B10" s="40" t="n">
        <v>0.1</v>
      </c>
      <c r="C10" s="39" t="n">
        <v>0.6</v>
      </c>
      <c r="E10" s="16" t="s">
        <v>77</v>
      </c>
    </row>
    <row r="11" customFormat="false" ht="15" hidden="false" customHeight="false" outlineLevel="0" collapsed="false">
      <c r="A11" s="4" t="s">
        <v>78</v>
      </c>
      <c r="B11" s="40" t="n">
        <v>-0.05</v>
      </c>
    </row>
    <row r="12" customFormat="false" ht="15" hidden="false" customHeight="false" outlineLevel="0" collapsed="false">
      <c r="A12" s="4" t="s">
        <v>79</v>
      </c>
      <c r="B12" s="40" t="n">
        <v>0.08</v>
      </c>
      <c r="C12" s="40" t="n">
        <v>0.3</v>
      </c>
    </row>
    <row r="13" customFormat="false" ht="15" hidden="false" customHeight="false" outlineLevel="0" collapsed="false">
      <c r="A13" s="4" t="s">
        <v>80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