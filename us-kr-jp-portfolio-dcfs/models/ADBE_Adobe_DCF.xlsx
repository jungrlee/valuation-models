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CF" sheetId="2" state="visible" r:id="rId4"/>
    <sheet name="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<sst xmlns="http://schemas.openxmlformats.org/spreadsheetml/2006/main" count="105" uniqueCount="99">
  <si>
    <t xml:space="preserve">Adobe (ADBE) — 10-yr FCFF DCF valuation</t>
  </si>
  <si>
    <t xml:space="preserve">One of 18 stocks valued for a hedged US–Korea–Japan portfolio.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</si>
  <si>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</si>
  <si>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</si>
  <si>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</si>
  <si>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</si>
  <si>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</si>
  <si>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US$ billions unless per share</t>
  </si>
  <si>
    <t xml:space="preserve">What this model does</t>
  </si>
  <si>
    <t xml:space="preserve">10-year free cash flow to the firm: revenue × FCF margin, with growth and margin fading linearly to year 10.</t>
  </si>
  <si>
    <t xml:space="preserve">Discounted at WACC (CAPM cost of equity, after-tax cost of debt); Gordon terminal value; equity = EV − net debt.</t>
  </si>
  <si>
    <t xml:space="preserve">Key outputs (live links)</t>
  </si>
  <si>
    <t xml:space="preserve">Value per share</t>
  </si>
  <si>
    <t xml:space="preserve">Share price</t>
  </si>
  <si>
    <t xml:space="preserve">Upside / (downside)</t>
  </si>
  <si>
    <t xml:space="preserve">WACC</t>
  </si>
  <si>
    <t xml:space="preserve">Clears the portfolio's 15% hurdle</t>
  </si>
  <si>
    <t xml:space="preserve">Held in the portfolio</t>
  </si>
  <si>
    <t xml:space="preserve">No</t>
  </si>
  <si>
    <t xml:space="preserve">Contents</t>
  </si>
  <si>
    <t xml:space="preserve">DCF</t>
  </si>
  <si>
    <t xml:space="preserve">Inputs, projection, valuation and sensitivity</t>
  </si>
  <si>
    <t xml:space="preserve">Assumptions</t>
  </si>
  <si>
    <t xml:space="preserve">Shared market inputs: risk-free rate, equity risk premium, terminal growth; model guard-rails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</si>
  <si>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</si>
  <si>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</si>
  <si>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</si>
  <si>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</si>
  <si>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</si>
  <si>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</si>
  <si>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</si>
  <si>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Inputs come from company filings and market-data pages cited in the portfolio memo (not included).</t>
  </si>
  <si>
    <t xml:space="preserve">• Market inputs are shared with the other 17 models so valuations are comparable across stocks.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</si>
  <si>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</si>
  <si>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</si>
  <si>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Adobe (ADBE)</t>
  </si>
  <si>
    <t xml:space="preserve">10-year FCFF DCF: revenue × FCF margin, both fading linearly, discounted at WACC; Gordon terminal value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</si>
  <si>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</si>
  <si>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</si>
  <si>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</si>
  <si>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</si>
  <si>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Risk-free rate</t>
  </si>
  <si>
    <t xml:space="preserve">Equity risk premium</t>
  </si>
  <si>
    <t xml:space="preserve">Cost of equity</t>
  </si>
  <si>
    <t xml:space="preserve">CAPM</t>
  </si>
  <si>
    <t xml:space="preserve">Debt weight</t>
  </si>
  <si>
    <t xml:space="preserve">Share of capital in debt</t>
  </si>
  <si>
    <t xml:space="preserve">Pre-tax cost of debt</t>
  </si>
  <si>
    <t xml:space="preserve">Tax rate</t>
  </si>
  <si>
    <t xml:space="preserve">WACC adjustment</t>
  </si>
  <si>
    <t xml:space="preserve">Revenue, last 12 months ($bn)</t>
  </si>
  <si>
    <t xml:space="preserve">Revenue growth, year 1</t>
  </si>
  <si>
    <t xml:space="preserve">Revenue growth, year 10</t>
  </si>
  <si>
    <t xml:space="preserve">FCF margin, year 1</t>
  </si>
  <si>
    <t xml:space="preserve">FCF margin, year 10</t>
  </si>
  <si>
    <t xml:space="preserve">Terminal growth</t>
  </si>
  <si>
    <t xml:space="preserve">Stock-specific; see Assumptions for market defaults</t>
  </si>
  <si>
    <t xml:space="preserve">Net debt ($bn)</t>
  </si>
  <si>
    <t xml:space="preserve">Negative = net cash</t>
  </si>
  <si>
    <t xml:space="preserve">Diluted shares (bn)</t>
  </si>
  <si>
    <t xml:space="preserve">Market cap ÷ price at data date</t>
  </si>
  <si>
    <t xml:space="preserve">AI-disruption case: growth fades to 0%, FCF margin compresses 38% → 30%</t>
  </si>
  <si>
    <t xml:space="preserve">Projection ($bn)</t>
  </si>
  <si>
    <t xml:space="preserve">Year</t>
  </si>
  <si>
    <t xml:space="preserve">Revenue growth</t>
  </si>
  <si>
    <t xml:space="preserve">FCF margin</t>
  </si>
  <si>
    <t xml:space="preserve">Revenue</t>
  </si>
  <si>
    <t xml:space="preserve">Free cash flow to firm</t>
  </si>
  <si>
    <t xml:space="preserve">Discount factor</t>
  </si>
  <si>
    <t xml:space="preserve">PV of FCFF</t>
  </si>
  <si>
    <t xml:space="preserve">Valuation</t>
  </si>
  <si>
    <t xml:space="preserve">Sum of PV of FCFF, years 1–10</t>
  </si>
  <si>
    <t xml:space="preserve">Terminal value (year 10)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</si>
  <si>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</si>
  <si>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</si>
  <si>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</si>
  <si>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</si>
  <si>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Value per share ($)</t>
  </si>
  <si>
    <t xml:space="preserve">Terminal value share of EV</t>
  </si>
  <si>
    <t xml:space="preserve">Implied exit multiple (TV ÷ year-10 FCFF)</t>
  </si>
  <si>
    <t xml:space="preserve">Sensitivity: value per share ($)</t>
  </si>
  <si>
    <t xml:space="preserve">WACC ↓  /  terminal growth →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</si>
  <si>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</si>
  <si>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</si>
  <si>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Market</t>
  </si>
  <si>
    <t xml:space="preserve">Source / note</t>
  </si>
  <si>
    <t xml:space="preserve">US</t>
  </si>
  <si>
    <t xml:space="preserve">US 10-yr Treasury 5.23% (Washington Trust weekly review, 25 Sep 2026); ERP and terminal growth are author assumptions</t>
  </si>
  <si>
    <t xml:space="preserve">KR</t>
  </si>
  <si>
    <t xml:space="preserve">Korea 10-yr KTB 4.41% (Trading Economics, Sep 2026); ERP and terminal growth are author assumptions</t>
  </si>
  <si>
    <t xml:space="preserve">JP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</si>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</sst>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"/>
    <numFmt numFmtId="166" formatCode="0.0%;\(0.0%\);\-"/>
    <numFmt numFmtId="167" formatCode="\$#,##0.00;&quot;($&quot;#,##0.00\);\-"/>
    <numFmt numFmtId="168" formatCode="0.00"/>
    <numFmt numFmtId="169" formatCode="0.00%;\(0.00%\);\-"/>
    <numFmt numFmtId="170" formatCode="0.0%;\(0.0%\);\-"/>
    <numFmt numFmtId="171" formatCode="#,##0.00;\(#,##0.00\);\-"/>
    <numFmt numFmtId="172" formatCode="0.000"/>
    <numFmt numFmtId="173" formatCode="0"/>
    <numFmt numFmtId="174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DBE_Adobe_DCF.xlsx" TargetMode="External"/><Relationship Id="rId2" Type="http://schemas.openxmlformats.org/officeDocument/2006/relationships/hyperlink" Target="ADBE_Adobe_DCF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2" customFormat="false" ht="15" hidden="false" customHeight="false" outlineLevel="0" collapsed="false">
      <c r="B12" s="6" t="s">
        <v>11</v>
      </c>
      <c r="C12" s="3"/>
      <c r="D12" s="3"/>
      <c r="E12" s="3"/>
    </row>
    <row r="13" customFormat="false" ht="15" hidden="false" customHeight="false" outlineLevel="0" collapsed="false">
      <c r="B13" s="5" t="s">
        <v>12</v>
      </c>
      <c r="C13" s="7" t="n">
        <f aca="false">DCF!B42</f>
        <v>309.395417700763</v>
      </c>
    </row>
    <row r="14" customFormat="false" ht="15" hidden="false" customHeight="false" outlineLevel="0" collapsed="false">
      <c r="B14" s="5" t="s">
        <v>13</v>
      </c>
      <c r="C14" s="7" t="n">
        <f aca="false">DCF!B43</f>
        <v>240.69</v>
      </c>
    </row>
    <row r="15" customFormat="false" ht="15" hidden="false" customHeight="false" outlineLevel="0" collapsed="false">
      <c r="B15" s="5" t="s">
        <v>14</v>
      </c>
      <c r="C15" s="8" t="n">
        <f aca="false">DCF!B44</f>
        <v>0.285451899541996</v>
      </c>
    </row>
    <row r="16" customFormat="false" ht="15" hidden="false" customHeight="false" outlineLevel="0" collapsed="false">
      <c r="B16" s="5" t="s">
        <v>15</v>
      </c>
      <c r="C16" s="8" t="n">
        <f aca="false">DCF!B15</f>
        <v>0.1018</v>
      </c>
    </row>
    <row r="17" customFormat="false" ht="15" hidden="false" customHeight="false" outlineLevel="0" collapsed="false">
      <c r="B17" s="5" t="s">
        <v>16</v>
      </c>
      <c r="C17" s="9" t="str">
        <f aca="false">IF(DCF!B44&gt;=Assumptions!B13,"Yes","No")</f>
        <v>Yes</v>
      </c>
    </row>
    <row r="18" customFormat="false" ht="15" hidden="false" customHeight="false" outlineLevel="0" collapsed="false">
      <c r="B18" s="5" t="s">
        <v>17</v>
      </c>
      <c r="C18" s="9" t="s">
        <v>18</v>
      </c>
    </row>
    <row r="20" customFormat="false" ht="15" hidden="false" customHeight="false" outlineLevel="0" collapsed="false">
      <c r="B20" s="6" t="s">
        <v>19</v>
      </c>
      <c r="C20" s="3"/>
      <c r="D20" s="3"/>
      <c r="E20" s="3"/>
    </row>
    <row r="21" customFormat="false" ht="15" hidden="false" customHeight="false" outlineLevel="0" collapsed="false">
      <c r="B21" s="10" t="s">
        <v>20</v>
      </c>
      <c r="C21" s="5" t="s">
        <v>21</v>
      </c>
    </row>
    <row r="22" customFormat="false" ht="15" hidden="false" customHeight="false" outlineLevel="0" collapsed="false">
      <c r="B22" s="10" t="s">
        <v>22</v>
      </c>
      <c r="C22" s="5" t="s">
        <v>23</v>
      </c>
    </row>
    <row r="24" customFormat="false" ht="15" hidden="false" customHeight="false" outlineLevel="0" collapsed="false">
      <c r="B24" s="6" t="s">
        <v>24</v>
      </c>
      <c r="C24" s="3"/>
      <c r="D24" s="3"/>
      <c r="E24" s="3"/>
    </row>
    <row r="25" customFormat="false" ht="15" hidden="false" customHeight="false" outlineLevel="0" collapsed="false">
      <c r="B25" s="11" t="s">
        <v>25</v>
      </c>
    </row>
    <row r="26" customFormat="false" ht="15" hidden="false" customHeight="false" outlineLevel="0" collapsed="false">
      <c r="B26" s="5" t="s">
        <v>26</v>
      </c>
    </row>
    <row r="27" customFormat="false" ht="15" hidden="false" customHeight="false" outlineLevel="0" collapsed="false">
      <c r="B27" s="12" t="s">
        <v>27</v>
      </c>
    </row>
    <row r="28" customFormat="false" ht="15" hidden="false" customHeight="false" outlineLevel="0" collapsed="false">
      <c r="B28" s="13" t="s">
        <v>28</v>
      </c>
    </row>
    <row r="29" customFormat="false" ht="15" hidden="false" customHeight="false" outlineLevel="0" collapsed="false">
      <c r="B29" s="14" t="s">
        <v>29</v>
      </c>
    </row>
    <row r="31" customFormat="false" ht="15" hidden="false" customHeight="false" outlineLevel="0" collapsed="false">
      <c r="B31" s="6" t="s">
        <v>30</v>
      </c>
      <c r="C31" s="3"/>
      <c r="D31" s="3"/>
      <c r="E31" s="3"/>
    </row>
    <row r="32" customFormat="false" ht="15" hidden="false" customHeight="false" outlineLevel="0" collapsed="false">
      <c r="B32" s="5" t="s">
        <v>31</v>
      </c>
    </row>
    <row r="33" customFormat="false" ht="15" hidden="false" customHeight="false" outlineLevel="0" collapsed="false">
      <c r="B33" s="5" t="s">
        <v>32</v>
      </c>
    </row>
    <row r="35" customFormat="false" ht="15" hidden="false" customHeight="false" outlineLevel="0" collapsed="false">
      <c r="B35" s="4" t="s">
        <v>33</v>
      </c>
    </row>
    <row r="36" customFormat="false" ht="15" hidden="false" customHeight="false" outlineLevel="0" collapsed="false">
      <c r="B36" s="15" t="s">
        <v>34</v>
      </c>
    </row>
  </sheetData>
  <hyperlinks>
    <hyperlink ref="B21" r:id="rId1" location="'DCF'!A1" display="DCF"/>
    <hyperlink ref="B22" r:id="rId2" location="'Assumptions'!A1" display="Assumption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35</v>
      </c>
    </row>
    <row r="2" customFormat="false" ht="15" hidden="false" customHeight="false" outlineLevel="0" collapsed="false">
      <c r="A2" s="16" t="s">
        <v>36</v>
      </c>
    </row>
    <row r="3" customFormat="false" ht="15" hidden="false" customHeight="false" outlineLevel="0" collapsed="false">
      <c r="A3" s="16" t="s">
        <v>37</v>
      </c>
    </row>
    <row r="5" customFormat="false" ht="15" hidden="false" customHeight="false" outlineLevel="0" collapsed="false">
      <c r="A5" s="17" t="s">
        <v>38</v>
      </c>
    </row>
    <row r="6" customFormat="false" ht="15" hidden="false" customHeight="false" outlineLevel="0" collapsed="false">
      <c r="A6" s="5" t="s">
        <v>39</v>
      </c>
      <c r="B6" s="18" t="n">
        <v>240.69</v>
      </c>
    </row>
    <row r="7" customFormat="false" ht="15" hidden="false" customHeight="false" outlineLevel="0" collapsed="false">
      <c r="A7" s="5" t="s">
        <v>40</v>
      </c>
      <c r="B7" s="19" t="n">
        <v>1.1</v>
      </c>
    </row>
    <row r="8" customFormat="false" ht="15" hidden="false" customHeight="false" outlineLevel="0" collapsed="false">
      <c r="A8" s="5" t="s">
        <v>41</v>
      </c>
      <c r="B8" s="20" t="n">
        <f aca="false">Assumptions!$B$5</f>
        <v>0.0523</v>
      </c>
    </row>
    <row r="9" customFormat="false" ht="15" hidden="false" customHeight="false" outlineLevel="0" collapsed="false">
      <c r="A9" s="5" t="s">
        <v>42</v>
      </c>
      <c r="B9" s="20" t="n">
        <f aca="false">Assumptions!$C$5</f>
        <v>0.045</v>
      </c>
    </row>
    <row r="10" customFormat="false" ht="15" hidden="false" customHeight="false" outlineLevel="0" collapsed="false">
      <c r="A10" s="5" t="s">
        <v>43</v>
      </c>
      <c r="B10" s="21" t="n">
        <f aca="false">B8+B7*B9</f>
        <v>0.1018</v>
      </c>
      <c r="C10" s="16" t="s">
        <v>44</v>
      </c>
    </row>
    <row r="11" customFormat="false" ht="15" hidden="false" customHeight="false" outlineLevel="0" collapsed="false">
      <c r="A11" s="5" t="s">
        <v>45</v>
      </c>
      <c r="B11" s="22" t="n">
        <v>0</v>
      </c>
      <c r="C11" s="16" t="s">
        <v>46</v>
      </c>
    </row>
    <row r="12" customFormat="false" ht="15" hidden="false" customHeight="false" outlineLevel="0" collapsed="false">
      <c r="A12" s="5" t="s">
        <v>47</v>
      </c>
      <c r="B12" s="23" t="n">
        <v>0</v>
      </c>
    </row>
    <row r="13" customFormat="false" ht="15" hidden="false" customHeight="false" outlineLevel="0" collapsed="false">
      <c r="A13" s="5" t="s">
        <v>48</v>
      </c>
      <c r="B13" s="22" t="n">
        <v>0</v>
      </c>
    </row>
    <row r="14" customFormat="false" ht="15" hidden="false" customHeight="false" outlineLevel="0" collapsed="false">
      <c r="A14" s="5" t="s">
        <v>49</v>
      </c>
      <c r="B14" s="23" t="n">
        <v>0</v>
      </c>
    </row>
    <row r="15" customFormat="false" ht="15" hidden="false" customHeight="false" outlineLevel="0" collapsed="false">
      <c r="A15" s="5" t="s">
        <v>15</v>
      </c>
      <c r="B15" s="21" t="n">
        <f aca="false">(1-B11)*B10+B11*B12*(1-B13)+B14</f>
        <v>0.1018</v>
      </c>
    </row>
    <row r="16" customFormat="false" ht="15" hidden="false" customHeight="false" outlineLevel="0" collapsed="false">
      <c r="A16" s="5" t="s">
        <v>50</v>
      </c>
      <c r="B16" s="24" t="n">
        <v>26.6</v>
      </c>
    </row>
    <row r="17" customFormat="false" ht="15" hidden="false" customHeight="false" outlineLevel="0" collapsed="false">
      <c r="A17" s="5" t="s">
        <v>51</v>
      </c>
      <c r="B17" s="25" t="n">
        <v>0.08</v>
      </c>
    </row>
    <row r="18" customFormat="false" ht="15" hidden="false" customHeight="false" outlineLevel="0" collapsed="false">
      <c r="A18" s="5" t="s">
        <v>52</v>
      </c>
      <c r="B18" s="25" t="n">
        <v>0</v>
      </c>
    </row>
    <row r="19" customFormat="false" ht="15" hidden="false" customHeight="false" outlineLevel="0" collapsed="false">
      <c r="A19" s="5" t="s">
        <v>53</v>
      </c>
      <c r="B19" s="25" t="n">
        <v>0.38</v>
      </c>
    </row>
    <row r="20" customFormat="false" ht="15" hidden="false" customHeight="false" outlineLevel="0" collapsed="false">
      <c r="A20" s="5" t="s">
        <v>54</v>
      </c>
      <c r="B20" s="25" t="n">
        <v>0.3</v>
      </c>
    </row>
    <row r="21" customFormat="false" ht="15" hidden="false" customHeight="false" outlineLevel="0" collapsed="false">
      <c r="A21" s="5" t="s">
        <v>55</v>
      </c>
      <c r="B21" s="25" t="n">
        <v>0.01</v>
      </c>
      <c r="C21" s="16" t="s">
        <v>56</v>
      </c>
    </row>
    <row r="22" customFormat="false" ht="15" hidden="false" customHeight="false" outlineLevel="0" collapsed="false">
      <c r="A22" s="5" t="s">
        <v>57</v>
      </c>
      <c r="B22" s="24" t="n">
        <v>1.4</v>
      </c>
      <c r="C22" s="16" t="s">
        <v>58</v>
      </c>
    </row>
    <row r="23" customFormat="false" ht="15" hidden="false" customHeight="false" outlineLevel="0" collapsed="false">
      <c r="A23" s="5" t="s">
        <v>59</v>
      </c>
      <c r="B23" s="26" t="n">
        <v>0.388956449038535</v>
      </c>
      <c r="C23" s="16" t="s">
        <v>60</v>
      </c>
    </row>
    <row r="24" customFormat="false" ht="15" hidden="false" customHeight="false" outlineLevel="0" collapsed="false">
      <c r="C24" s="16" t="s">
        <v>61</v>
      </c>
    </row>
    <row r="26" customFormat="false" ht="15" hidden="false" customHeight="false" outlineLevel="0" collapsed="false">
      <c r="A26" s="17" t="s">
        <v>62</v>
      </c>
    </row>
    <row r="27" customFormat="false" ht="15" hidden="false" customHeight="false" outlineLevel="0" collapsed="false">
      <c r="A27" s="4" t="s">
        <v>63</v>
      </c>
      <c r="C27" s="27" t="n">
        <v>1</v>
      </c>
      <c r="D27" s="27" t="n">
        <v>2</v>
      </c>
      <c r="E27" s="27" t="n">
        <v>3</v>
      </c>
      <c r="F27" s="27" t="n">
        <v>4</v>
      </c>
      <c r="G27" s="27" t="n">
        <v>5</v>
      </c>
      <c r="H27" s="27" t="n">
        <v>6</v>
      </c>
      <c r="I27" s="27" t="n">
        <v>7</v>
      </c>
      <c r="J27" s="27" t="n">
        <v>8</v>
      </c>
      <c r="K27" s="27" t="n">
        <v>9</v>
      </c>
      <c r="L27" s="27" t="n">
        <v>10</v>
      </c>
    </row>
    <row r="28" customFormat="false" ht="15" hidden="false" customHeight="false" outlineLevel="0" collapsed="false">
      <c r="A28" s="5" t="s">
        <v>64</v>
      </c>
      <c r="C28" s="28" t="n">
        <f aca="false">$B$17+($B$18-$B$17)*(C27-1)/9</f>
        <v>0.08</v>
      </c>
      <c r="D28" s="28" t="n">
        <f aca="false">$B$17+($B$18-$B$17)*(D27-1)/9</f>
        <v>0.0711111111111111</v>
      </c>
      <c r="E28" s="28" t="n">
        <f aca="false">$B$17+($B$18-$B$17)*(E27-1)/9</f>
        <v>0.0622222222222222</v>
      </c>
      <c r="F28" s="28" t="n">
        <f aca="false">$B$17+($B$18-$B$17)*(F27-1)/9</f>
        <v>0.0533333333333333</v>
      </c>
      <c r="G28" s="28" t="n">
        <f aca="false">$B$17+($B$18-$B$17)*(G27-1)/9</f>
        <v>0.0444444444444444</v>
      </c>
      <c r="H28" s="28" t="n">
        <f aca="false">$B$17+($B$18-$B$17)*(H27-1)/9</f>
        <v>0.0355555555555556</v>
      </c>
      <c r="I28" s="28" t="n">
        <f aca="false">$B$17+($B$18-$B$17)*(I27-1)/9</f>
        <v>0.0266666666666667</v>
      </c>
      <c r="J28" s="28" t="n">
        <f aca="false">$B$17+($B$18-$B$17)*(J27-1)/9</f>
        <v>0.0177777777777778</v>
      </c>
      <c r="K28" s="28" t="n">
        <f aca="false">$B$17+($B$18-$B$17)*(K27-1)/9</f>
        <v>0.00888888888888889</v>
      </c>
      <c r="L28" s="28" t="n">
        <f aca="false">$B$17+($B$18-$B$17)*(L27-1)/9</f>
        <v>0</v>
      </c>
    </row>
    <row r="29" customFormat="false" ht="15" hidden="false" customHeight="false" outlineLevel="0" collapsed="false">
      <c r="A29" s="5" t="s">
        <v>65</v>
      </c>
      <c r="C29" s="28" t="n">
        <f aca="false">$B$19+($B$20-$B$19)*(C27-1)/9</f>
        <v>0.38</v>
      </c>
      <c r="D29" s="28" t="n">
        <f aca="false">$B$19+($B$20-$B$19)*(D27-1)/9</f>
        <v>0.371111111111111</v>
      </c>
      <c r="E29" s="28" t="n">
        <f aca="false">$B$19+($B$20-$B$19)*(E27-1)/9</f>
        <v>0.362222222222222</v>
      </c>
      <c r="F29" s="28" t="n">
        <f aca="false">$B$19+($B$20-$B$19)*(F27-1)/9</f>
        <v>0.353333333333333</v>
      </c>
      <c r="G29" s="28" t="n">
        <f aca="false">$B$19+($B$20-$B$19)*(G27-1)/9</f>
        <v>0.344444444444444</v>
      </c>
      <c r="H29" s="28" t="n">
        <f aca="false">$B$19+($B$20-$B$19)*(H27-1)/9</f>
        <v>0.335555555555556</v>
      </c>
      <c r="I29" s="28" t="n">
        <f aca="false">$B$19+($B$20-$B$19)*(I27-1)/9</f>
        <v>0.326666666666667</v>
      </c>
      <c r="J29" s="28" t="n">
        <f aca="false">$B$19+($B$20-$B$19)*(J27-1)/9</f>
        <v>0.317777777777778</v>
      </c>
      <c r="K29" s="28" t="n">
        <f aca="false">$B$19+($B$20-$B$19)*(K27-1)/9</f>
        <v>0.308888888888889</v>
      </c>
      <c r="L29" s="28" t="n">
        <f aca="false">$B$19+($B$20-$B$19)*(L27-1)/9</f>
        <v>0.3</v>
      </c>
    </row>
    <row r="30" customFormat="false" ht="15" hidden="false" customHeight="false" outlineLevel="0" collapsed="false">
      <c r="A30" s="5" t="s">
        <v>66</v>
      </c>
      <c r="C30" s="29" t="n">
        <f aca="false">$B$16*(1+C28)</f>
        <v>28.728</v>
      </c>
      <c r="D30" s="29" t="n">
        <f aca="false">C30*(1+D28)</f>
        <v>30.77088</v>
      </c>
      <c r="E30" s="29" t="n">
        <f aca="false">D30*(1+E28)</f>
        <v>32.6855125333333</v>
      </c>
      <c r="F30" s="29" t="n">
        <f aca="false">E30*(1+F28)</f>
        <v>34.4287398684444</v>
      </c>
      <c r="G30" s="29" t="n">
        <f aca="false">F30*(1+G28)</f>
        <v>35.9589060848198</v>
      </c>
      <c r="H30" s="29" t="n">
        <f aca="false">G30*(1+H28)</f>
        <v>37.2374449678356</v>
      </c>
      <c r="I30" s="29" t="n">
        <f aca="false">H30*(1+I28)</f>
        <v>38.2304435003112</v>
      </c>
      <c r="J30" s="29" t="n">
        <f aca="false">I30*(1+J28)</f>
        <v>38.9100958292056</v>
      </c>
      <c r="K30" s="29" t="n">
        <f aca="false">J30*(1+K28)</f>
        <v>39.2559633476874</v>
      </c>
      <c r="L30" s="29" t="n">
        <f aca="false">K30*(1+L28)</f>
        <v>39.2559633476874</v>
      </c>
    </row>
    <row r="31" customFormat="false" ht="15" hidden="false" customHeight="false" outlineLevel="0" collapsed="false">
      <c r="A31" s="5" t="s">
        <v>67</v>
      </c>
      <c r="C31" s="29" t="n">
        <f aca="false">C30*C29</f>
        <v>10.91664</v>
      </c>
      <c r="D31" s="29" t="n">
        <f aca="false">D30*D29</f>
        <v>11.4194154666667</v>
      </c>
      <c r="E31" s="29" t="n">
        <f aca="false">E30*E29</f>
        <v>11.8394189842963</v>
      </c>
      <c r="F31" s="29" t="n">
        <f aca="false">F30*F29</f>
        <v>12.1648214201837</v>
      </c>
      <c r="G31" s="29" t="n">
        <f aca="false">G30*G29</f>
        <v>12.3858454292157</v>
      </c>
      <c r="H31" s="29" t="n">
        <f aca="false">H30*H29</f>
        <v>12.4952315336515</v>
      </c>
      <c r="I31" s="29" t="n">
        <f aca="false">I30*I29</f>
        <v>12.488611543435</v>
      </c>
      <c r="J31" s="29" t="n">
        <f aca="false">J30*J29</f>
        <v>12.3647637857253</v>
      </c>
      <c r="K31" s="29" t="n">
        <f aca="false">K30*K29</f>
        <v>12.1257309007301</v>
      </c>
      <c r="L31" s="29" t="n">
        <f aca="false">L30*L29</f>
        <v>11.7767890043062</v>
      </c>
    </row>
    <row r="32" customFormat="false" ht="15" hidden="false" customHeight="false" outlineLevel="0" collapsed="false">
      <c r="A32" s="5" t="s">
        <v>68</v>
      </c>
      <c r="C32" s="30" t="n">
        <f aca="false">1/(1+$B$15)^C27</f>
        <v>0.907605736068252</v>
      </c>
      <c r="D32" s="30" t="n">
        <f aca="false">1/(1+$B$15)^D27</f>
        <v>0.823748172143994</v>
      </c>
      <c r="E32" s="30" t="n">
        <f aca="false">1/(1+$B$15)^E27</f>
        <v>0.747638566113626</v>
      </c>
      <c r="F32" s="30" t="n">
        <f aca="false">1/(1+$B$15)^F27</f>
        <v>0.67856105111057</v>
      </c>
      <c r="G32" s="30" t="n">
        <f aca="false">1/(1+$B$15)^G27</f>
        <v>0.615865902260456</v>
      </c>
      <c r="H32" s="30" t="n">
        <f aca="false">1/(1+$B$15)^H27</f>
        <v>0.558963425540439</v>
      </c>
      <c r="I32" s="30" t="n">
        <f aca="false">1/(1+$B$15)^I27</f>
        <v>0.507318411272862</v>
      </c>
      <c r="J32" s="30" t="n">
        <f aca="false">1/(1+$B$15)^J27</f>
        <v>0.460445100084282</v>
      </c>
      <c r="K32" s="30" t="n">
        <f aca="false">1/(1+$B$15)^K27</f>
        <v>0.417902613981015</v>
      </c>
      <c r="L32" s="30" t="n">
        <f aca="false">1/(1+$B$15)^L27</f>
        <v>0.379290809567086</v>
      </c>
    </row>
    <row r="33" customFormat="false" ht="15" hidden="false" customHeight="false" outlineLevel="0" collapsed="false">
      <c r="A33" s="5" t="s">
        <v>69</v>
      </c>
      <c r="C33" s="29" t="n">
        <f aca="false">C31*C32</f>
        <v>9.90800508259212</v>
      </c>
      <c r="D33" s="29" t="n">
        <f aca="false">D31*D32</f>
        <v>9.40672261761952</v>
      </c>
      <c r="E33" s="29" t="n">
        <f aca="false">E31*E32</f>
        <v>8.85160623303773</v>
      </c>
      <c r="F33" s="29" t="n">
        <f aca="false">F31*F32</f>
        <v>8.25457400945224</v>
      </c>
      <c r="G33" s="29" t="n">
        <f aca="false">G31*G32</f>
        <v>7.62801987052247</v>
      </c>
      <c r="H33" s="29" t="n">
        <f aca="false">H31*H32</f>
        <v>6.98437742097076</v>
      </c>
      <c r="I33" s="29" t="n">
        <f aca="false">I31*I32</f>
        <v>6.33570256721936</v>
      </c>
      <c r="J33" s="29" t="n">
        <f aca="false">J31*J32</f>
        <v>5.69329489883681</v>
      </c>
      <c r="K33" s="29" t="n">
        <f aca="false">K31*K32</f>
        <v>5.06737463984548</v>
      </c>
      <c r="L33" s="29" t="n">
        <f aca="false">L31*L32</f>
        <v>4.46682783554406</v>
      </c>
    </row>
    <row r="35" customFormat="false" ht="15" hidden="false" customHeight="false" outlineLevel="0" collapsed="false">
      <c r="A35" s="17" t="s">
        <v>70</v>
      </c>
    </row>
    <row r="36" customFormat="false" ht="15" hidden="false" customHeight="false" outlineLevel="0" collapsed="false">
      <c r="A36" s="5" t="s">
        <v>71</v>
      </c>
      <c r="B36" s="29" t="n">
        <f aca="false">SUM(C33:L33)</f>
        <v>72.5965051756406</v>
      </c>
    </row>
    <row r="37" customFormat="false" ht="15" hidden="false" customHeight="false" outlineLevel="0" collapsed="false">
      <c r="A37" s="5" t="s">
        <v>72</v>
      </c>
      <c r="B37" s="29" t="n">
        <f aca="false">L31*(1+B21)/(B15-B21)</f>
        <v>129.570336539753</v>
      </c>
    </row>
    <row r="38" customFormat="false" ht="15" hidden="false" customHeight="false" outlineLevel="0" collapsed="false">
      <c r="A38" s="5" t="s">
        <v>73</v>
      </c>
      <c r="B38" s="29" t="n">
        <f aca="false">B37*L32</f>
        <v>49.1448378420425</v>
      </c>
    </row>
    <row r="39" customFormat="false" ht="15" hidden="false" customHeight="false" outlineLevel="0" collapsed="false">
      <c r="A39" s="5" t="s">
        <v>74</v>
      </c>
      <c r="B39" s="31" t="n">
        <f aca="false">B36+B38</f>
        <v>121.741343017683</v>
      </c>
    </row>
    <row r="40" customFormat="false" ht="15" hidden="false" customHeight="false" outlineLevel="0" collapsed="false">
      <c r="A40" s="5" t="s">
        <v>75</v>
      </c>
      <c r="B40" s="29" t="n">
        <f aca="false">B22</f>
        <v>1.4</v>
      </c>
    </row>
    <row r="41" customFormat="false" ht="15" hidden="false" customHeight="false" outlineLevel="0" collapsed="false">
      <c r="A41" s="5" t="s">
        <v>76</v>
      </c>
      <c r="B41" s="31" t="n">
        <f aca="false">B39-B40</f>
        <v>120.341343017683</v>
      </c>
    </row>
    <row r="42" customFormat="false" ht="15" hidden="false" customHeight="false" outlineLevel="0" collapsed="false">
      <c r="A42" s="4" t="s">
        <v>77</v>
      </c>
      <c r="B42" s="32" t="n">
        <f aca="false">B41/B23</f>
        <v>309.395417700763</v>
      </c>
    </row>
    <row r="43" customFormat="false" ht="15" hidden="false" customHeight="false" outlineLevel="0" collapsed="false">
      <c r="A43" s="5" t="s">
        <v>39</v>
      </c>
      <c r="B43" s="33" t="n">
        <f aca="false">B6</f>
        <v>240.69</v>
      </c>
    </row>
    <row r="44" customFormat="false" ht="15" hidden="false" customHeight="false" outlineLevel="0" collapsed="false">
      <c r="A44" s="4" t="s">
        <v>14</v>
      </c>
      <c r="B44" s="34" t="n">
        <f aca="false">B42/B43-1</f>
        <v>0.285451899541996</v>
      </c>
    </row>
    <row r="45" customFormat="false" ht="15" hidden="false" customHeight="false" outlineLevel="0" collapsed="false">
      <c r="A45" s="5" t="s">
        <v>78</v>
      </c>
      <c r="B45" s="28" t="n">
        <f aca="false">B38/B39</f>
        <v>0.403682402574647</v>
      </c>
    </row>
    <row r="46" customFormat="false" ht="15" hidden="false" customHeight="false" outlineLevel="0" collapsed="false">
      <c r="A46" s="5" t="s">
        <v>79</v>
      </c>
      <c r="B46" s="35" t="n">
        <f aca="false">B37/L31</f>
        <v>11.0021786492375</v>
      </c>
    </row>
    <row r="48" customFormat="false" ht="15" hidden="false" customHeight="false" outlineLevel="0" collapsed="false">
      <c r="A48" s="17" t="s">
        <v>80</v>
      </c>
    </row>
    <row r="49" customFormat="false" ht="15" hidden="false" customHeight="false" outlineLevel="0" collapsed="false">
      <c r="A49" s="16" t="s">
        <v>81</v>
      </c>
      <c r="B49" s="36" t="n">
        <v>0</v>
      </c>
      <c r="C49" s="36" t="n">
        <v>0.01</v>
      </c>
      <c r="D49" s="36" t="n">
        <v>0.02</v>
      </c>
    </row>
    <row r="50" customFormat="false" ht="15" hidden="false" customHeight="false" outlineLevel="0" collapsed="false">
      <c r="A50" s="37" t="n">
        <f aca="false">B15+(-0.01)</f>
        <v>0.0918</v>
      </c>
      <c r="B50" s="33" t="n">
        <f aca="false">(SUMPRODUCT($C$31:$L$31,1/(1+$A50)^$C$27:$L$27)+$L$31*(1+B$49)/($A50-B$49)/(1+$A50)^10-$B$22)/$B$23</f>
        <v>328.500079135291</v>
      </c>
      <c r="C50" s="33" t="n">
        <f aca="false">(SUMPRODUCT($C$31:$L$31,1/(1+$A50)^$C$27:$L$27)+$L$31*(1+C$49)/($A50-C$49)/(1+$A50)^10-$B$22)/$B$23</f>
        <v>346.791275956199</v>
      </c>
      <c r="D50" s="33" t="n">
        <f aca="false">(SUMPRODUCT($C$31:$L$31,1/(1+$A50)^$C$27:$L$27)+$L$31*(1+D$49)/($A50-D$49)/(1+$A50)^10-$B$22)/$B$23</f>
        <v>370.177513674296</v>
      </c>
    </row>
    <row r="51" customFormat="false" ht="15" hidden="false" customHeight="false" outlineLevel="0" collapsed="false">
      <c r="A51" s="37" t="n">
        <f aca="false">B15+(0)</f>
        <v>0.1018</v>
      </c>
      <c r="B51" s="33" t="n">
        <f aca="false">(SUMPRODUCT($C$31:$L$31,1/(1+$A51)^$C$27:$L$27)+$L$31*(1+B$49)/($A51-B$49)/(1+$A51)^10-$B$22)/$B$23</f>
        <v>295.855670803535</v>
      </c>
      <c r="C51" s="38" t="n">
        <f aca="false">(SUMPRODUCT($C$31:$L$31,1/(1+$A51)^$C$27:$L$27)+$L$31*(1+C$49)/($A51-C$49)/(1+$A51)^10-$B$22)/$B$23</f>
        <v>309.395417700763</v>
      </c>
      <c r="D51" s="33" t="n">
        <f aca="false">(SUMPRODUCT($C$31:$L$31,1/(1+$A51)^$C$27:$L$27)+$L$31*(1+D$49)/($A51-D$49)/(1+$A51)^10-$B$22)/$B$23</f>
        <v>326.245616162105</v>
      </c>
    </row>
    <row r="52" customFormat="false" ht="15" hidden="false" customHeight="false" outlineLevel="0" collapsed="false">
      <c r="A52" s="37" t="n">
        <f aca="false">B15+(0.01)</f>
        <v>0.1118</v>
      </c>
      <c r="B52" s="33" t="n">
        <f aca="false">(SUMPRODUCT($C$31:$L$31,1/(1+$A52)^$C$27:$L$27)+$L$31*(1+B$49)/($A52-B$49)/(1+$A52)^10-$B$22)/$B$23</f>
        <v>269.024885960615</v>
      </c>
      <c r="C52" s="33" t="n">
        <f aca="false">(SUMPRODUCT($C$31:$L$31,1/(1+$A52)^$C$27:$L$27)+$L$31*(1+C$49)/($A52-C$49)/(1+$A52)^10-$B$22)/$B$23</f>
        <v>279.2742356017</v>
      </c>
      <c r="D52" s="33" t="n">
        <f aca="false">(SUMPRODUCT($C$31:$L$31,1/(1+$A52)^$C$27:$L$27)+$L$31*(1+D$49)/($A52-D$49)/(1+$A52)^10-$B$22)/$B$23</f>
        <v>291.756559020799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82</v>
      </c>
    </row>
    <row r="2" customFormat="false" ht="15" hidden="false" customHeight="false" outlineLevel="0" collapsed="false">
      <c r="A2" s="16" t="s">
        <v>83</v>
      </c>
    </row>
    <row r="4" customFormat="false" ht="15" hidden="false" customHeight="false" outlineLevel="0" collapsed="false">
      <c r="A4" s="17" t="s">
        <v>84</v>
      </c>
      <c r="B4" s="17" t="s">
        <v>41</v>
      </c>
      <c r="C4" s="17" t="s">
        <v>42</v>
      </c>
      <c r="D4" s="17" t="s">
        <v>55</v>
      </c>
      <c r="E4" s="17" t="s">
        <v>85</v>
      </c>
    </row>
    <row r="5" customFormat="false" ht="15" hidden="false" customHeight="false" outlineLevel="0" collapsed="false">
      <c r="A5" s="4" t="s">
        <v>86</v>
      </c>
      <c r="B5" s="23" t="n">
        <v>0.0523</v>
      </c>
      <c r="C5" s="23" t="n">
        <v>0.045</v>
      </c>
      <c r="D5" s="39" t="n">
        <v>0.03</v>
      </c>
      <c r="E5" s="16" t="s">
        <v>87</v>
      </c>
    </row>
    <row r="6" customFormat="false" ht="15" hidden="false" customHeight="false" outlineLevel="0" collapsed="false">
      <c r="A6" s="4" t="s">
        <v>88</v>
      </c>
      <c r="B6" s="23" t="n">
        <v>0.0441</v>
      </c>
      <c r="C6" s="23" t="n">
        <v>0.055</v>
      </c>
      <c r="D6" s="39" t="n">
        <v>0.025</v>
      </c>
      <c r="E6" s="16" t="s">
        <v>89</v>
      </c>
    </row>
    <row r="7" customFormat="false" ht="15" hidden="false" customHeight="false" outlineLevel="0" collapsed="false">
      <c r="A7" s="4" t="s">
        <v>90</v>
      </c>
      <c r="B7" s="23" t="n">
        <v>0.0307</v>
      </c>
      <c r="C7" s="23" t="n">
        <v>0.05</v>
      </c>
      <c r="D7" s="39" t="n">
        <v>0.015</v>
      </c>
      <c r="E7" s="16" t="s">
        <v>91</v>
      </c>
    </row>
    <row r="9" customFormat="false" ht="15" hidden="false" customHeight="false" outlineLevel="0" collapsed="false">
      <c r="A9" s="4" t="s">
        <v>92</v>
      </c>
      <c r="B9" s="40" t="n">
        <v>0.8</v>
      </c>
      <c r="C9" s="40" t="n">
        <v>1.6</v>
      </c>
      <c r="E9" s="16" t="s">
        <v>93</v>
      </c>
    </row>
    <row r="10" customFormat="false" ht="15" hidden="false" customHeight="false" outlineLevel="0" collapsed="false">
      <c r="A10" s="4" t="s">
        <v>94</v>
      </c>
      <c r="B10" s="22" t="n">
        <v>0.1</v>
      </c>
      <c r="C10" s="40" t="n">
        <v>0.6</v>
      </c>
      <c r="E10" s="16" t="s">
        <v>95</v>
      </c>
    </row>
    <row r="11" customFormat="false" ht="15" hidden="false" customHeight="false" outlineLevel="0" collapsed="false">
      <c r="A11" s="4" t="s">
        <v>96</v>
      </c>
      <c r="B11" s="22" t="n">
        <v>-0.05</v>
      </c>
    </row>
    <row r="12" customFormat="false" ht="15" hidden="false" customHeight="false" outlineLevel="0" collapsed="false">
      <c r="A12" s="4" t="s">
        <v>97</v>
      </c>
      <c r="B12" s="22" t="n">
        <v>0.08</v>
      </c>
      <c r="C12" s="22" t="n">
        <v>0.3</v>
      </c>
    </row>
    <row r="13" customFormat="false" ht="15" hidden="false" customHeight="false" outlineLevel="0" collapsed="false">
      <c r="A13" s="4" t="s">
        <v>98</v>
      </c>
      <c r="B13" s="25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