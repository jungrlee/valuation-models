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Historical" sheetId="3" state="visible" r:id="rId5"/>
    <sheet name="Assumptions" sheetId="4" state="visible" r:id="rId6"/>
    <sheet name="WACC" sheetId="5" state="visible" r:id="rId7"/>
    <sheet name="DCF" sheetId="6" state="visible" r:id="rId8"/>
    <sheet name="Sensitivit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9" authorId="0">
      <text>
        <r>
          <rPr>
            <sz val="10"/>
            <rFont val="Arial"/>
            <family val="2"/>
          </rPr>
          <t xml:space="preserve">Prior-year Q4 FY2024 revenue (total 94,930; products 69,958; services 24,972) hardcoded from Apple Q4 FY2025 8-K Ex. 99.1.</t>
        </r>
      </text>
    </comment>
    <comment ref="E30" authorId="0">
      <text>
        <r>
          <rPr>
            <sz val="10"/>
            <rFont val="Arial"/>
            <family val="2"/>
          </rPr>
          <t xml:space="preserve">Prior-year Q4 FY2024 revenue (total 94,930; products 69,958; services 24,972) hardcoded from Apple Q4 FY2025 8-K Ex. 99.1.</t>
        </r>
      </text>
    </comment>
    <comment ref="E31" authorId="0">
      <text>
        <r>
          <rPr>
            <sz val="10"/>
            <rFont val="Arial"/>
            <family val="2"/>
          </rPr>
          <t xml:space="preserve">Prior-year Q4 FY2024 revenue (total 94,930; products 69,958; services 24,972) hardcoded from Apple Q4 FY2025 8-K Ex. 99.1.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4" authorId="0">
      <text>
        <r>
          <rPr>
            <sz val="10"/>
            <rFont val="Arial"/>
            <family val="2"/>
          </rPr>
          <t xml:space="preserve">SBC is NOT added back: it is a real economic cost already inside R&amp;D/SG&amp;A, so treating it as cash-like avoids overstating FCF (~$13–14B/yr).</t>
        </r>
      </text>
    </comment>
    <comment ref="A44" authorId="0">
      <text>
        <r>
          <rPr>
            <sz val="10"/>
            <rFont val="Arial"/>
            <family val="2"/>
          </rPr>
          <t xml:space="preserve">TV is discounted from the end of FY2031 (full period) even with mid-year cash flows — the conservative convention.</t>
        </r>
      </text>
    </comment>
    <comment ref="C5" authorId="0">
      <text>
        <r>
          <rPr>
            <sz val="10"/>
            <rFont val="Arial"/>
            <family val="2"/>
          </rPr>
          <t xml:space="preserve">Apple's fiscal year ends on the last Saturday of September.</t>
        </r>
      </text>
    </comment>
    <comment ref="C31" authorId="0">
      <text>
        <r>
          <rPr>
            <sz val="10"/>
            <rFont val="Arial"/>
            <family val="2"/>
          </rPr>
          <t xml:space="preserve">Long-run nominal GDP-type growth. With a 5.3% risk-free rate, 3% is not aggressive.</t>
        </r>
      </text>
    </comment>
    <comment ref="C32" authorId="0">
      <text>
        <r>
          <rPr>
            <sz val="10"/>
            <rFont val="Arial"/>
            <family val="2"/>
          </rPr>
          <t xml:space="preserve">Assumption. Apple has traded at well above 20x EBITDA recently; a mature-company exit multiple should sit below today's.</t>
        </r>
      </text>
    </comment>
  </commentList>
</comments>
</file>

<file path=xl/sharedStrings.xml><?xml version="1.0" encoding="utf-8"?>
<sst xmlns="http://schemas.openxmlformats.org/spreadsheetml/2006/main" count="360" uniqueCount="286">
  <si>
    <t xml:space="preserve">Apple Inc. (NASDAQ: AAPL) — DCF valuation</t>
  </si>
  <si>
    <t xml:space="preserve">Unlevered DCF with Base / Bull / Bear scenarios, perpetuity-growth and exit-multiple terminal values, reverse DCF. Not investment advice.</t>
  </si>
  <si>
    <t xml:space="preserve">Prepared by</t>
  </si>
  <si>
    <t xml:space="preserve">Jung Ryul Lee</t>
  </si>
  <si>
    <t xml:space="preserve">Data as of</t>
  </si>
  <si>
    <t xml:space="preserve">Market data 2 Oct 2026 close; balance sheet 27 Jun 2026 (Q3 FY2026 10-Q)</t>
  </si>
  <si>
    <t xml:space="preserve">Units</t>
  </si>
  <si>
    <t xml:space="preserve">US$ millions except per share</t>
  </si>
  <si>
    <t xml:space="preserve">What this model does</t>
  </si>
  <si>
    <t xml:space="preserve">Rebuilds FY2023–9M FY2026 from Apple's filings and bridges to FY2026E with a Q4 estimate from management guidance.</t>
  </si>
  <si>
    <t xml:space="preserve">Forecasts products and services separately (growth, gross margin) for FY2027E–FY2031E under three scenarios.</t>
  </si>
  <si>
    <t xml:space="preserve">Values the unlevered free cash flow two ways and asks what the share price implies (reverse DCF).</t>
  </si>
  <si>
    <t xml:space="preserve">Key outputs (live links)</t>
  </si>
  <si>
    <t xml:space="preserve">Scenario</t>
  </si>
  <si>
    <t xml:space="preserve">Value per share — perpetuity growth ($)</t>
  </si>
  <si>
    <t xml:space="preserve">Value per share — exit multiple ($)</t>
  </si>
  <si>
    <t xml:space="preserve">Blended value per share ($)</t>
  </si>
  <si>
    <t xml:space="preserve">Share price, 2 Oct 2026 ($)</t>
  </si>
  <si>
    <t xml:space="preserve">Upside / (downside), blended</t>
  </si>
  <si>
    <t xml:space="preserve">WACC</t>
  </si>
  <si>
    <t xml:space="preserve">Market-implied perpetuity growth (reverse DCF)</t>
  </si>
  <si>
    <t xml:space="preserve">Sensitivity checks (should be 0)</t>
  </si>
  <si>
    <t xml:space="preserve">Contents</t>
  </si>
  <si>
    <t xml:space="preserve">Summary</t>
  </si>
  <si>
    <t xml:space="preserve">Outputs, colour legend, how to use, sources</t>
  </si>
  <si>
    <t xml:space="preserve">Historical</t>
  </si>
  <si>
    <t xml:space="preserve">FY2023A–FY2025A, 9M FY2026A and the Q4 FY2026E bridge</t>
  </si>
  <si>
    <t xml:space="preserve">Assumptions</t>
  </si>
  <si>
    <t xml:space="preserve">Scenario switch (C3) and Base / Bull / Bear drivers with rationale</t>
  </si>
  <si>
    <t xml:space="preserve">CAPM, cost of debt, diluted shares, net cash</t>
  </si>
  <si>
    <t xml:space="preserve">DCF</t>
  </si>
  <si>
    <t xml:space="preserve">FCFF build, mid-year discounting, two terminal values, equity bridge, reverse DCF</t>
  </si>
  <si>
    <t xml:space="preserve">Sensitivity</t>
  </si>
  <si>
    <t xml:space="preserve">Value and upside across WACC × g and WACC × exit multiple, with checks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</si>
  <si>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</si>
  <si>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</si>
  <si>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</si>
  <si>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</si>
  <si>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</si>
  <si>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</si>
  <si>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</si>
  <si>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Q4 FY2026 is an estimate from guidance; Apple reports FY2026 around the end of October 2026 — overwrite Assumptions rows 53–62 then.</t>
  </si>
  <si>
    <t xml:space="preserve">• Stock-based compensation is treated as a real cost (not added back to free cash flow).</t>
  </si>
  <si>
    <t xml:space="preserve">• Explicit cash flows use mid-year timing from the valuation date; the terminal value is discounted from end-FY2031.</t>
  </si>
  <si>
    <t xml:space="preserve">• At the 2 Oct 2026 price the market implies ~7% perpetual growth at this WACC: the gap to the DCF is the market's growth expectation.</t>
  </si>
  <si>
    <t xml:space="preserve">Review log (changes in this published version)</t>
  </si>
  <si>
    <t xml:space="preserve">• Audit: no formula errors, no hard-coded numbers inside formulas, sensitivity checks tie to the DCF. Model logic unchanged.</t>
  </si>
  <si>
    <t xml:space="preserve">• Restyled to the house format and added this cover sheet.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</si>
  <si>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</si>
  <si>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</si>
  <si>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Prepared 5 Oct 2026. USD millions except per-share data.</t>
  </si>
  <si>
    <t xml:space="preserve">Output</t>
  </si>
  <si>
    <t xml:space="preserve">Value</t>
  </si>
  <si>
    <t xml:space="preserve">Terminal growth</t>
  </si>
  <si>
    <t xml:space="preserve">Exit EV/EBITDA multiple</t>
  </si>
  <si>
    <t xml:space="preserve">Enterprise value — perpetuity growth ($mm)</t>
  </si>
  <si>
    <t xml:space="preserve">Enterprise value — exit multiple ($mm)</t>
  </si>
  <si>
    <t xml:space="preserve">Blended value per share (50/50) ($)</t>
  </si>
  <si>
    <t xml:space="preserve">Current share price, 2 Oct 2026 ($)</t>
  </si>
  <si>
    <t xml:space="preserve">Upside / (downside) — blended</t>
  </si>
  <si>
    <t xml:space="preserve">FY2026E revenue ($mm)</t>
  </si>
  <si>
    <t xml:space="preserve">FY2031E revenue ($mm)</t>
  </si>
  <si>
    <t xml:space="preserve">FY2031E EBIT margin</t>
  </si>
  <si>
    <t xml:space="preserve">Colour legend</t>
  </si>
  <si>
    <t xml:space="preserve">Blue text</t>
  </si>
  <si>
    <t xml:space="preserve">Hard-coded input — edit these</t>
  </si>
  <si>
    <t xml:space="preserve">Black text</t>
  </si>
  <si>
    <t xml:space="preserve">Formula</t>
  </si>
  <si>
    <t xml:space="preserve">Green text</t>
  </si>
  <si>
    <t xml:space="preserve">Link from another tab</t>
  </si>
  <si>
    <t xml:space="preserve">Light-yellow fill</t>
  </si>
  <si>
    <t xml:space="preserve">Key assumption</t>
  </si>
  <si>
    <t xml:space="preserve">Grey fill</t>
  </si>
  <si>
    <t xml:space="preserve">Estimate (Q4 FY2026E bridge)</t>
  </si>
  <si>
    <t xml:space="preserve">Green fill</t>
  </si>
  <si>
    <t xml:space="preserve">Key output</t>
  </si>
  <si>
    <t xml:space="preserve">How to use</t>
  </si>
  <si>
    <t xml:space="preserve">Switch Base / Bull / Bear in Assumptions!C3. Edit WACC inputs on the WACC tab and terminal inputs in DCF!C31:C32.</t>
  </si>
  <si>
    <t xml:space="preserve">Q4 FY2026E is an estimate from guidance; when Apple reports (~29 Oct 2026), overwrite the Q4 drivers on Assumptions (rows 53–62).</t>
  </si>
  <si>
    <t xml:space="preserve">SBC is treated as a real cost (not added back). Terminal value is discounted from end-FY2031; explicit cash flows use mid-year timing.</t>
  </si>
  <si>
    <t xml:space="preserve">Sources</t>
  </si>
  <si>
    <t xml:space="preserve">Apple Q4 FY2025 8-K Ex. 99.1 — https://www.sec.gov/Archives/edgar/data/320193/000032019325000077/a8-kex991q4202509272025.htm</t>
  </si>
  <si>
    <t xml:space="preserve">Apple Q3 FY2026 8-K Ex. 99.1 — https://www.sec.gov/Archives/edgar/data/320193/000032019326000018/a8-kex991q3202606272026.htm</t>
  </si>
  <si>
    <t xml:space="preserve">Apple FY2025 Form 10-K — https://s2.q4cdn.com/470004039/files/doc_financials/2025/ar/_10-K-2025-As-Filed.pdf</t>
  </si>
  <si>
    <t xml:space="preserve">Q3 FY2026 call guidance (rev +9–11%, GM 47–48%, opex $19.1–19.4B) — https://www.fool.com/earnings/call-transcripts/2026/08/07/apple-aapl-q3-2026-earnings-call-transcript/</t>
  </si>
  <si>
    <t xml:space="preserve">AAPL price &amp; beta — https://www.cnbc.com/quotes/AAPL ; 10Y UST 5.28% (2 Oct 2026) — https://www.cnbc.com/2026/10/02/treasury-yields-bonds-nonfarm-payrolls.html</t>
  </si>
  <si>
    <t xml:space="preserve">Apple Inc. (AAPL) — Historical financials &amp; FY2026E bridge</t>
  </si>
  <si>
    <t xml:space="preserve">USD millions, fiscal years end late September. FY2026 = 9M reported actuals + Q4 estimate from management guidance (FY2026 results due ~29 Oct 2026).</t>
  </si>
  <si>
    <t xml:space="preserve">USD mm</t>
  </si>
  <si>
    <t xml:space="preserve">FY2023A</t>
  </si>
  <si>
    <t xml:space="preserve">FY2024A</t>
  </si>
  <si>
    <t xml:space="preserve">FY2025A</t>
  </si>
  <si>
    <t xml:space="preserve">Q4 FY2025A</t>
  </si>
  <si>
    <t xml:space="preserve">9M FY2026A</t>
  </si>
  <si>
    <t xml:space="preserve">Q4 FY2026E</t>
  </si>
  <si>
    <t xml:space="preserve">FY2026E</t>
  </si>
  <si>
    <t xml:space="preserve">Products revenue</t>
  </si>
  <si>
    <t xml:space="preserve">Services revenue</t>
  </si>
  <si>
    <t xml:space="preserve">Total revenue</t>
  </si>
  <si>
    <t xml:space="preserve">Products cost of sales</t>
  </si>
  <si>
    <t xml:space="preserve">Services cost of sales</t>
  </si>
  <si>
    <t xml:space="preserve">Total cost of sales</t>
  </si>
  <si>
    <t xml:space="preserve">Products gross profit</t>
  </si>
  <si>
    <t xml:space="preserve">Services gross profit</t>
  </si>
  <si>
    <t xml:space="preserve">Gross profit</t>
  </si>
  <si>
    <t xml:space="preserve">Research &amp; development</t>
  </si>
  <si>
    <t xml:space="preserve">Selling, general &amp; administrative</t>
  </si>
  <si>
    <t xml:space="preserve">Total operating expenses</t>
  </si>
  <si>
    <t xml:space="preserve">Operating income (EBIT)</t>
  </si>
  <si>
    <t xml:space="preserve">Other income/(expense), net</t>
  </si>
  <si>
    <t xml:space="preserve">Pre-tax income</t>
  </si>
  <si>
    <t xml:space="preserve">Provision for income taxes</t>
  </si>
  <si>
    <t xml:space="preserve">Net income</t>
  </si>
  <si>
    <t xml:space="preserve">Depreciation &amp; amortization</t>
  </si>
  <si>
    <t xml:space="preserve">n/a</t>
  </si>
  <si>
    <t xml:space="preserve">Share-based compensation</t>
  </si>
  <si>
    <t xml:space="preserve">Capital expenditures</t>
  </si>
  <si>
    <t xml:space="preserve">Cash from operations</t>
  </si>
  <si>
    <t xml:space="preserve">Ratios</t>
  </si>
  <si>
    <t xml:space="preserve">Total revenue growth (YoY)</t>
  </si>
  <si>
    <t xml:space="preserve">Products revenue growth</t>
  </si>
  <si>
    <t xml:space="preserve">Services revenue growth</t>
  </si>
  <si>
    <t xml:space="preserve">Products gross margin</t>
  </si>
  <si>
    <t xml:space="preserve">Services gross margin</t>
  </si>
  <si>
    <t xml:space="preserve">Gross margin</t>
  </si>
  <si>
    <t xml:space="preserve">R&amp;D % revenue</t>
  </si>
  <si>
    <t xml:space="preserve">SG&amp;A % revenue</t>
  </si>
  <si>
    <t xml:space="preserve">EBIT margin</t>
  </si>
  <si>
    <t xml:space="preserve">Effective tax rate</t>
  </si>
  <si>
    <t xml:space="preserve">D&amp;A % revenue</t>
  </si>
  <si>
    <t xml:space="preserve">Capex % revenue</t>
  </si>
  <si>
    <t xml:space="preserve">SBC % revenue</t>
  </si>
  <si>
    <t xml:space="preserve">Services % of revenue</t>
  </si>
  <si>
    <t xml:space="preserve">Notes &amp; sources</t>
  </si>
  <si>
    <t xml:space="preserve">FY2024A, FY2025A, Q4 FY2025A: Apple Q4 FY2025 8-K Ex. 99.1 — https://www.sec.gov/Archives/edgar/data/320193/000032019325000077/a8-kex991q4202509272025.htm</t>
  </si>
  <si>
    <t xml:space="preserve">FY2023A: comparative columns in Apple FY2025 Form 10-K (OCF 110,543; tax 16,741; NI 96,995 cross-checked to 10-K).</t>
  </si>
  <si>
    <t xml:space="preserve">9M FY2026A: Apple Q3 FY2026 8-K Ex. 99.1 (quarter ended 27 Jun 2026) — https://www.sec.gov/Archives/edgar/data/320193/000032019326000018/a8-kex991q3202606272026.htm</t>
  </si>
  <si>
    <t xml:space="preserve">Q4 FY2026E (shaded): built from Q3 FY2026 call guidance — revenue +9–11% YoY, gross margin 47–48%, opex $19.1–19.4B. Drivers live on the Assumptions tab.</t>
  </si>
  <si>
    <t xml:space="preserve">FY2024 tax includes a one-time $10.2B EU State Aid charge (non-GAAP adj. tax rate ~15.8%). FY2026 Q3 gross margin includes ~2pt benefit from tariff refunds.</t>
  </si>
  <si>
    <t xml:space="preserve">Capex = payments for acquisition of PP&amp;E. Q4 FY2025A D&amp;A/SBC/OCF not shown separately (n/a).</t>
  </si>
  <si>
    <t xml:space="preserve">Forecast assumptions — FY2027E to FY2031E</t>
  </si>
  <si>
    <t xml:space="preserve">Blue = input. Change the scenario number in C3; every 'Live' row (and the whole model) follows it.</t>
  </si>
  <si>
    <t xml:space="preserve">Scenario (1 = Base, 2 = Bull, 3 = Bear)</t>
  </si>
  <si>
    <t xml:space="preserve">Driver</t>
  </si>
  <si>
    <t xml:space="preserve">Case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</si>
  <si>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</si>
  <si>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</si>
  <si>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</si>
  <si>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</si>
  <si>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</si>
  <si>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Rationale</t>
  </si>
  <si>
    <t xml:space="preserve">Base</t>
  </si>
  <si>
    <t xml:space="preserve">FY2026E products ~+15% on the iPhone 17 cycle; base assumes normalisation toward installed-base growth plus pricing. Bear: post-supercycle digestion.</t>
  </si>
  <si>
    <t xml:space="preserve">Bull</t>
  </si>
  <si>
    <t xml:space="preserve">Bear</t>
  </si>
  <si>
    <t xml:space="preserve">Live</t>
  </si>
  <si>
    <t xml:space="preserve">Services grew 13.5% in FY2025 and ~12% in Q3 FY2026. Bear reflects App Store rule changes / search-deal risk.</t>
  </si>
  <si>
    <t xml:space="preserve">FY2025 36.8%. Mgmt flagged memory-cost inflation compressing margin into Sep-26 qtr; tariff refunds are non-recurring.</t>
  </si>
  <si>
    <t xml:space="preserve">FY2025 75.4%; 9M FY2026 76.3%.</t>
  </si>
  <si>
    <t xml:space="preserve">FY2025 8.3%, FY2026E ~9.6% (AI investment; R&amp;D +32% YoY in 9M FY2026).</t>
  </si>
  <si>
    <t xml:space="preserve">FY2025 6.6%; FY2026E ~6.2% on operating leverage.</t>
  </si>
  <si>
    <t xml:space="preserve">FY2025 15.6%, 9M FY2026 17.6%. Bear allows for global minimum tax / US tax changes.</t>
  </si>
  <si>
    <t xml:space="preserve">FY2025 3.1%. Bear assumes heavier AI/data-centre build.</t>
  </si>
  <si>
    <t xml:space="preserve">Scenario-independent drivers</t>
  </si>
  <si>
    <t xml:space="preserve">FY2023–25 averaged ~2.9%.</t>
  </si>
  <si>
    <t xml:space="preserve">Net working capital investment % of Δrevenue</t>
  </si>
  <si>
    <t xml:space="preserve">Apple runs negative NWC; a small positive % keeps cash conversion conservative. Set 0% to assume growth is self-funding.</t>
  </si>
  <si>
    <t xml:space="preserve">Q4 FY2026E bridge (Sep-2026 quarter, not yet reported)</t>
  </si>
  <si>
    <t xml:space="preserve">Total revenue growth YoY</t>
  </si>
  <si>
    <t xml:space="preserve">Guidance 9–11% (Q3 FY2026 call); midpoint.</t>
  </si>
  <si>
    <t xml:space="preserve">Services revenue growth YoY</t>
  </si>
  <si>
    <t xml:space="preserve">Mgmt: services growth similar to June qtr ex-FX, with ~2.5pt sequential FX headwind.</t>
  </si>
  <si>
    <t xml:space="preserve">Total gross margin</t>
  </si>
  <si>
    <t xml:space="preserve">Guidance 47–48% incl. ~1pt tariff-refund benefit.</t>
  </si>
  <si>
    <t xml:space="preserve">Assumed; products margin is the residual.</t>
  </si>
  <si>
    <t xml:space="preserve">Operating expenses ($mm)</t>
  </si>
  <si>
    <t xml:space="preserve">Guidance $19.1–19.4B; split R&amp;D/SG&amp;A on 9M FY2026 mix.</t>
  </si>
  <si>
    <t xml:space="preserve">Other income/(expense) ($mm)</t>
  </si>
  <si>
    <t xml:space="preserve">Assumed nil.</t>
  </si>
  <si>
    <t xml:space="preserve">Tax rate</t>
  </si>
  <si>
    <t xml:space="preserve">Near 9M FY2026 rate (17.6%).</t>
  </si>
  <si>
    <t xml:space="preserve">D&amp;A ($mm)</t>
  </si>
  <si>
    <t xml:space="preserve">9M FY2026 run-rate ~3.3B/qtr.</t>
  </si>
  <si>
    <t xml:space="preserve">SBC ($mm)</t>
  </si>
  <si>
    <t xml:space="preserve">9M FY2026 run-rate ~3.5B/qtr.</t>
  </si>
  <si>
    <t xml:space="preserve">Capex ($mm)</t>
  </si>
  <si>
    <t xml:space="preserve">Q4 FY2025 capex was 3,242.</t>
  </si>
  <si>
    <t xml:space="preserve">Discount rate &amp; capital structure</t>
  </si>
  <si>
    <t xml:space="preserve">Market data as of 2 Oct 2026 close; balance sheet as of 27 Jun 2026 (latest 10-Q).</t>
  </si>
  <si>
    <t xml:space="preserve">Item</t>
  </si>
  <si>
    <t xml:space="preserve">Source / note</t>
  </si>
  <si>
    <t xml:space="preserve">Risk-free rate (10Y UST)</t>
  </si>
  <si>
    <t xml:space="preserve">US Treasury 10Y par yield, 2 Oct 2026 (5.28%) — highest area since 2002.</t>
  </si>
  <si>
    <t xml:space="preserve">Equity beta</t>
  </si>
  <si>
    <t xml:space="preserve">Published betas range 0.83 (TradingView) to 1.08 (CNBC); 1.05 assumed. Adjust as needed.</t>
  </si>
  <si>
    <t xml:space="preserve">Equity risk premium</t>
  </si>
  <si>
    <t xml:space="preserve">Assumption.</t>
  </si>
  <si>
    <t xml:space="preserve">Cost of equity</t>
  </si>
  <si>
    <t xml:space="preserve">CAPM</t>
  </si>
  <si>
    <t xml:space="preserve">Credit spread over UST</t>
  </si>
  <si>
    <t xml:space="preserve">Assumption for AA+ / Aaa-rated issuer.</t>
  </si>
  <si>
    <t xml:space="preserve">Pre-tax cost of debt</t>
  </si>
  <si>
    <t xml:space="preserve">FY2027E live-scenario tax rate</t>
  </si>
  <si>
    <t xml:space="preserve">After-tax cost of debt</t>
  </si>
  <si>
    <t xml:space="preserve">Share price ($)</t>
  </si>
  <si>
    <t xml:space="preserve">AAPL close 2 Oct 2026 (Nasdaq).</t>
  </si>
  <si>
    <t xml:space="preserve">Basic shares outstanding (mm)</t>
  </si>
  <si>
    <t xml:space="preserve">Balance sheet, 27 Jun 2026: 14,608,963k shares.</t>
  </si>
  <si>
    <t xml:space="preserve">Dilutive securities (mm)</t>
  </si>
  <si>
    <t xml:space="preserve">Q3 FY2026 diluted less basic weighted shares (14,714.7 – 14,656.1).</t>
  </si>
  <si>
    <t xml:space="preserve">Diluted shares (mm)</t>
  </si>
  <si>
    <t xml:space="preserve">Market capitalisation ($mm)</t>
  </si>
  <si>
    <t xml:space="preserve">Commercial paper</t>
  </si>
  <si>
    <t xml:space="preserve">10-Q balance sheet, 27 Jun 2026.</t>
  </si>
  <si>
    <t xml:space="preserve">Term debt — current</t>
  </si>
  <si>
    <t xml:space="preserve">Term debt — non-current</t>
  </si>
  <si>
    <t xml:space="preserve">Total debt</t>
  </si>
  <si>
    <t xml:space="preserve">Cash &amp; cash equivalents</t>
  </si>
  <si>
    <t xml:space="preserve">Marketable securities — current</t>
  </si>
  <si>
    <t xml:space="preserve">Marketable securities — non-current</t>
  </si>
  <si>
    <t xml:space="preserve">Total cash &amp; investments</t>
  </si>
  <si>
    <t xml:space="preserve">Net cash / (net debt)</t>
  </si>
  <si>
    <t xml:space="preserve">Positive = net cash.</t>
  </si>
  <si>
    <t xml:space="preserve">Equity weight</t>
  </si>
  <si>
    <t xml:space="preserve">Market-value weights</t>
  </si>
  <si>
    <t xml:space="preserve">Debt weight</t>
  </si>
  <si>
    <t xml:space="preserve">Unlevered free cash flow DCF</t>
  </si>
  <si>
    <t xml:space="preserve">USD millions except per-share. FY2026E is the base year (reported 9M + Q4E); explicit forecast FY2027E–FY2031E.</t>
  </si>
  <si>
    <t xml:space="preserve">Fiscal year end</t>
  </si>
  <si>
    <t xml:space="preserve">  Growth %</t>
  </si>
  <si>
    <t xml:space="preserve">  Gross margin %</t>
  </si>
  <si>
    <t xml:space="preserve">SG&amp;A</t>
  </si>
  <si>
    <t xml:space="preserve">EBIT</t>
  </si>
  <si>
    <t xml:space="preserve">  EBIT margin %</t>
  </si>
  <si>
    <t xml:space="preserve">Taxes on EBIT</t>
  </si>
  <si>
    <t xml:space="preserve">NOPAT</t>
  </si>
  <si>
    <t xml:space="preserve">(+) D&amp;A</t>
  </si>
  <si>
    <t xml:space="preserve">(–) Capex</t>
  </si>
  <si>
    <t xml:space="preserve">(–) Increase in NWC</t>
  </si>
  <si>
    <t xml:space="preserve">Unlevered free cash flow</t>
  </si>
  <si>
    <t xml:space="preserve">  UFCF margin %</t>
  </si>
  <si>
    <t xml:space="preserve">Memo: EBITDA</t>
  </si>
  <si>
    <t xml:space="preserve">Valuation inputs</t>
  </si>
  <si>
    <t xml:space="preserve">Valuation date</t>
  </si>
  <si>
    <t xml:space="preserve">Mid-year convention (1 = on, 0 = off)</t>
  </si>
  <si>
    <t xml:space="preserve">Terminal growth rate</t>
  </si>
  <si>
    <t xml:space="preserve">Exit EV / EBITDA multiple (FY2031E)</t>
  </si>
  <si>
    <t xml:space="preserve">Years from valuation date to FY end</t>
  </si>
  <si>
    <t xml:space="preserve">Discount period</t>
  </si>
  <si>
    <t xml:space="preserve">Discount factor</t>
  </si>
  <si>
    <t xml:space="preserve">PV of UFCF</t>
  </si>
  <si>
    <t xml:space="preserve">Valuation</t>
  </si>
  <si>
    <t xml:space="preserve">Perpetuity growth</t>
  </si>
  <si>
    <t xml:space="preserve">Exit multiple</t>
  </si>
  <si>
    <t xml:space="preserve">Sum of PV of UFCF (FY2027E–31E)</t>
  </si>
  <si>
    <t xml:space="preserve">Terminal value at FY2031E</t>
  </si>
  <si>
    <t xml:space="preserve">Discount factor for TV (end FY2031E)</t>
  </si>
  <si>
    <t xml:space="preserve">PV of terminal value</t>
  </si>
  <si>
    <t xml:space="preserve">Enterprise value</t>
  </si>
  <si>
    <t xml:space="preserve">(+) Cash &amp; marketable securities</t>
  </si>
  <si>
    <t xml:space="preserve">(–) Total debt</t>
  </si>
  <si>
    <t xml:space="preserve">Equity value</t>
  </si>
  <si>
    <t xml:space="preserve">Implied value per share ($)</t>
  </si>
  <si>
    <t xml:space="preserve">Current share price ($)</t>
  </si>
  <si>
    <t xml:space="preserve">Upside / (downside)</t>
  </si>
  <si>
    <t xml:space="preserve">Terminal value % of EV</t>
  </si>
  <si>
    <t xml:space="preserve">Implied exit multiple / implied perpetuity growth</t>
  </si>
  <si>
    <t xml:space="preserve">Reverse DCF — what the current price implies</t>
  </si>
  <si>
    <t xml:space="preserve">Market enterprise value (price × diluted shares – net cash)</t>
  </si>
  <si>
    <t xml:space="preserve">Required PV of terminal value</t>
  </si>
  <si>
    <t xml:space="preserve">Required terminal value at FY2031E</t>
  </si>
  <si>
    <t xml:space="preserve">Market-implied perpetuity growth (at this WACC &amp; these cash flows)</t>
  </si>
  <si>
    <t xml:space="preserve">Market-implied EV / FY2031E EBITDA</t>
  </si>
  <si>
    <t xml:space="preserve">Sensitivity analysis — implied value per share ($)</t>
  </si>
  <si>
    <t xml:space="preserve">Every cell re-runs the DCF with that WACC / terminal assumption (no data tables needed). Centre cell = base case.</t>
  </si>
  <si>
    <t xml:space="preserve">WACC step</t>
  </si>
  <si>
    <t xml:space="preserve">Terminal growth step</t>
  </si>
  <si>
    <t xml:space="preserve">Exit multiple step</t>
  </si>
  <si>
    <t xml:space="preserve">1) Perpetuity-growth method: value per share</t>
  </si>
  <si>
    <t xml:space="preserve">WACC ↓ / terminal g →</t>
  </si>
  <si>
    <t xml:space="preserve">2) Perpetuity-growth method: upside / (downside) vs current price</t>
  </si>
  <si>
    <t xml:space="preserve">3) Exit-multiple method: value per share</t>
  </si>
  <si>
    <t xml:space="preserve">WACC ↓ / EV/EBITDA →</t>
  </si>
  <si>
    <t xml:space="preserve">Check: centre of table 1 should equal DCF!C51, and centre of table 3 should equal DCF!D51.</t>
  </si>
  <si>
    <t xml:space="preserve">Table 1 centre – DCF!C51</t>
  </si>
  <si>
    <t xml:space="preserve">Table 3 centre – DCF!D51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</si>
</sst>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"/>
    <numFmt numFmtId="166" formatCode="0.0%;\(0.0%\);\-"/>
    <numFmt numFmtId="167" formatCode="0.00;\(0.00\);&quot;OK&quot;"/>
    <numFmt numFmtId="168" formatCode="0.00%;\(0.00%\);\-"/>
    <numFmt numFmtId="169" formatCode="0.0%;\(0.0%\);\-"/>
    <numFmt numFmtId="170" formatCode="0.0\x"/>
    <numFmt numFmtId="171" formatCode="#,##0;\(#,##0\);\-"/>
    <numFmt numFmtId="172" formatCode="\$#,##0.00;&quot;($&quot;#,##0.00\);\-"/>
    <numFmt numFmtId="173" formatCode="0"/>
    <numFmt numFmtId="174" formatCode="0.00"/>
    <numFmt numFmtId="175" formatCode="#,##0.0"/>
    <numFmt numFmtId="176" formatCode="yyyy\-mm\-dd"/>
    <numFmt numFmtId="177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color rgb="FF008000"/>
      <name val="Arial"/>
      <family val="0"/>
      <charset val="1"/>
    </font>
    <font>
      <sz val="9"/>
      <color rgb="FF808080"/>
      <name val="Arial"/>
      <family val="0"/>
      <charset val="1"/>
    </font>
    <font>
      <sz val="10"/>
      <name val="Arial"/>
      <family val="2"/>
    </font>
    <font>
      <b val="true"/>
      <sz val="9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pple_DCF_Model.xlsx" TargetMode="External"/><Relationship Id="rId2" Type="http://schemas.openxmlformats.org/officeDocument/2006/relationships/hyperlink" Target="Apple_DCF_Model.xlsx" TargetMode="External"/><Relationship Id="rId3" Type="http://schemas.openxmlformats.org/officeDocument/2006/relationships/hyperlink" Target="Apple_DCF_Model.xlsx" TargetMode="External"/><Relationship Id="rId4" Type="http://schemas.openxmlformats.org/officeDocument/2006/relationships/hyperlink" Target="Apple_DCF_Model.xlsx" TargetMode="External"/><Relationship Id="rId5" Type="http://schemas.openxmlformats.org/officeDocument/2006/relationships/hyperlink" Target="Apple_DCF_Model.xlsx" TargetMode="External"/><Relationship Id="rId6" Type="http://schemas.openxmlformats.org/officeDocument/2006/relationships/hyperlink" Target="Apple_DCF_Model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0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str">
        <f aca="false">Summary!C5</f>
        <v>Base</v>
      </c>
    </row>
    <row r="15" customFormat="false" ht="15" hidden="false" customHeight="false" outlineLevel="0" collapsed="false">
      <c r="B15" s="5" t="s">
        <v>14</v>
      </c>
      <c r="C15" s="8" t="n">
        <f aca="false">Summary!C12</f>
        <v>151.352175683338</v>
      </c>
    </row>
    <row r="16" customFormat="false" ht="15" hidden="false" customHeight="false" outlineLevel="0" collapsed="false">
      <c r="B16" s="5" t="s">
        <v>15</v>
      </c>
      <c r="C16" s="8" t="n">
        <f aca="false">Summary!C13</f>
        <v>233.801947973144</v>
      </c>
    </row>
    <row r="17" customFormat="false" ht="15" hidden="false" customHeight="false" outlineLevel="0" collapsed="false">
      <c r="B17" s="5" t="s">
        <v>16</v>
      </c>
      <c r="C17" s="8" t="n">
        <f aca="false">Summary!C14</f>
        <v>192.577061828241</v>
      </c>
    </row>
    <row r="18" customFormat="false" ht="15" hidden="false" customHeight="false" outlineLevel="0" collapsed="false">
      <c r="B18" s="5" t="s">
        <v>17</v>
      </c>
      <c r="C18" s="8" t="n">
        <f aca="false">Summary!C15</f>
        <v>333.69</v>
      </c>
    </row>
    <row r="19" customFormat="false" ht="15" hidden="false" customHeight="false" outlineLevel="0" collapsed="false">
      <c r="B19" s="5" t="s">
        <v>18</v>
      </c>
      <c r="C19" s="9" t="n">
        <f aca="false">Summary!C16</f>
        <v>-0.422886326146301</v>
      </c>
    </row>
    <row r="20" customFormat="false" ht="15" hidden="false" customHeight="false" outlineLevel="0" collapsed="false">
      <c r="B20" s="5" t="s">
        <v>19</v>
      </c>
      <c r="C20" s="9" t="n">
        <f aca="false">Summary!C6</f>
        <v>0.0991818521510427</v>
      </c>
    </row>
    <row r="21" customFormat="false" ht="15" hidden="false" customHeight="false" outlineLevel="0" collapsed="false">
      <c r="B21" s="5" t="s">
        <v>20</v>
      </c>
      <c r="C21" s="9" t="n">
        <f aca="false">Summary!C18</f>
        <v>0.0725739151717562</v>
      </c>
    </row>
    <row r="22" customFormat="false" ht="15" hidden="false" customHeight="false" outlineLevel="0" collapsed="false">
      <c r="B22" s="5" t="s">
        <v>21</v>
      </c>
      <c r="C22" s="10" t="n">
        <f aca="false">Sensitivity!C32+Sensitivity!C33</f>
        <v>0</v>
      </c>
    </row>
    <row r="24" customFormat="false" ht="15" hidden="false" customHeight="false" outlineLevel="0" collapsed="false">
      <c r="B24" s="6" t="s">
        <v>22</v>
      </c>
      <c r="C24" s="3"/>
      <c r="D24" s="3"/>
      <c r="E24" s="3"/>
    </row>
    <row r="25" customFormat="false" ht="15" hidden="false" customHeight="false" outlineLevel="0" collapsed="false">
      <c r="B25" s="11" t="s">
        <v>23</v>
      </c>
      <c r="C25" s="5" t="s">
        <v>24</v>
      </c>
    </row>
    <row r="26" customFormat="false" ht="15" hidden="false" customHeight="false" outlineLevel="0" collapsed="false">
      <c r="B26" s="11" t="s">
        <v>25</v>
      </c>
      <c r="C26" s="5" t="s">
        <v>26</v>
      </c>
    </row>
    <row r="27" customFormat="false" ht="15" hidden="false" customHeight="false" outlineLevel="0" collapsed="false">
      <c r="B27" s="11" t="s">
        <v>27</v>
      </c>
      <c r="C27" s="5" t="s">
        <v>28</v>
      </c>
    </row>
    <row r="28" customFormat="false" ht="15" hidden="false" customHeight="false" outlineLevel="0" collapsed="false">
      <c r="B28" s="11" t="s">
        <v>19</v>
      </c>
      <c r="C28" s="5" t="s">
        <v>29</v>
      </c>
    </row>
    <row r="29" customFormat="false" ht="15" hidden="false" customHeight="false" outlineLevel="0" collapsed="false">
      <c r="B29" s="11" t="s">
        <v>30</v>
      </c>
      <c r="C29" s="5" t="s">
        <v>31</v>
      </c>
    </row>
    <row r="30" customFormat="false" ht="15" hidden="false" customHeight="false" outlineLevel="0" collapsed="false">
      <c r="B30" s="11" t="s">
        <v>32</v>
      </c>
      <c r="C30" s="5" t="s">
        <v>33</v>
      </c>
    </row>
    <row r="32" customFormat="false" ht="15" hidden="false" customHeight="false" outlineLevel="0" collapsed="false">
      <c r="B32" s="6" t="s">
        <v>34</v>
      </c>
      <c r="C32" s="3"/>
      <c r="D32" s="3"/>
      <c r="E32" s="3"/>
    </row>
    <row r="33" customFormat="false" ht="15" hidden="false" customHeight="false" outlineLevel="0" collapsed="false">
      <c r="B33" s="12" t="s">
        <v>35</v>
      </c>
    </row>
    <row r="34" customFormat="false" ht="15" hidden="false" customHeight="false" outlineLevel="0" collapsed="false">
      <c r="B34" s="5" t="s">
        <v>36</v>
      </c>
    </row>
    <row r="35" customFormat="false" ht="15" hidden="false" customHeight="false" outlineLevel="0" collapsed="false">
      <c r="B35" s="13" t="s">
        <v>37</v>
      </c>
    </row>
    <row r="36" customFormat="false" ht="15" hidden="false" customHeight="false" outlineLevel="0" collapsed="false">
      <c r="B36" s="14" t="s">
        <v>38</v>
      </c>
    </row>
    <row r="37" customFormat="false" ht="15" hidden="false" customHeight="false" outlineLevel="0" collapsed="false">
      <c r="B37" s="15" t="s">
        <v>39</v>
      </c>
    </row>
    <row r="39" customFormat="false" ht="15" hidden="false" customHeight="false" outlineLevel="0" collapsed="false">
      <c r="B39" s="6" t="s">
        <v>40</v>
      </c>
      <c r="C39" s="3"/>
      <c r="D39" s="3"/>
      <c r="E39" s="3"/>
    </row>
    <row r="40" customFormat="false" ht="15" hidden="false" customHeight="false" outlineLevel="0" collapsed="false">
      <c r="B40" s="5" t="s">
        <v>41</v>
      </c>
    </row>
    <row r="41" customFormat="false" ht="15" hidden="false" customHeight="false" outlineLevel="0" collapsed="false">
      <c r="B41" s="5" t="s">
        <v>42</v>
      </c>
    </row>
    <row r="42" customFormat="false" ht="15" hidden="false" customHeight="false" outlineLevel="0" collapsed="false">
      <c r="B42" s="5" t="s">
        <v>43</v>
      </c>
    </row>
    <row r="43" customFormat="false" ht="15" hidden="false" customHeight="false" outlineLevel="0" collapsed="false">
      <c r="B43" s="5" t="s">
        <v>44</v>
      </c>
    </row>
    <row r="45" customFormat="false" ht="15" hidden="false" customHeight="false" outlineLevel="0" collapsed="false">
      <c r="B45" s="6" t="s">
        <v>45</v>
      </c>
      <c r="C45" s="3"/>
      <c r="D45" s="3"/>
      <c r="E45" s="3"/>
    </row>
    <row r="46" customFormat="false" ht="15" hidden="false" customHeight="false" outlineLevel="0" collapsed="false">
      <c r="B46" s="5" t="s">
        <v>46</v>
      </c>
    </row>
    <row r="47" customFormat="false" ht="15" hidden="false" customHeight="false" outlineLevel="0" collapsed="false">
      <c r="B47" s="5" t="s">
        <v>47</v>
      </c>
    </row>
    <row r="49" customFormat="false" ht="15" hidden="false" customHeight="false" outlineLevel="0" collapsed="false">
      <c r="B49" s="4" t="s">
        <v>48</v>
      </c>
    </row>
    <row r="50" customFormat="false" ht="15" hidden="false" customHeight="false" outlineLevel="0" collapsed="false">
      <c r="B50" s="16" t="s">
        <v>49</v>
      </c>
    </row>
  </sheetData>
  <hyperlinks>
    <hyperlink ref="B25" r:id="rId1" location="'Summary'!A1" display="Summary"/>
    <hyperlink ref="B26" r:id="rId2" location="'Historical'!A1" display="Historical"/>
    <hyperlink ref="B27" r:id="rId3" location="'Assumptions'!A1" display="Assumptions"/>
    <hyperlink ref="B28" r:id="rId4" location="'WACC'!A1" display="WACC"/>
    <hyperlink ref="B29" r:id="rId5" location="'DCF'!A1" display="DCF"/>
    <hyperlink ref="B30" r:id="rId6" location="'Sensitivity'!A1" display="Sensitivit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48"/>
    <col collapsed="false" customWidth="true" hidden="false" outlineLevel="0" max="2" min="2" style="17" width="2"/>
    <col collapsed="false" customWidth="true" hidden="false" outlineLevel="0" max="3" min="3" style="17" width="18"/>
  </cols>
  <sheetData>
    <row r="1" customFormat="false" ht="17.25" hidden="false" customHeight="true" outlineLevel="0" collapsed="false">
      <c r="A1" s="18" t="s">
        <v>0</v>
      </c>
    </row>
    <row r="2" customFormat="false" ht="15" hidden="false" customHeight="true" outlineLevel="0" collapsed="false">
      <c r="A2" s="19" t="s">
        <v>50</v>
      </c>
    </row>
    <row r="4" customFormat="false" ht="15" hidden="false" customHeight="true" outlineLevel="0" collapsed="false">
      <c r="A4" s="20" t="s">
        <v>51</v>
      </c>
      <c r="B4" s="21"/>
      <c r="C4" s="21" t="s">
        <v>52</v>
      </c>
    </row>
    <row r="5" customFormat="false" ht="15" hidden="false" customHeight="true" outlineLevel="0" collapsed="false">
      <c r="A5" s="22" t="s">
        <v>13</v>
      </c>
      <c r="C5" s="23" t="str">
        <f aca="false">Assumptions!D3</f>
        <v>Base</v>
      </c>
    </row>
    <row r="6" customFormat="false" ht="15" hidden="false" customHeight="true" outlineLevel="0" collapsed="false">
      <c r="A6" s="22" t="s">
        <v>19</v>
      </c>
      <c r="C6" s="24" t="n">
        <f aca="false">WACC!C33</f>
        <v>0.0991818521510427</v>
      </c>
    </row>
    <row r="7" customFormat="false" ht="15" hidden="false" customHeight="true" outlineLevel="0" collapsed="false">
      <c r="A7" s="22" t="s">
        <v>53</v>
      </c>
      <c r="C7" s="25" t="n">
        <f aca="false">DCF!C31</f>
        <v>0.03</v>
      </c>
    </row>
    <row r="8" customFormat="false" ht="15" hidden="false" customHeight="true" outlineLevel="0" collapsed="false">
      <c r="A8" s="22" t="s">
        <v>54</v>
      </c>
      <c r="C8" s="26" t="n">
        <f aca="false">DCF!C32</f>
        <v>20</v>
      </c>
    </row>
    <row r="10" customFormat="false" ht="15" hidden="false" customHeight="true" outlineLevel="0" collapsed="false">
      <c r="A10" s="22" t="s">
        <v>55</v>
      </c>
      <c r="C10" s="27" t="n">
        <f aca="false">DCF!C46</f>
        <v>2157789.42604845</v>
      </c>
    </row>
    <row r="11" customFormat="false" ht="15" hidden="false" customHeight="true" outlineLevel="0" collapsed="false">
      <c r="A11" s="22" t="s">
        <v>56</v>
      </c>
      <c r="C11" s="27" t="n">
        <f aca="false">DCF!D46</f>
        <v>3367123.85215257</v>
      </c>
    </row>
    <row r="12" customFormat="false" ht="15" hidden="false" customHeight="true" outlineLevel="0" collapsed="false">
      <c r="A12" s="28" t="s">
        <v>14</v>
      </c>
      <c r="C12" s="29" t="n">
        <f aca="false">DCF!C51</f>
        <v>151.352175683338</v>
      </c>
    </row>
    <row r="13" customFormat="false" ht="15" hidden="false" customHeight="true" outlineLevel="0" collapsed="false">
      <c r="A13" s="28" t="s">
        <v>15</v>
      </c>
      <c r="C13" s="29" t="n">
        <f aca="false">DCF!D51</f>
        <v>233.801947973144</v>
      </c>
    </row>
    <row r="14" customFormat="false" ht="15" hidden="false" customHeight="true" outlineLevel="0" collapsed="false">
      <c r="A14" s="28" t="s">
        <v>57</v>
      </c>
      <c r="C14" s="30" t="n">
        <f aca="false">AVERAGE(C12:C13)</f>
        <v>192.577061828241</v>
      </c>
    </row>
    <row r="15" customFormat="false" ht="15" hidden="false" customHeight="true" outlineLevel="0" collapsed="false">
      <c r="A15" s="22" t="s">
        <v>58</v>
      </c>
      <c r="C15" s="31" t="n">
        <f aca="false">WACC!C14</f>
        <v>333.69</v>
      </c>
    </row>
    <row r="16" customFormat="false" ht="15" hidden="false" customHeight="true" outlineLevel="0" collapsed="false">
      <c r="A16" s="28" t="s">
        <v>59</v>
      </c>
      <c r="C16" s="32" t="n">
        <f aca="false">C14/C15-1</f>
        <v>-0.422886326146301</v>
      </c>
    </row>
    <row r="18" customFormat="false" ht="15" hidden="false" customHeight="true" outlineLevel="0" collapsed="false">
      <c r="A18" s="28" t="s">
        <v>20</v>
      </c>
      <c r="C18" s="33" t="n">
        <f aca="false">DCF!C61</f>
        <v>0.0725739151717562</v>
      </c>
    </row>
    <row r="19" customFormat="false" ht="15" hidden="false" customHeight="true" outlineLevel="0" collapsed="false">
      <c r="A19" s="22" t="s">
        <v>60</v>
      </c>
      <c r="C19" s="27" t="n">
        <f aca="false">Historical!H7</f>
        <v>477069.6</v>
      </c>
    </row>
    <row r="20" customFormat="false" ht="15" hidden="false" customHeight="true" outlineLevel="0" collapsed="false">
      <c r="A20" s="22" t="s">
        <v>61</v>
      </c>
      <c r="C20" s="27" t="n">
        <f aca="false">DCF!H9</f>
        <v>613838.043240059</v>
      </c>
    </row>
    <row r="21" customFormat="false" ht="15" hidden="false" customHeight="true" outlineLevel="0" collapsed="false">
      <c r="A21" s="22" t="s">
        <v>62</v>
      </c>
      <c r="C21" s="25" t="n">
        <f aca="false">DCF!H18</f>
        <v>0.333988869944175</v>
      </c>
    </row>
    <row r="23" customFormat="false" ht="15" hidden="false" customHeight="true" outlineLevel="0" collapsed="false">
      <c r="A23" s="28" t="s">
        <v>63</v>
      </c>
    </row>
    <row r="24" customFormat="false" ht="15" hidden="false" customHeight="true" outlineLevel="0" collapsed="false">
      <c r="A24" s="34" t="s">
        <v>64</v>
      </c>
      <c r="C24" s="22" t="s">
        <v>65</v>
      </c>
    </row>
    <row r="25" customFormat="false" ht="15" hidden="false" customHeight="true" outlineLevel="0" collapsed="false">
      <c r="A25" s="22" t="s">
        <v>66</v>
      </c>
      <c r="C25" s="22" t="s">
        <v>67</v>
      </c>
    </row>
    <row r="26" customFormat="false" ht="15" hidden="false" customHeight="true" outlineLevel="0" collapsed="false">
      <c r="A26" s="23" t="s">
        <v>68</v>
      </c>
      <c r="C26" s="22" t="s">
        <v>69</v>
      </c>
    </row>
    <row r="27" customFormat="false" ht="15" hidden="false" customHeight="true" outlineLevel="0" collapsed="false">
      <c r="A27" s="35" t="s">
        <v>70</v>
      </c>
      <c r="C27" s="22" t="s">
        <v>71</v>
      </c>
    </row>
    <row r="28" customFormat="false" ht="15" hidden="false" customHeight="true" outlineLevel="0" collapsed="false">
      <c r="A28" s="36" t="s">
        <v>72</v>
      </c>
      <c r="C28" s="22" t="s">
        <v>73</v>
      </c>
    </row>
    <row r="29" customFormat="false" ht="15" hidden="false" customHeight="true" outlineLevel="0" collapsed="false">
      <c r="A29" s="37" t="s">
        <v>74</v>
      </c>
      <c r="C29" s="22" t="s">
        <v>75</v>
      </c>
    </row>
    <row r="31" customFormat="false" ht="15" hidden="false" customHeight="true" outlineLevel="0" collapsed="false">
      <c r="A31" s="28" t="s">
        <v>76</v>
      </c>
    </row>
    <row r="32" customFormat="false" ht="15" hidden="false" customHeight="true" outlineLevel="0" collapsed="false">
      <c r="A32" s="22" t="s">
        <v>77</v>
      </c>
    </row>
    <row r="33" customFormat="false" ht="15" hidden="false" customHeight="true" outlineLevel="0" collapsed="false">
      <c r="A33" s="22" t="s">
        <v>78</v>
      </c>
    </row>
    <row r="34" customFormat="false" ht="15" hidden="false" customHeight="true" outlineLevel="0" collapsed="false">
      <c r="A34" s="22" t="s">
        <v>79</v>
      </c>
    </row>
    <row r="36" customFormat="false" ht="15" hidden="false" customHeight="true" outlineLevel="0" collapsed="false">
      <c r="A36" s="28" t="s">
        <v>80</v>
      </c>
    </row>
    <row r="37" customFormat="false" ht="15" hidden="false" customHeight="true" outlineLevel="0" collapsed="false">
      <c r="A37" s="19" t="s">
        <v>81</v>
      </c>
    </row>
    <row r="38" customFormat="false" ht="15" hidden="false" customHeight="true" outlineLevel="0" collapsed="false">
      <c r="A38" s="19" t="s">
        <v>82</v>
      </c>
    </row>
    <row r="39" customFormat="false" ht="15" hidden="false" customHeight="true" outlineLevel="0" collapsed="false">
      <c r="A39" s="19" t="s">
        <v>83</v>
      </c>
    </row>
    <row r="40" customFormat="false" ht="15" hidden="false" customHeight="true" outlineLevel="0" collapsed="false">
      <c r="A40" s="19" t="s">
        <v>84</v>
      </c>
    </row>
    <row r="41" customFormat="false" ht="15" hidden="false" customHeight="true" outlineLevel="0" collapsed="false">
      <c r="A41" s="19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36"/>
    <col collapsed="false" customWidth="true" hidden="false" outlineLevel="0" max="8" min="2" style="17" width="13"/>
  </cols>
  <sheetData>
    <row r="1" customFormat="false" ht="17.25" hidden="false" customHeight="true" outlineLevel="0" collapsed="false">
      <c r="A1" s="18" t="s">
        <v>86</v>
      </c>
    </row>
    <row r="2" customFormat="false" ht="15" hidden="false" customHeight="true" outlineLevel="0" collapsed="false">
      <c r="A2" s="19" t="s">
        <v>87</v>
      </c>
    </row>
    <row r="4" customFormat="false" ht="15" hidden="false" customHeight="true" outlineLevel="0" collapsed="false">
      <c r="A4" s="20" t="s">
        <v>88</v>
      </c>
      <c r="B4" s="21" t="s">
        <v>89</v>
      </c>
      <c r="C4" s="21" t="s">
        <v>90</v>
      </c>
      <c r="D4" s="21" t="s">
        <v>91</v>
      </c>
      <c r="E4" s="21" t="s">
        <v>92</v>
      </c>
      <c r="F4" s="21" t="s">
        <v>93</v>
      </c>
      <c r="G4" s="21" t="s">
        <v>94</v>
      </c>
      <c r="H4" s="21" t="s">
        <v>95</v>
      </c>
    </row>
    <row r="5" customFormat="false" ht="15" hidden="false" customHeight="true" outlineLevel="0" collapsed="false">
      <c r="A5" s="22" t="s">
        <v>96</v>
      </c>
      <c r="B5" s="38" t="n">
        <v>298085</v>
      </c>
      <c r="C5" s="38" t="n">
        <v>294866</v>
      </c>
      <c r="D5" s="38" t="n">
        <v>307003</v>
      </c>
      <c r="E5" s="38" t="n">
        <v>73716</v>
      </c>
      <c r="F5" s="38" t="n">
        <v>272629</v>
      </c>
      <c r="G5" s="39" t="n">
        <f aca="false">G7-G6</f>
        <v>81087.6</v>
      </c>
      <c r="H5" s="40" t="n">
        <f aca="false">F5+G5</f>
        <v>353716.6</v>
      </c>
    </row>
    <row r="6" customFormat="false" ht="15" hidden="false" customHeight="true" outlineLevel="0" collapsed="false">
      <c r="A6" s="22" t="s">
        <v>97</v>
      </c>
      <c r="B6" s="38" t="n">
        <v>85200</v>
      </c>
      <c r="C6" s="38" t="n">
        <v>96169</v>
      </c>
      <c r="D6" s="38" t="n">
        <v>109158</v>
      </c>
      <c r="E6" s="38" t="n">
        <v>28750</v>
      </c>
      <c r="F6" s="38" t="n">
        <v>91728</v>
      </c>
      <c r="G6" s="41" t="n">
        <f aca="false">E6*(1+Assumptions!$C$54)</f>
        <v>31625</v>
      </c>
      <c r="H6" s="40" t="n">
        <f aca="false">F6+G6</f>
        <v>123353</v>
      </c>
    </row>
    <row r="7" customFormat="false" ht="15" hidden="false" customHeight="true" outlineLevel="0" collapsed="false">
      <c r="A7" s="42" t="s">
        <v>98</v>
      </c>
      <c r="B7" s="43" t="n">
        <f aca="false">B5+B6</f>
        <v>383285</v>
      </c>
      <c r="C7" s="43" t="n">
        <f aca="false">C5+C6</f>
        <v>391035</v>
      </c>
      <c r="D7" s="43" t="n">
        <f aca="false">D5+D6</f>
        <v>416161</v>
      </c>
      <c r="E7" s="43" t="n">
        <f aca="false">E5+E6</f>
        <v>102466</v>
      </c>
      <c r="F7" s="43" t="n">
        <f aca="false">F5+F6</f>
        <v>364357</v>
      </c>
      <c r="G7" s="44" t="n">
        <f aca="false">E7*(1+Assumptions!$C$53)</f>
        <v>112712.6</v>
      </c>
      <c r="H7" s="43" t="n">
        <f aca="false">H5+H6</f>
        <v>477069.6</v>
      </c>
    </row>
    <row r="8" customFormat="false" ht="15" hidden="false" customHeight="true" outlineLevel="0" collapsed="false">
      <c r="A8" s="22" t="s">
        <v>99</v>
      </c>
      <c r="B8" s="38" t="n">
        <v>189282</v>
      </c>
      <c r="C8" s="38" t="n">
        <v>185233</v>
      </c>
      <c r="D8" s="38" t="n">
        <v>194116</v>
      </c>
      <c r="E8" s="38" t="n">
        <v>47019</v>
      </c>
      <c r="F8" s="38" t="n">
        <v>163810</v>
      </c>
      <c r="G8" s="39" t="n">
        <f aca="false">G10-G9</f>
        <v>51425.99</v>
      </c>
      <c r="H8" s="40" t="n">
        <f aca="false">F8+G8</f>
        <v>215235.99</v>
      </c>
    </row>
    <row r="9" customFormat="false" ht="15" hidden="false" customHeight="true" outlineLevel="0" collapsed="false">
      <c r="A9" s="22" t="s">
        <v>100</v>
      </c>
      <c r="B9" s="38" t="n">
        <v>24855</v>
      </c>
      <c r="C9" s="38" t="n">
        <v>25119</v>
      </c>
      <c r="D9" s="38" t="n">
        <v>26844</v>
      </c>
      <c r="E9" s="38" t="n">
        <v>7106</v>
      </c>
      <c r="F9" s="38" t="n">
        <v>21765</v>
      </c>
      <c r="G9" s="41" t="n">
        <f aca="false">G6*(1-Assumptions!$C$56)</f>
        <v>7748.125</v>
      </c>
      <c r="H9" s="40" t="n">
        <f aca="false">F9+G9</f>
        <v>29513.125</v>
      </c>
    </row>
    <row r="10" customFormat="false" ht="15" hidden="false" customHeight="true" outlineLevel="0" collapsed="false">
      <c r="A10" s="22" t="s">
        <v>101</v>
      </c>
      <c r="B10" s="40" t="n">
        <f aca="false">B8+B9</f>
        <v>214137</v>
      </c>
      <c r="C10" s="40" t="n">
        <f aca="false">C8+C9</f>
        <v>210352</v>
      </c>
      <c r="D10" s="40" t="n">
        <f aca="false">D8+D9</f>
        <v>220960</v>
      </c>
      <c r="E10" s="40" t="n">
        <f aca="false">E8+E9</f>
        <v>54125</v>
      </c>
      <c r="F10" s="40" t="n">
        <f aca="false">F8+F9</f>
        <v>185575</v>
      </c>
      <c r="G10" s="41" t="n">
        <f aca="false">G7*(1-Assumptions!$C$55)</f>
        <v>59174.115</v>
      </c>
      <c r="H10" s="40" t="n">
        <f aca="false">H8+H9</f>
        <v>244749.115</v>
      </c>
    </row>
    <row r="11" customFormat="false" ht="15" hidden="false" customHeight="true" outlineLevel="0" collapsed="false">
      <c r="A11" s="22" t="s">
        <v>102</v>
      </c>
      <c r="B11" s="40" t="n">
        <f aca="false">B5-B8</f>
        <v>108803</v>
      </c>
      <c r="C11" s="40" t="n">
        <f aca="false">C5-C8</f>
        <v>109633</v>
      </c>
      <c r="D11" s="40" t="n">
        <f aca="false">D5-D8</f>
        <v>112887</v>
      </c>
      <c r="E11" s="40" t="n">
        <f aca="false">E5-E8</f>
        <v>26697</v>
      </c>
      <c r="F11" s="40" t="n">
        <f aca="false">F5-F8</f>
        <v>108819</v>
      </c>
      <c r="G11" s="40" t="n">
        <f aca="false">G5-G8</f>
        <v>29661.61</v>
      </c>
      <c r="H11" s="40" t="n">
        <f aca="false">H5-H8</f>
        <v>138480.61</v>
      </c>
    </row>
    <row r="12" customFormat="false" ht="15" hidden="false" customHeight="true" outlineLevel="0" collapsed="false">
      <c r="A12" s="22" t="s">
        <v>103</v>
      </c>
      <c r="B12" s="40" t="n">
        <f aca="false">B6-B9</f>
        <v>60345</v>
      </c>
      <c r="C12" s="40" t="n">
        <f aca="false">C6-C9</f>
        <v>71050</v>
      </c>
      <c r="D12" s="40" t="n">
        <f aca="false">D6-D9</f>
        <v>82314</v>
      </c>
      <c r="E12" s="40" t="n">
        <f aca="false">E6-E9</f>
        <v>21644</v>
      </c>
      <c r="F12" s="40" t="n">
        <f aca="false">F6-F9</f>
        <v>69963</v>
      </c>
      <c r="G12" s="40" t="n">
        <f aca="false">G6-G9</f>
        <v>23876.875</v>
      </c>
      <c r="H12" s="40" t="n">
        <f aca="false">H6-H9</f>
        <v>93839.875</v>
      </c>
    </row>
    <row r="13" customFormat="false" ht="15" hidden="false" customHeight="true" outlineLevel="0" collapsed="false">
      <c r="A13" s="42" t="s">
        <v>104</v>
      </c>
      <c r="B13" s="43" t="n">
        <f aca="false">B7-B10</f>
        <v>169148</v>
      </c>
      <c r="C13" s="43" t="n">
        <f aca="false">C7-C10</f>
        <v>180683</v>
      </c>
      <c r="D13" s="43" t="n">
        <f aca="false">D7-D10</f>
        <v>195201</v>
      </c>
      <c r="E13" s="43" t="n">
        <f aca="false">E7-E10</f>
        <v>48341</v>
      </c>
      <c r="F13" s="43" t="n">
        <f aca="false">F7-F10</f>
        <v>178782</v>
      </c>
      <c r="G13" s="43" t="n">
        <f aca="false">G7-G10</f>
        <v>53538.485</v>
      </c>
      <c r="H13" s="43" t="n">
        <f aca="false">H7-H10</f>
        <v>232320.485</v>
      </c>
    </row>
    <row r="14" customFormat="false" ht="15" hidden="false" customHeight="true" outlineLevel="0" collapsed="false">
      <c r="A14" s="22" t="s">
        <v>105</v>
      </c>
      <c r="B14" s="38" t="n">
        <v>29915</v>
      </c>
      <c r="C14" s="38" t="n">
        <v>31370</v>
      </c>
      <c r="D14" s="38" t="n">
        <v>34550</v>
      </c>
      <c r="E14" s="38" t="n">
        <v>8866</v>
      </c>
      <c r="F14" s="38" t="n">
        <v>34035</v>
      </c>
      <c r="G14" s="41" t="n">
        <f aca="false">Assumptions!$C$57*F14/F16</f>
        <v>11626.8633540373</v>
      </c>
      <c r="H14" s="40" t="n">
        <f aca="false">F14+G14</f>
        <v>45661.8633540373</v>
      </c>
    </row>
    <row r="15" customFormat="false" ht="15" hidden="false" customHeight="true" outlineLevel="0" collapsed="false">
      <c r="A15" s="22" t="s">
        <v>106</v>
      </c>
      <c r="B15" s="38" t="n">
        <v>24932</v>
      </c>
      <c r="C15" s="38" t="n">
        <v>26097</v>
      </c>
      <c r="D15" s="38" t="n">
        <v>27601</v>
      </c>
      <c r="E15" s="38" t="n">
        <v>7048</v>
      </c>
      <c r="F15" s="38" t="n">
        <v>22315</v>
      </c>
      <c r="G15" s="41" t="n">
        <f aca="false">Assumptions!$C$57-G14</f>
        <v>7623.13664596273</v>
      </c>
      <c r="H15" s="40" t="n">
        <f aca="false">F15+G15</f>
        <v>29938.1366459627</v>
      </c>
    </row>
    <row r="16" customFormat="false" ht="15" hidden="false" customHeight="true" outlineLevel="0" collapsed="false">
      <c r="A16" s="22" t="s">
        <v>107</v>
      </c>
      <c r="B16" s="40" t="n">
        <f aca="false">B14+B15</f>
        <v>54847</v>
      </c>
      <c r="C16" s="40" t="n">
        <f aca="false">C14+C15</f>
        <v>57467</v>
      </c>
      <c r="D16" s="40" t="n">
        <f aca="false">D14+D15</f>
        <v>62151</v>
      </c>
      <c r="E16" s="40" t="n">
        <f aca="false">E14+E15</f>
        <v>15914</v>
      </c>
      <c r="F16" s="40" t="n">
        <f aca="false">F14+F15</f>
        <v>56350</v>
      </c>
      <c r="G16" s="40" t="n">
        <f aca="false">G14+G15</f>
        <v>19250</v>
      </c>
      <c r="H16" s="40" t="n">
        <f aca="false">H14+H15</f>
        <v>75600</v>
      </c>
    </row>
    <row r="17" customFormat="false" ht="15" hidden="false" customHeight="true" outlineLevel="0" collapsed="false">
      <c r="A17" s="42" t="s">
        <v>108</v>
      </c>
      <c r="B17" s="43" t="n">
        <f aca="false">B13-B16</f>
        <v>114301</v>
      </c>
      <c r="C17" s="43" t="n">
        <f aca="false">C13-C16</f>
        <v>123216</v>
      </c>
      <c r="D17" s="43" t="n">
        <f aca="false">D13-D16</f>
        <v>133050</v>
      </c>
      <c r="E17" s="43" t="n">
        <f aca="false">E13-E16</f>
        <v>32427</v>
      </c>
      <c r="F17" s="43" t="n">
        <f aca="false">F13-F16</f>
        <v>122432</v>
      </c>
      <c r="G17" s="43" t="n">
        <f aca="false">G13-G16</f>
        <v>34288.485</v>
      </c>
      <c r="H17" s="43" t="n">
        <f aca="false">H13-H16</f>
        <v>156720.485</v>
      </c>
    </row>
    <row r="18" customFormat="false" ht="15" hidden="false" customHeight="true" outlineLevel="0" collapsed="false">
      <c r="A18" s="22" t="s">
        <v>109</v>
      </c>
      <c r="B18" s="38" t="n">
        <v>-565</v>
      </c>
      <c r="C18" s="38" t="n">
        <v>269</v>
      </c>
      <c r="D18" s="38" t="n">
        <v>-321</v>
      </c>
      <c r="E18" s="38" t="n">
        <v>377</v>
      </c>
      <c r="F18" s="38" t="n">
        <v>670</v>
      </c>
      <c r="G18" s="41" t="n">
        <f aca="false">Assumptions!$C$58</f>
        <v>0</v>
      </c>
      <c r="H18" s="40" t="n">
        <f aca="false">F18+G18</f>
        <v>670</v>
      </c>
    </row>
    <row r="19" customFormat="false" ht="15" hidden="false" customHeight="true" outlineLevel="0" collapsed="false">
      <c r="A19" s="22" t="s">
        <v>110</v>
      </c>
      <c r="B19" s="40" t="n">
        <f aca="false">B17+B18</f>
        <v>113736</v>
      </c>
      <c r="C19" s="40" t="n">
        <f aca="false">C17+C18</f>
        <v>123485</v>
      </c>
      <c r="D19" s="40" t="n">
        <f aca="false">D17+D18</f>
        <v>132729</v>
      </c>
      <c r="E19" s="40" t="n">
        <f aca="false">E17+E18</f>
        <v>32804</v>
      </c>
      <c r="F19" s="40" t="n">
        <f aca="false">F17+F18</f>
        <v>123102</v>
      </c>
      <c r="G19" s="40" t="n">
        <f aca="false">G17+G18</f>
        <v>34288.485</v>
      </c>
      <c r="H19" s="40" t="n">
        <f aca="false">H17+H18</f>
        <v>157390.485</v>
      </c>
    </row>
    <row r="20" customFormat="false" ht="15" hidden="false" customHeight="true" outlineLevel="0" collapsed="false">
      <c r="A20" s="22" t="s">
        <v>111</v>
      </c>
      <c r="B20" s="38" t="n">
        <v>16741</v>
      </c>
      <c r="C20" s="38" t="n">
        <v>29749</v>
      </c>
      <c r="D20" s="38" t="n">
        <v>20719</v>
      </c>
      <c r="E20" s="38" t="n">
        <v>5338</v>
      </c>
      <c r="F20" s="38" t="n">
        <v>21638</v>
      </c>
      <c r="G20" s="41" t="n">
        <f aca="false">G19*Assumptions!$C$59</f>
        <v>6000.484875</v>
      </c>
      <c r="H20" s="40" t="n">
        <f aca="false">F20+G20</f>
        <v>27638.484875</v>
      </c>
    </row>
    <row r="21" customFormat="false" ht="15" hidden="false" customHeight="true" outlineLevel="0" collapsed="false">
      <c r="A21" s="42" t="s">
        <v>112</v>
      </c>
      <c r="B21" s="43" t="n">
        <f aca="false">B19-B20</f>
        <v>96995</v>
      </c>
      <c r="C21" s="43" t="n">
        <f aca="false">C19-C20</f>
        <v>93736</v>
      </c>
      <c r="D21" s="43" t="n">
        <f aca="false">D19-D20</f>
        <v>112010</v>
      </c>
      <c r="E21" s="43" t="n">
        <f aca="false">E19-E20</f>
        <v>27466</v>
      </c>
      <c r="F21" s="43" t="n">
        <f aca="false">F19-F20</f>
        <v>101464</v>
      </c>
      <c r="G21" s="43" t="n">
        <f aca="false">G19-G20</f>
        <v>28288.000125</v>
      </c>
      <c r="H21" s="43" t="n">
        <f aca="false">H19-H20</f>
        <v>129752.000125</v>
      </c>
    </row>
    <row r="23" customFormat="false" ht="15" hidden="false" customHeight="true" outlineLevel="0" collapsed="false">
      <c r="A23" s="22" t="s">
        <v>113</v>
      </c>
      <c r="B23" s="38" t="n">
        <v>11519</v>
      </c>
      <c r="C23" s="38" t="n">
        <v>11445</v>
      </c>
      <c r="D23" s="38" t="n">
        <v>11698</v>
      </c>
      <c r="E23" s="45" t="s">
        <v>114</v>
      </c>
      <c r="F23" s="38" t="n">
        <v>9973</v>
      </c>
      <c r="G23" s="41" t="n">
        <f aca="false">Assumptions!$C$60</f>
        <v>3400</v>
      </c>
      <c r="H23" s="40" t="n">
        <f aca="false">F23+G23</f>
        <v>13373</v>
      </c>
    </row>
    <row r="24" customFormat="false" ht="15" hidden="false" customHeight="true" outlineLevel="0" collapsed="false">
      <c r="A24" s="22" t="s">
        <v>115</v>
      </c>
      <c r="B24" s="38" t="n">
        <v>10833</v>
      </c>
      <c r="C24" s="38" t="n">
        <v>11688</v>
      </c>
      <c r="D24" s="38" t="n">
        <v>12863</v>
      </c>
      <c r="E24" s="45" t="s">
        <v>114</v>
      </c>
      <c r="F24" s="38" t="n">
        <v>10523</v>
      </c>
      <c r="G24" s="41" t="n">
        <f aca="false">Assumptions!$C$61</f>
        <v>3500</v>
      </c>
      <c r="H24" s="40" t="n">
        <f aca="false">F24+G24</f>
        <v>14023</v>
      </c>
    </row>
    <row r="25" customFormat="false" ht="15" hidden="false" customHeight="true" outlineLevel="0" collapsed="false">
      <c r="A25" s="22" t="s">
        <v>116</v>
      </c>
      <c r="B25" s="38" t="n">
        <v>10959</v>
      </c>
      <c r="C25" s="38" t="n">
        <v>9447</v>
      </c>
      <c r="D25" s="38" t="n">
        <v>12715</v>
      </c>
      <c r="E25" s="38" t="n">
        <v>3242</v>
      </c>
      <c r="F25" s="38" t="n">
        <v>6799</v>
      </c>
      <c r="G25" s="41" t="n">
        <f aca="false">Assumptions!$C$62</f>
        <v>3500</v>
      </c>
      <c r="H25" s="40" t="n">
        <f aca="false">F25+G25</f>
        <v>10299</v>
      </c>
    </row>
    <row r="26" customFormat="false" ht="15" hidden="false" customHeight="true" outlineLevel="0" collapsed="false">
      <c r="A26" s="22" t="s">
        <v>117</v>
      </c>
      <c r="B26" s="38" t="n">
        <v>110543</v>
      </c>
      <c r="C26" s="38" t="n">
        <v>118254</v>
      </c>
      <c r="D26" s="38" t="n">
        <v>111482</v>
      </c>
      <c r="E26" s="45" t="s">
        <v>114</v>
      </c>
      <c r="F26" s="38" t="n">
        <v>116996</v>
      </c>
      <c r="G26" s="45" t="s">
        <v>114</v>
      </c>
      <c r="H26" s="45" t="s">
        <v>114</v>
      </c>
    </row>
    <row r="28" customFormat="false" ht="15" hidden="false" customHeight="true" outlineLevel="0" collapsed="false">
      <c r="A28" s="28" t="s">
        <v>118</v>
      </c>
    </row>
    <row r="29" customFormat="false" ht="15" hidden="false" customHeight="true" outlineLevel="0" collapsed="false">
      <c r="A29" s="22" t="s">
        <v>119</v>
      </c>
      <c r="C29" s="46" t="n">
        <f aca="false">C7/B7-1</f>
        <v>0.0202199407751411</v>
      </c>
      <c r="D29" s="46" t="n">
        <f aca="false">D7/C7-1</f>
        <v>0.0642551178283275</v>
      </c>
      <c r="E29" s="46" t="n">
        <f aca="false">E7/94930-1</f>
        <v>0.0793848098598968</v>
      </c>
      <c r="F29" s="46" t="n">
        <f aca="false">F7/(D7-E7)-1</f>
        <v>0.161500820861027</v>
      </c>
      <c r="G29" s="46" t="n">
        <f aca="false">G7/E7-1</f>
        <v>0.1</v>
      </c>
      <c r="H29" s="46" t="n">
        <f aca="false">H7/D7-1</f>
        <v>0.146358260384803</v>
      </c>
    </row>
    <row r="30" customFormat="false" ht="15" hidden="false" customHeight="true" outlineLevel="0" collapsed="false">
      <c r="A30" s="22" t="s">
        <v>120</v>
      </c>
      <c r="C30" s="46" t="n">
        <f aca="false">C5/B5-1</f>
        <v>-0.0107989331901974</v>
      </c>
      <c r="D30" s="46" t="n">
        <f aca="false">D5/C5-1</f>
        <v>0.041161069774067</v>
      </c>
      <c r="E30" s="46" t="n">
        <f aca="false">E5/69958-1</f>
        <v>0.0537179450527459</v>
      </c>
      <c r="F30" s="46" t="n">
        <f aca="false">F5/(D5-E5)-1</f>
        <v>0.168642058923129</v>
      </c>
      <c r="G30" s="46" t="n">
        <f aca="false">G5/E5-1</f>
        <v>0.1</v>
      </c>
      <c r="H30" s="46" t="n">
        <f aca="false">H5/D5-1</f>
        <v>0.152160076611629</v>
      </c>
    </row>
    <row r="31" customFormat="false" ht="15" hidden="false" customHeight="true" outlineLevel="0" collapsed="false">
      <c r="A31" s="22" t="s">
        <v>121</v>
      </c>
      <c r="C31" s="46" t="n">
        <f aca="false">C6/B6-1</f>
        <v>0.128744131455399</v>
      </c>
      <c r="D31" s="46" t="n">
        <f aca="false">D6/C6-1</f>
        <v>0.135064313864135</v>
      </c>
      <c r="E31" s="46" t="n">
        <f aca="false">E6/24972-1</f>
        <v>0.151289444177479</v>
      </c>
      <c r="F31" s="46" t="n">
        <f aca="false">F6/(D6-E6)-1</f>
        <v>0.140782011740125</v>
      </c>
      <c r="G31" s="46" t="n">
        <f aca="false">G6/E6-1</f>
        <v>0.1</v>
      </c>
      <c r="H31" s="46" t="n">
        <f aca="false">H6/D6-1</f>
        <v>0.130040858205537</v>
      </c>
    </row>
    <row r="32" customFormat="false" ht="15" hidden="false" customHeight="true" outlineLevel="0" collapsed="false">
      <c r="A32" s="22" t="s">
        <v>122</v>
      </c>
      <c r="B32" s="46" t="n">
        <f aca="false">B11/B5</f>
        <v>0.365006625626919</v>
      </c>
      <c r="C32" s="46" t="n">
        <f aca="false">C11/C5</f>
        <v>0.371806176364857</v>
      </c>
      <c r="D32" s="46" t="n">
        <f aca="false">D11/D5</f>
        <v>0.367706504496699</v>
      </c>
      <c r="E32" s="46" t="n">
        <f aca="false">E11/E5</f>
        <v>0.362160182321341</v>
      </c>
      <c r="F32" s="46" t="n">
        <f aca="false">F11/F5</f>
        <v>0.399146825906268</v>
      </c>
      <c r="G32" s="46" t="n">
        <f aca="false">G11/G5</f>
        <v>0.365797113245428</v>
      </c>
      <c r="H32" s="46" t="n">
        <f aca="false">H11/H5</f>
        <v>0.391501586298183</v>
      </c>
    </row>
    <row r="33" customFormat="false" ht="15" hidden="false" customHeight="true" outlineLevel="0" collapsed="false">
      <c r="A33" s="22" t="s">
        <v>123</v>
      </c>
      <c r="B33" s="46" t="n">
        <f aca="false">B12/B6</f>
        <v>0.708274647887324</v>
      </c>
      <c r="C33" s="46" t="n">
        <f aca="false">C12/C6</f>
        <v>0.738803564558226</v>
      </c>
      <c r="D33" s="46" t="n">
        <f aca="false">D12/D6</f>
        <v>0.754081240037377</v>
      </c>
      <c r="E33" s="46" t="n">
        <f aca="false">E12/E6</f>
        <v>0.752834782608696</v>
      </c>
      <c r="F33" s="46" t="n">
        <f aca="false">F12/F6</f>
        <v>0.762722396650968</v>
      </c>
      <c r="G33" s="46" t="n">
        <f aca="false">G12/G6</f>
        <v>0.755</v>
      </c>
      <c r="H33" s="46" t="n">
        <f aca="false">H12/H6</f>
        <v>0.760742543756536</v>
      </c>
    </row>
    <row r="34" customFormat="false" ht="15" hidden="false" customHeight="true" outlineLevel="0" collapsed="false">
      <c r="A34" s="22" t="s">
        <v>124</v>
      </c>
      <c r="B34" s="46" t="n">
        <f aca="false">B13/B7</f>
        <v>0.441311295772076</v>
      </c>
      <c r="C34" s="46" t="n">
        <f aca="false">C13/C7</f>
        <v>0.462063498152339</v>
      </c>
      <c r="D34" s="46" t="n">
        <f aca="false">D13/D7</f>
        <v>0.469051641071605</v>
      </c>
      <c r="E34" s="46" t="n">
        <f aca="false">E13/E7</f>
        <v>0.471776003747585</v>
      </c>
      <c r="F34" s="46" t="n">
        <f aca="false">F13/F7</f>
        <v>0.490678098677945</v>
      </c>
      <c r="G34" s="46" t="n">
        <f aca="false">G13/G7</f>
        <v>0.475</v>
      </c>
      <c r="H34" s="46" t="n">
        <f aca="false">H13/H7</f>
        <v>0.48697398660489</v>
      </c>
    </row>
    <row r="35" customFormat="false" ht="15" hidden="false" customHeight="true" outlineLevel="0" collapsed="false">
      <c r="A35" s="22" t="s">
        <v>125</v>
      </c>
      <c r="B35" s="46" t="n">
        <f aca="false">B14/B7</f>
        <v>0.0780489713920451</v>
      </c>
      <c r="C35" s="46" t="n">
        <f aca="false">C14/C7</f>
        <v>0.0802229979413607</v>
      </c>
      <c r="D35" s="46" t="n">
        <f aca="false">D14/D7</f>
        <v>0.0830207539870387</v>
      </c>
      <c r="E35" s="46" t="n">
        <f aca="false">E14/E7</f>
        <v>0.0865262623699569</v>
      </c>
      <c r="F35" s="46" t="n">
        <f aca="false">F14/F7</f>
        <v>0.0934111324881915</v>
      </c>
      <c r="G35" s="46" t="n">
        <f aca="false">G14/G7</f>
        <v>0.103154956535802</v>
      </c>
      <c r="H35" s="46" t="n">
        <f aca="false">H14/H7</f>
        <v>0.0957132111415971</v>
      </c>
    </row>
    <row r="36" customFormat="false" ht="15" hidden="false" customHeight="true" outlineLevel="0" collapsed="false">
      <c r="A36" s="22" t="s">
        <v>126</v>
      </c>
      <c r="B36" s="46" t="n">
        <f aca="false">B15/B7</f>
        <v>0.0650482017297833</v>
      </c>
      <c r="C36" s="46" t="n">
        <f aca="false">C15/C7</f>
        <v>0.0667382715102229</v>
      </c>
      <c r="D36" s="46" t="n">
        <f aca="false">D15/D7</f>
        <v>0.066322889458647</v>
      </c>
      <c r="E36" s="46" t="n">
        <f aca="false">E15/E7</f>
        <v>0.068783791696758</v>
      </c>
      <c r="F36" s="46" t="n">
        <f aca="false">F15/F7</f>
        <v>0.0612448779630966</v>
      </c>
      <c r="G36" s="46" t="n">
        <f aca="false">G15/G7</f>
        <v>0.0676334025296438</v>
      </c>
      <c r="H36" s="46" t="n">
        <f aca="false">H15/H7</f>
        <v>0.0627542326024604</v>
      </c>
    </row>
    <row r="37" customFormat="false" ht="15" hidden="false" customHeight="true" outlineLevel="0" collapsed="false">
      <c r="A37" s="22" t="s">
        <v>127</v>
      </c>
      <c r="B37" s="46" t="n">
        <f aca="false">B17/B7</f>
        <v>0.298214122650247</v>
      </c>
      <c r="C37" s="46" t="n">
        <f aca="false">C17/C7</f>
        <v>0.315102228700756</v>
      </c>
      <c r="D37" s="46" t="n">
        <f aca="false">D17/D7</f>
        <v>0.319707997625919</v>
      </c>
      <c r="E37" s="46" t="n">
        <f aca="false">E17/E7</f>
        <v>0.31646594968087</v>
      </c>
      <c r="F37" s="46" t="n">
        <f aca="false">F17/F7</f>
        <v>0.336022088226657</v>
      </c>
      <c r="G37" s="46" t="n">
        <f aca="false">G17/G7</f>
        <v>0.304211640934554</v>
      </c>
      <c r="H37" s="46" t="n">
        <f aca="false">H17/H7</f>
        <v>0.328506542860832</v>
      </c>
    </row>
    <row r="38" customFormat="false" ht="15" hidden="false" customHeight="true" outlineLevel="0" collapsed="false">
      <c r="A38" s="22" t="s">
        <v>128</v>
      </c>
      <c r="B38" s="46" t="n">
        <f aca="false">B20/B19</f>
        <v>0.147191742280369</v>
      </c>
      <c r="C38" s="46" t="n">
        <f aca="false">C20/C19</f>
        <v>0.2409118516419</v>
      </c>
      <c r="D38" s="46" t="n">
        <f aca="false">D20/D19</f>
        <v>0.15610002335586</v>
      </c>
      <c r="E38" s="46" t="n">
        <f aca="false">E20/E19</f>
        <v>0.162724058041702</v>
      </c>
      <c r="F38" s="46" t="n">
        <f aca="false">F20/F19</f>
        <v>0.175772936264236</v>
      </c>
      <c r="G38" s="46" t="n">
        <f aca="false">G20/G19</f>
        <v>0.175</v>
      </c>
      <c r="H38" s="46" t="n">
        <f aca="false">H20/H19</f>
        <v>0.175604547346048</v>
      </c>
    </row>
    <row r="39" customFormat="false" ht="15" hidden="false" customHeight="true" outlineLevel="0" collapsed="false">
      <c r="A39" s="22" t="s">
        <v>129</v>
      </c>
      <c r="B39" s="46" t="n">
        <f aca="false">B23/B7</f>
        <v>0.0300533545534002</v>
      </c>
      <c r="C39" s="46" t="n">
        <f aca="false">C23/C7</f>
        <v>0.0292684798035981</v>
      </c>
      <c r="D39" s="46" t="n">
        <f aca="false">D23/D7</f>
        <v>0.0281093134628185</v>
      </c>
      <c r="F39" s="46" t="n">
        <f aca="false">F23/F7</f>
        <v>0.02737150651696</v>
      </c>
      <c r="G39" s="46" t="n">
        <f aca="false">G23/G7</f>
        <v>0.0301652166661048</v>
      </c>
      <c r="H39" s="46" t="n">
        <f aca="false">H23/H7</f>
        <v>0.0280315492749905</v>
      </c>
    </row>
    <row r="40" customFormat="false" ht="15" hidden="false" customHeight="true" outlineLevel="0" collapsed="false">
      <c r="A40" s="22" t="s">
        <v>130</v>
      </c>
      <c r="B40" s="46" t="n">
        <f aca="false">B25/B7</f>
        <v>0.0285923007683578</v>
      </c>
      <c r="C40" s="46" t="n">
        <f aca="false">C25/C7</f>
        <v>0.0241589627526948</v>
      </c>
      <c r="D40" s="46" t="n">
        <f aca="false">D25/D7</f>
        <v>0.0305530792169377</v>
      </c>
      <c r="E40" s="46" t="n">
        <f aca="false">E25/E7</f>
        <v>0.0316397634337244</v>
      </c>
      <c r="F40" s="46" t="n">
        <f aca="false">F25/F7</f>
        <v>0.0186602700099079</v>
      </c>
      <c r="G40" s="46" t="n">
        <f aca="false">G25/G7</f>
        <v>0.0310524289209902</v>
      </c>
      <c r="H40" s="46" t="n">
        <f aca="false">H25/H7</f>
        <v>0.0215880450148154</v>
      </c>
    </row>
    <row r="41" customFormat="false" ht="15" hidden="false" customHeight="true" outlineLevel="0" collapsed="false">
      <c r="A41" s="22" t="s">
        <v>131</v>
      </c>
      <c r="B41" s="46" t="n">
        <f aca="false">B24/B7</f>
        <v>0.0282635636667232</v>
      </c>
      <c r="C41" s="46" t="n">
        <f aca="false">C24/C7</f>
        <v>0.0298899075530323</v>
      </c>
      <c r="D41" s="46" t="n">
        <f aca="false">D24/D7</f>
        <v>0.0309087108114408</v>
      </c>
      <c r="F41" s="46" t="n">
        <f aca="false">F24/F7</f>
        <v>0.0288810150484278</v>
      </c>
      <c r="G41" s="46" t="n">
        <f aca="false">G24/G7</f>
        <v>0.0310524289209902</v>
      </c>
      <c r="H41" s="46" t="n">
        <f aca="false">H24/H7</f>
        <v>0.0293940339103561</v>
      </c>
    </row>
    <row r="42" customFormat="false" ht="15" hidden="false" customHeight="true" outlineLevel="0" collapsed="false">
      <c r="A42" s="22" t="s">
        <v>132</v>
      </c>
      <c r="B42" s="46" t="n">
        <f aca="false">B6/B7</f>
        <v>0.222288897295746</v>
      </c>
      <c r="C42" s="46" t="n">
        <f aca="false">C6/C7</f>
        <v>0.245934507141305</v>
      </c>
      <c r="D42" s="46" t="n">
        <f aca="false">D6/D7</f>
        <v>0.262297524275461</v>
      </c>
      <c r="E42" s="46" t="n">
        <f aca="false">E6/E7</f>
        <v>0.280580875607519</v>
      </c>
      <c r="F42" s="46" t="n">
        <f aca="false">F6/F7</f>
        <v>0.251753088317227</v>
      </c>
      <c r="G42" s="46" t="n">
        <f aca="false">G6/G7</f>
        <v>0.280580875607519</v>
      </c>
      <c r="H42" s="46" t="n">
        <f aca="false">H6/H7</f>
        <v>0.258563949578846</v>
      </c>
    </row>
    <row r="44" customFormat="false" ht="15" hidden="false" customHeight="true" outlineLevel="0" collapsed="false">
      <c r="A44" s="28" t="s">
        <v>133</v>
      </c>
    </row>
    <row r="45" customFormat="false" ht="15" hidden="false" customHeight="true" outlineLevel="0" collapsed="false">
      <c r="A45" s="19" t="s">
        <v>134</v>
      </c>
    </row>
    <row r="46" customFormat="false" ht="15" hidden="false" customHeight="true" outlineLevel="0" collapsed="false">
      <c r="A46" s="19" t="s">
        <v>135</v>
      </c>
    </row>
    <row r="47" customFormat="false" ht="15" hidden="false" customHeight="true" outlineLevel="0" collapsed="false">
      <c r="A47" s="19" t="s">
        <v>136</v>
      </c>
    </row>
    <row r="48" customFormat="false" ht="15" hidden="false" customHeight="true" outlineLevel="0" collapsed="false">
      <c r="A48" s="19" t="s">
        <v>137</v>
      </c>
    </row>
    <row r="49" customFormat="false" ht="15" hidden="false" customHeight="true" outlineLevel="0" collapsed="false">
      <c r="A49" s="19" t="s">
        <v>138</v>
      </c>
    </row>
    <row r="50" customFormat="false" ht="15" hidden="false" customHeight="true" outlineLevel="0" collapsed="false">
      <c r="A50" s="19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40"/>
    <col collapsed="false" customWidth="true" hidden="false" outlineLevel="0" max="2" min="2" style="17" width="2"/>
    <col collapsed="false" customWidth="true" hidden="false" outlineLevel="0" max="3" min="3" style="17" width="9"/>
    <col collapsed="false" customWidth="true" hidden="false" outlineLevel="0" max="8" min="4" style="17" width="11"/>
    <col collapsed="false" customWidth="true" hidden="false" outlineLevel="0" max="9" min="9" style="17" width="100"/>
  </cols>
  <sheetData>
    <row r="1" customFormat="false" ht="17.25" hidden="false" customHeight="true" outlineLevel="0" collapsed="false">
      <c r="A1" s="18" t="s">
        <v>140</v>
      </c>
    </row>
    <row r="2" customFormat="false" ht="15" hidden="false" customHeight="true" outlineLevel="0" collapsed="false">
      <c r="A2" s="19" t="s">
        <v>141</v>
      </c>
    </row>
    <row r="3" customFormat="false" ht="15" hidden="false" customHeight="true" outlineLevel="0" collapsed="false">
      <c r="A3" s="28" t="s">
        <v>142</v>
      </c>
      <c r="C3" s="47" t="n">
        <v>1</v>
      </c>
      <c r="D3" s="28" t="str">
        <f aca="false">CHOOSE($C$3,"Base","Bull","Bear")</f>
        <v>Base</v>
      </c>
    </row>
    <row r="5" customFormat="false" ht="15" hidden="false" customHeight="true" outlineLevel="0" collapsed="false">
      <c r="A5" s="20" t="s">
        <v>143</v>
      </c>
      <c r="B5" s="21"/>
      <c r="C5" s="21" t="s">
        <v>144</v>
      </c>
      <c r="D5" s="21" t="s">
        <v>145</v>
      </c>
      <c r="E5" s="21" t="s">
        <v>146</v>
      </c>
      <c r="F5" s="21" t="s">
        <v>147</v>
      </c>
      <c r="G5" s="21" t="s">
        <v>148</v>
      </c>
      <c r="H5" s="21" t="s">
        <v>149</v>
      </c>
      <c r="I5" s="21" t="s">
        <v>150</v>
      </c>
    </row>
    <row r="6" customFormat="false" ht="15" hidden="false" customHeight="true" outlineLevel="0" collapsed="false">
      <c r="A6" s="28" t="s">
        <v>120</v>
      </c>
      <c r="C6" s="22" t="s">
        <v>151</v>
      </c>
      <c r="D6" s="48" t="n">
        <v>0.05</v>
      </c>
      <c r="E6" s="48" t="n">
        <v>0.04</v>
      </c>
      <c r="F6" s="48" t="n">
        <v>0.035</v>
      </c>
      <c r="G6" s="48" t="n">
        <v>0.03</v>
      </c>
      <c r="H6" s="48" t="n">
        <v>0.03</v>
      </c>
      <c r="I6" s="19" t="s">
        <v>152</v>
      </c>
    </row>
    <row r="7" customFormat="false" ht="15" hidden="false" customHeight="true" outlineLevel="0" collapsed="false">
      <c r="C7" s="22" t="s">
        <v>153</v>
      </c>
      <c r="D7" s="48" t="n">
        <v>0.08</v>
      </c>
      <c r="E7" s="48" t="n">
        <v>0.06</v>
      </c>
      <c r="F7" s="48" t="n">
        <v>0.05</v>
      </c>
      <c r="G7" s="48" t="n">
        <v>0.045</v>
      </c>
      <c r="H7" s="48" t="n">
        <v>0.04</v>
      </c>
    </row>
    <row r="8" customFormat="false" ht="15" hidden="false" customHeight="true" outlineLevel="0" collapsed="false">
      <c r="C8" s="22" t="s">
        <v>154</v>
      </c>
      <c r="D8" s="48" t="n">
        <v>0.01</v>
      </c>
      <c r="E8" s="48" t="n">
        <v>0.02</v>
      </c>
      <c r="F8" s="48" t="n">
        <v>0.02</v>
      </c>
      <c r="G8" s="48" t="n">
        <v>0.02</v>
      </c>
      <c r="H8" s="48" t="n">
        <v>0.02</v>
      </c>
    </row>
    <row r="9" customFormat="false" ht="15" hidden="false" customHeight="true" outlineLevel="0" collapsed="false">
      <c r="C9" s="28" t="s">
        <v>155</v>
      </c>
      <c r="D9" s="32" t="n">
        <f aca="false">CHOOSE($C$3,D6,D7,D8)</f>
        <v>0.05</v>
      </c>
      <c r="E9" s="32" t="n">
        <f aca="false">CHOOSE($C$3,E6,E7,E8)</f>
        <v>0.04</v>
      </c>
      <c r="F9" s="32" t="n">
        <f aca="false">CHOOSE($C$3,F6,F7,F8)</f>
        <v>0.035</v>
      </c>
      <c r="G9" s="32" t="n">
        <f aca="false">CHOOSE($C$3,G6,G7,G8)</f>
        <v>0.03</v>
      </c>
      <c r="H9" s="32" t="n">
        <f aca="false">CHOOSE($C$3,H6,H7,H8)</f>
        <v>0.03</v>
      </c>
    </row>
    <row r="11" customFormat="false" ht="15" hidden="false" customHeight="true" outlineLevel="0" collapsed="false">
      <c r="A11" s="28" t="s">
        <v>121</v>
      </c>
      <c r="C11" s="22" t="s">
        <v>151</v>
      </c>
      <c r="D11" s="48" t="n">
        <v>0.11</v>
      </c>
      <c r="E11" s="48" t="n">
        <v>0.1</v>
      </c>
      <c r="F11" s="48" t="n">
        <v>0.09</v>
      </c>
      <c r="G11" s="48" t="n">
        <v>0.08</v>
      </c>
      <c r="H11" s="48" t="n">
        <v>0.07</v>
      </c>
      <c r="I11" s="19" t="s">
        <v>156</v>
      </c>
    </row>
    <row r="12" customFormat="false" ht="15" hidden="false" customHeight="true" outlineLevel="0" collapsed="false">
      <c r="C12" s="22" t="s">
        <v>153</v>
      </c>
      <c r="D12" s="48" t="n">
        <v>0.13</v>
      </c>
      <c r="E12" s="48" t="n">
        <v>0.12</v>
      </c>
      <c r="F12" s="48" t="n">
        <v>0.11</v>
      </c>
      <c r="G12" s="48" t="n">
        <v>0.1</v>
      </c>
      <c r="H12" s="48" t="n">
        <v>0.09</v>
      </c>
    </row>
    <row r="13" customFormat="false" ht="15" hidden="false" customHeight="true" outlineLevel="0" collapsed="false">
      <c r="C13" s="22" t="s">
        <v>154</v>
      </c>
      <c r="D13" s="48" t="n">
        <v>0.08</v>
      </c>
      <c r="E13" s="48" t="n">
        <v>0.07</v>
      </c>
      <c r="F13" s="48" t="n">
        <v>0.06</v>
      </c>
      <c r="G13" s="48" t="n">
        <v>0.05</v>
      </c>
      <c r="H13" s="48" t="n">
        <v>0.05</v>
      </c>
    </row>
    <row r="14" customFormat="false" ht="15" hidden="false" customHeight="true" outlineLevel="0" collapsed="false">
      <c r="C14" s="28" t="s">
        <v>155</v>
      </c>
      <c r="D14" s="32" t="n">
        <f aca="false">CHOOSE($C$3,D11,D12,D13)</f>
        <v>0.11</v>
      </c>
      <c r="E14" s="32" t="n">
        <f aca="false">CHOOSE($C$3,E11,E12,E13)</f>
        <v>0.1</v>
      </c>
      <c r="F14" s="32" t="n">
        <f aca="false">CHOOSE($C$3,F11,F12,F13)</f>
        <v>0.09</v>
      </c>
      <c r="G14" s="32" t="n">
        <f aca="false">CHOOSE($C$3,G11,G12,G13)</f>
        <v>0.08</v>
      </c>
      <c r="H14" s="32" t="n">
        <f aca="false">CHOOSE($C$3,H11,H12,H13)</f>
        <v>0.07</v>
      </c>
    </row>
    <row r="16" customFormat="false" ht="15" hidden="false" customHeight="true" outlineLevel="0" collapsed="false">
      <c r="A16" s="28" t="s">
        <v>122</v>
      </c>
      <c r="C16" s="22" t="s">
        <v>151</v>
      </c>
      <c r="D16" s="48" t="n">
        <v>0.36</v>
      </c>
      <c r="E16" s="48" t="n">
        <v>0.365</v>
      </c>
      <c r="F16" s="48" t="n">
        <v>0.37</v>
      </c>
      <c r="G16" s="48" t="n">
        <v>0.37</v>
      </c>
      <c r="H16" s="48" t="n">
        <v>0.37</v>
      </c>
      <c r="I16" s="19" t="s">
        <v>157</v>
      </c>
    </row>
    <row r="17" customFormat="false" ht="15" hidden="false" customHeight="true" outlineLevel="0" collapsed="false">
      <c r="C17" s="22" t="s">
        <v>153</v>
      </c>
      <c r="D17" s="48" t="n">
        <v>0.375</v>
      </c>
      <c r="E17" s="48" t="n">
        <v>0.38</v>
      </c>
      <c r="F17" s="48" t="n">
        <v>0.38</v>
      </c>
      <c r="G17" s="48" t="n">
        <v>0.385</v>
      </c>
      <c r="H17" s="48" t="n">
        <v>0.385</v>
      </c>
    </row>
    <row r="18" customFormat="false" ht="15" hidden="false" customHeight="true" outlineLevel="0" collapsed="false">
      <c r="C18" s="22" t="s">
        <v>154</v>
      </c>
      <c r="D18" s="48" t="n">
        <v>0.345</v>
      </c>
      <c r="E18" s="48" t="n">
        <v>0.35</v>
      </c>
      <c r="F18" s="48" t="n">
        <v>0.355</v>
      </c>
      <c r="G18" s="48" t="n">
        <v>0.355</v>
      </c>
      <c r="H18" s="48" t="n">
        <v>0.355</v>
      </c>
    </row>
    <row r="19" customFormat="false" ht="15" hidden="false" customHeight="true" outlineLevel="0" collapsed="false">
      <c r="C19" s="28" t="s">
        <v>155</v>
      </c>
      <c r="D19" s="32" t="n">
        <f aca="false">CHOOSE($C$3,D16,D17,D18)</f>
        <v>0.36</v>
      </c>
      <c r="E19" s="32" t="n">
        <f aca="false">CHOOSE($C$3,E16,E17,E18)</f>
        <v>0.365</v>
      </c>
      <c r="F19" s="32" t="n">
        <f aca="false">CHOOSE($C$3,F16,F17,F18)</f>
        <v>0.37</v>
      </c>
      <c r="G19" s="32" t="n">
        <f aca="false">CHOOSE($C$3,G16,G17,G18)</f>
        <v>0.37</v>
      </c>
      <c r="H19" s="32" t="n">
        <f aca="false">CHOOSE($C$3,H16,H17,H18)</f>
        <v>0.37</v>
      </c>
    </row>
    <row r="21" customFormat="false" ht="15" hidden="false" customHeight="true" outlineLevel="0" collapsed="false">
      <c r="A21" s="28" t="s">
        <v>123</v>
      </c>
      <c r="C21" s="22" t="s">
        <v>151</v>
      </c>
      <c r="D21" s="48" t="n">
        <v>0.755</v>
      </c>
      <c r="E21" s="48" t="n">
        <v>0.755</v>
      </c>
      <c r="F21" s="48" t="n">
        <v>0.755</v>
      </c>
      <c r="G21" s="48" t="n">
        <v>0.755</v>
      </c>
      <c r="H21" s="48" t="n">
        <v>0.755</v>
      </c>
      <c r="I21" s="19" t="s">
        <v>158</v>
      </c>
    </row>
    <row r="22" customFormat="false" ht="15" hidden="false" customHeight="true" outlineLevel="0" collapsed="false">
      <c r="C22" s="22" t="s">
        <v>153</v>
      </c>
      <c r="D22" s="48" t="n">
        <v>0.765</v>
      </c>
      <c r="E22" s="48" t="n">
        <v>0.765</v>
      </c>
      <c r="F22" s="48" t="n">
        <v>0.765</v>
      </c>
      <c r="G22" s="48" t="n">
        <v>0.765</v>
      </c>
      <c r="H22" s="48" t="n">
        <v>0.765</v>
      </c>
    </row>
    <row r="23" customFormat="false" ht="15" hidden="false" customHeight="true" outlineLevel="0" collapsed="false">
      <c r="C23" s="22" t="s">
        <v>154</v>
      </c>
      <c r="D23" s="48" t="n">
        <v>0.735</v>
      </c>
      <c r="E23" s="48" t="n">
        <v>0.735</v>
      </c>
      <c r="F23" s="48" t="n">
        <v>0.735</v>
      </c>
      <c r="G23" s="48" t="n">
        <v>0.735</v>
      </c>
      <c r="H23" s="48" t="n">
        <v>0.735</v>
      </c>
    </row>
    <row r="24" customFormat="false" ht="15" hidden="false" customHeight="true" outlineLevel="0" collapsed="false">
      <c r="C24" s="28" t="s">
        <v>155</v>
      </c>
      <c r="D24" s="32" t="n">
        <f aca="false">CHOOSE($C$3,D21,D22,D23)</f>
        <v>0.755</v>
      </c>
      <c r="E24" s="32" t="n">
        <f aca="false">CHOOSE($C$3,E21,E22,E23)</f>
        <v>0.755</v>
      </c>
      <c r="F24" s="32" t="n">
        <f aca="false">CHOOSE($C$3,F21,F22,F23)</f>
        <v>0.755</v>
      </c>
      <c r="G24" s="32" t="n">
        <f aca="false">CHOOSE($C$3,G21,G22,G23)</f>
        <v>0.755</v>
      </c>
      <c r="H24" s="32" t="n">
        <f aca="false">CHOOSE($C$3,H21,H22,H23)</f>
        <v>0.755</v>
      </c>
    </row>
    <row r="26" customFormat="false" ht="15" hidden="false" customHeight="true" outlineLevel="0" collapsed="false">
      <c r="A26" s="28" t="s">
        <v>125</v>
      </c>
      <c r="C26" s="22" t="s">
        <v>151</v>
      </c>
      <c r="D26" s="48" t="n">
        <v>0.095</v>
      </c>
      <c r="E26" s="48" t="n">
        <v>0.095</v>
      </c>
      <c r="F26" s="48" t="n">
        <v>0.095</v>
      </c>
      <c r="G26" s="48" t="n">
        <v>0.095</v>
      </c>
      <c r="H26" s="48" t="n">
        <v>0.095</v>
      </c>
      <c r="I26" s="19" t="s">
        <v>159</v>
      </c>
    </row>
    <row r="27" customFormat="false" ht="15" hidden="false" customHeight="true" outlineLevel="0" collapsed="false">
      <c r="C27" s="22" t="s">
        <v>153</v>
      </c>
      <c r="D27" s="48" t="n">
        <v>0.09</v>
      </c>
      <c r="E27" s="48" t="n">
        <v>0.09</v>
      </c>
      <c r="F27" s="48" t="n">
        <v>0.09</v>
      </c>
      <c r="G27" s="48" t="n">
        <v>0.09</v>
      </c>
      <c r="H27" s="48" t="n">
        <v>0.09</v>
      </c>
    </row>
    <row r="28" customFormat="false" ht="15" hidden="false" customHeight="true" outlineLevel="0" collapsed="false">
      <c r="C28" s="22" t="s">
        <v>154</v>
      </c>
      <c r="D28" s="48" t="n">
        <v>0.1</v>
      </c>
      <c r="E28" s="48" t="n">
        <v>0.1</v>
      </c>
      <c r="F28" s="48" t="n">
        <v>0.1</v>
      </c>
      <c r="G28" s="48" t="n">
        <v>0.1</v>
      </c>
      <c r="H28" s="48" t="n">
        <v>0.1</v>
      </c>
    </row>
    <row r="29" customFormat="false" ht="15" hidden="false" customHeight="true" outlineLevel="0" collapsed="false">
      <c r="C29" s="28" t="s">
        <v>155</v>
      </c>
      <c r="D29" s="32" t="n">
        <f aca="false">CHOOSE($C$3,D26,D27,D28)</f>
        <v>0.095</v>
      </c>
      <c r="E29" s="32" t="n">
        <f aca="false">CHOOSE($C$3,E26,E27,E28)</f>
        <v>0.095</v>
      </c>
      <c r="F29" s="32" t="n">
        <f aca="false">CHOOSE($C$3,F26,F27,F28)</f>
        <v>0.095</v>
      </c>
      <c r="G29" s="32" t="n">
        <f aca="false">CHOOSE($C$3,G26,G27,G28)</f>
        <v>0.095</v>
      </c>
      <c r="H29" s="32" t="n">
        <f aca="false">CHOOSE($C$3,H26,H27,H28)</f>
        <v>0.095</v>
      </c>
    </row>
    <row r="31" customFormat="false" ht="15" hidden="false" customHeight="true" outlineLevel="0" collapsed="false">
      <c r="A31" s="28" t="s">
        <v>126</v>
      </c>
      <c r="C31" s="22" t="s">
        <v>151</v>
      </c>
      <c r="D31" s="48" t="n">
        <v>0.06</v>
      </c>
      <c r="E31" s="48" t="n">
        <v>0.06</v>
      </c>
      <c r="F31" s="48" t="n">
        <v>0.06</v>
      </c>
      <c r="G31" s="48" t="n">
        <v>0.06</v>
      </c>
      <c r="H31" s="48" t="n">
        <v>0.06</v>
      </c>
      <c r="I31" s="19" t="s">
        <v>160</v>
      </c>
    </row>
    <row r="32" customFormat="false" ht="15" hidden="false" customHeight="true" outlineLevel="0" collapsed="false">
      <c r="C32" s="22" t="s">
        <v>153</v>
      </c>
      <c r="D32" s="48" t="n">
        <v>0.058</v>
      </c>
      <c r="E32" s="48" t="n">
        <v>0.058</v>
      </c>
      <c r="F32" s="48" t="n">
        <v>0.058</v>
      </c>
      <c r="G32" s="48" t="n">
        <v>0.058</v>
      </c>
      <c r="H32" s="48" t="n">
        <v>0.058</v>
      </c>
    </row>
    <row r="33" customFormat="false" ht="15" hidden="false" customHeight="true" outlineLevel="0" collapsed="false">
      <c r="C33" s="22" t="s">
        <v>154</v>
      </c>
      <c r="D33" s="48" t="n">
        <v>0.063</v>
      </c>
      <c r="E33" s="48" t="n">
        <v>0.063</v>
      </c>
      <c r="F33" s="48" t="n">
        <v>0.063</v>
      </c>
      <c r="G33" s="48" t="n">
        <v>0.063</v>
      </c>
      <c r="H33" s="48" t="n">
        <v>0.063</v>
      </c>
    </row>
    <row r="34" customFormat="false" ht="15" hidden="false" customHeight="true" outlineLevel="0" collapsed="false">
      <c r="C34" s="28" t="s">
        <v>155</v>
      </c>
      <c r="D34" s="32" t="n">
        <f aca="false">CHOOSE($C$3,D31,D32,D33)</f>
        <v>0.06</v>
      </c>
      <c r="E34" s="32" t="n">
        <f aca="false">CHOOSE($C$3,E31,E32,E33)</f>
        <v>0.06</v>
      </c>
      <c r="F34" s="32" t="n">
        <f aca="false">CHOOSE($C$3,F31,F32,F33)</f>
        <v>0.06</v>
      </c>
      <c r="G34" s="32" t="n">
        <f aca="false">CHOOSE($C$3,G31,G32,G33)</f>
        <v>0.06</v>
      </c>
      <c r="H34" s="32" t="n">
        <f aca="false">CHOOSE($C$3,H31,H32,H33)</f>
        <v>0.06</v>
      </c>
    </row>
    <row r="36" customFormat="false" ht="15" hidden="false" customHeight="true" outlineLevel="0" collapsed="false">
      <c r="A36" s="28" t="s">
        <v>128</v>
      </c>
      <c r="C36" s="22" t="s">
        <v>151</v>
      </c>
      <c r="D36" s="48" t="n">
        <v>0.17</v>
      </c>
      <c r="E36" s="48" t="n">
        <v>0.17</v>
      </c>
      <c r="F36" s="48" t="n">
        <v>0.17</v>
      </c>
      <c r="G36" s="48" t="n">
        <v>0.17</v>
      </c>
      <c r="H36" s="48" t="n">
        <v>0.17</v>
      </c>
      <c r="I36" s="19" t="s">
        <v>161</v>
      </c>
    </row>
    <row r="37" customFormat="false" ht="15" hidden="false" customHeight="true" outlineLevel="0" collapsed="false">
      <c r="C37" s="22" t="s">
        <v>153</v>
      </c>
      <c r="D37" s="48" t="n">
        <v>0.16</v>
      </c>
      <c r="E37" s="48" t="n">
        <v>0.16</v>
      </c>
      <c r="F37" s="48" t="n">
        <v>0.16</v>
      </c>
      <c r="G37" s="48" t="n">
        <v>0.16</v>
      </c>
      <c r="H37" s="48" t="n">
        <v>0.16</v>
      </c>
    </row>
    <row r="38" customFormat="false" ht="15" hidden="false" customHeight="true" outlineLevel="0" collapsed="false">
      <c r="C38" s="22" t="s">
        <v>154</v>
      </c>
      <c r="D38" s="48" t="n">
        <v>0.19</v>
      </c>
      <c r="E38" s="48" t="n">
        <v>0.19</v>
      </c>
      <c r="F38" s="48" t="n">
        <v>0.19</v>
      </c>
      <c r="G38" s="48" t="n">
        <v>0.19</v>
      </c>
      <c r="H38" s="48" t="n">
        <v>0.19</v>
      </c>
    </row>
    <row r="39" customFormat="false" ht="15" hidden="false" customHeight="true" outlineLevel="0" collapsed="false">
      <c r="C39" s="28" t="s">
        <v>155</v>
      </c>
      <c r="D39" s="32" t="n">
        <f aca="false">CHOOSE($C$3,D36,D37,D38)</f>
        <v>0.17</v>
      </c>
      <c r="E39" s="32" t="n">
        <f aca="false">CHOOSE($C$3,E36,E37,E38)</f>
        <v>0.17</v>
      </c>
      <c r="F39" s="32" t="n">
        <f aca="false">CHOOSE($C$3,F36,F37,F38)</f>
        <v>0.17</v>
      </c>
      <c r="G39" s="32" t="n">
        <f aca="false">CHOOSE($C$3,G36,G37,G38)</f>
        <v>0.17</v>
      </c>
      <c r="H39" s="32" t="n">
        <f aca="false">CHOOSE($C$3,H36,H37,H38)</f>
        <v>0.17</v>
      </c>
    </row>
    <row r="41" customFormat="false" ht="15" hidden="false" customHeight="true" outlineLevel="0" collapsed="false">
      <c r="A41" s="28" t="s">
        <v>130</v>
      </c>
      <c r="C41" s="22" t="s">
        <v>151</v>
      </c>
      <c r="D41" s="48" t="n">
        <v>0.03</v>
      </c>
      <c r="E41" s="48" t="n">
        <v>0.03</v>
      </c>
      <c r="F41" s="48" t="n">
        <v>0.03</v>
      </c>
      <c r="G41" s="48" t="n">
        <v>0.03</v>
      </c>
      <c r="H41" s="48" t="n">
        <v>0.03</v>
      </c>
      <c r="I41" s="19" t="s">
        <v>162</v>
      </c>
    </row>
    <row r="42" customFormat="false" ht="15" hidden="false" customHeight="true" outlineLevel="0" collapsed="false">
      <c r="C42" s="22" t="s">
        <v>153</v>
      </c>
      <c r="D42" s="48" t="n">
        <v>0.028</v>
      </c>
      <c r="E42" s="48" t="n">
        <v>0.028</v>
      </c>
      <c r="F42" s="48" t="n">
        <v>0.028</v>
      </c>
      <c r="G42" s="48" t="n">
        <v>0.028</v>
      </c>
      <c r="H42" s="48" t="n">
        <v>0.028</v>
      </c>
    </row>
    <row r="43" customFormat="false" ht="15" hidden="false" customHeight="true" outlineLevel="0" collapsed="false">
      <c r="C43" s="22" t="s">
        <v>154</v>
      </c>
      <c r="D43" s="48" t="n">
        <v>0.035</v>
      </c>
      <c r="E43" s="48" t="n">
        <v>0.035</v>
      </c>
      <c r="F43" s="48" t="n">
        <v>0.035</v>
      </c>
      <c r="G43" s="48" t="n">
        <v>0.035</v>
      </c>
      <c r="H43" s="48" t="n">
        <v>0.035</v>
      </c>
    </row>
    <row r="44" customFormat="false" ht="15" hidden="false" customHeight="true" outlineLevel="0" collapsed="false">
      <c r="C44" s="28" t="s">
        <v>155</v>
      </c>
      <c r="D44" s="32" t="n">
        <f aca="false">CHOOSE($C$3,D41,D42,D43)</f>
        <v>0.03</v>
      </c>
      <c r="E44" s="32" t="n">
        <f aca="false">CHOOSE($C$3,E41,E42,E43)</f>
        <v>0.03</v>
      </c>
      <c r="F44" s="32" t="n">
        <f aca="false">CHOOSE($C$3,F41,F42,F43)</f>
        <v>0.03</v>
      </c>
      <c r="G44" s="32" t="n">
        <f aca="false">CHOOSE($C$3,G41,G42,G43)</f>
        <v>0.03</v>
      </c>
      <c r="H44" s="32" t="n">
        <f aca="false">CHOOSE($C$3,H41,H42,H43)</f>
        <v>0.03</v>
      </c>
    </row>
    <row r="46" customFormat="false" ht="15" hidden="false" customHeight="true" outlineLevel="0" collapsed="false">
      <c r="A46" s="28" t="s">
        <v>163</v>
      </c>
    </row>
    <row r="47" customFormat="false" ht="15" hidden="false" customHeight="true" outlineLevel="0" collapsed="false">
      <c r="A47" s="22" t="s">
        <v>129</v>
      </c>
      <c r="D47" s="48" t="n">
        <v>0.028</v>
      </c>
      <c r="E47" s="48" t="n">
        <v>0.028</v>
      </c>
      <c r="F47" s="48" t="n">
        <v>0.028</v>
      </c>
      <c r="G47" s="48" t="n">
        <v>0.028</v>
      </c>
      <c r="H47" s="48" t="n">
        <v>0.028</v>
      </c>
      <c r="I47" s="19" t="s">
        <v>164</v>
      </c>
    </row>
    <row r="48" customFormat="false" ht="15" hidden="false" customHeight="true" outlineLevel="0" collapsed="false">
      <c r="A48" s="22" t="s">
        <v>165</v>
      </c>
      <c r="D48" s="48" t="n">
        <v>0.02</v>
      </c>
      <c r="E48" s="48" t="n">
        <v>0.02</v>
      </c>
      <c r="F48" s="48" t="n">
        <v>0.02</v>
      </c>
      <c r="G48" s="48" t="n">
        <v>0.02</v>
      </c>
      <c r="H48" s="48" t="n">
        <v>0.02</v>
      </c>
      <c r="I48" s="19" t="s">
        <v>166</v>
      </c>
    </row>
    <row r="51" customFormat="false" ht="15" hidden="false" customHeight="true" outlineLevel="0" collapsed="false">
      <c r="A51" s="28" t="s">
        <v>167</v>
      </c>
    </row>
    <row r="53" customFormat="false" ht="15" hidden="false" customHeight="true" outlineLevel="0" collapsed="false">
      <c r="A53" s="22" t="s">
        <v>168</v>
      </c>
      <c r="C53" s="48" t="n">
        <v>0.1</v>
      </c>
      <c r="I53" s="19" t="s">
        <v>169</v>
      </c>
    </row>
    <row r="54" customFormat="false" ht="15" hidden="false" customHeight="true" outlineLevel="0" collapsed="false">
      <c r="A54" s="22" t="s">
        <v>170</v>
      </c>
      <c r="C54" s="48" t="n">
        <v>0.1</v>
      </c>
      <c r="I54" s="19" t="s">
        <v>171</v>
      </c>
    </row>
    <row r="55" customFormat="false" ht="15" hidden="false" customHeight="true" outlineLevel="0" collapsed="false">
      <c r="A55" s="22" t="s">
        <v>172</v>
      </c>
      <c r="C55" s="48" t="n">
        <v>0.475</v>
      </c>
      <c r="I55" s="19" t="s">
        <v>173</v>
      </c>
    </row>
    <row r="56" customFormat="false" ht="15" hidden="false" customHeight="true" outlineLevel="0" collapsed="false">
      <c r="A56" s="22" t="s">
        <v>123</v>
      </c>
      <c r="C56" s="48" t="n">
        <v>0.755</v>
      </c>
      <c r="I56" s="19" t="s">
        <v>174</v>
      </c>
    </row>
    <row r="57" customFormat="false" ht="15" hidden="false" customHeight="true" outlineLevel="0" collapsed="false">
      <c r="A57" s="22" t="s">
        <v>175</v>
      </c>
      <c r="C57" s="38" t="n">
        <v>19250</v>
      </c>
      <c r="I57" s="19" t="s">
        <v>176</v>
      </c>
    </row>
    <row r="58" customFormat="false" ht="15" hidden="false" customHeight="true" outlineLevel="0" collapsed="false">
      <c r="A58" s="22" t="s">
        <v>177</v>
      </c>
      <c r="C58" s="38" t="n">
        <v>0</v>
      </c>
      <c r="I58" s="19" t="s">
        <v>178</v>
      </c>
    </row>
    <row r="59" customFormat="false" ht="15" hidden="false" customHeight="true" outlineLevel="0" collapsed="false">
      <c r="A59" s="22" t="s">
        <v>179</v>
      </c>
      <c r="C59" s="48" t="n">
        <v>0.175</v>
      </c>
      <c r="I59" s="19" t="s">
        <v>180</v>
      </c>
    </row>
    <row r="60" customFormat="false" ht="15" hidden="false" customHeight="true" outlineLevel="0" collapsed="false">
      <c r="A60" s="22" t="s">
        <v>181</v>
      </c>
      <c r="C60" s="38" t="n">
        <v>3400</v>
      </c>
      <c r="I60" s="19" t="s">
        <v>182</v>
      </c>
    </row>
    <row r="61" customFormat="false" ht="15" hidden="false" customHeight="true" outlineLevel="0" collapsed="false">
      <c r="A61" s="22" t="s">
        <v>183</v>
      </c>
      <c r="C61" s="38" t="n">
        <v>3500</v>
      </c>
      <c r="I61" s="19" t="s">
        <v>184</v>
      </c>
    </row>
    <row r="62" customFormat="false" ht="15" hidden="false" customHeight="true" outlineLevel="0" collapsed="false">
      <c r="A62" s="22" t="s">
        <v>185</v>
      </c>
      <c r="C62" s="38" t="n">
        <v>3500</v>
      </c>
      <c r="I62" s="19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36"/>
    <col collapsed="false" customWidth="true" hidden="false" outlineLevel="0" max="2" min="2" style="17" width="2"/>
    <col collapsed="false" customWidth="true" hidden="false" outlineLevel="0" max="3" min="3" style="17" width="14"/>
    <col collapsed="false" customWidth="true" hidden="false" outlineLevel="0" max="4" min="4" style="17" width="90"/>
  </cols>
  <sheetData>
    <row r="1" customFormat="false" ht="17.25" hidden="false" customHeight="true" outlineLevel="0" collapsed="false">
      <c r="A1" s="18" t="s">
        <v>187</v>
      </c>
    </row>
    <row r="2" customFormat="false" ht="15" hidden="false" customHeight="true" outlineLevel="0" collapsed="false">
      <c r="A2" s="19" t="s">
        <v>188</v>
      </c>
    </row>
    <row r="3" customFormat="false" ht="15" hidden="false" customHeight="true" outlineLevel="0" collapsed="false">
      <c r="A3" s="20" t="s">
        <v>189</v>
      </c>
      <c r="B3" s="21"/>
      <c r="C3" s="21" t="s">
        <v>52</v>
      </c>
      <c r="D3" s="21" t="s">
        <v>190</v>
      </c>
    </row>
    <row r="4" customFormat="false" ht="15" hidden="false" customHeight="true" outlineLevel="0" collapsed="false">
      <c r="A4" s="22" t="s">
        <v>191</v>
      </c>
      <c r="C4" s="49" t="n">
        <v>0.0528</v>
      </c>
      <c r="D4" s="19" t="s">
        <v>192</v>
      </c>
    </row>
    <row r="5" customFormat="false" ht="15" hidden="false" customHeight="true" outlineLevel="0" collapsed="false">
      <c r="A5" s="22" t="s">
        <v>193</v>
      </c>
      <c r="C5" s="50" t="n">
        <v>1.05</v>
      </c>
      <c r="D5" s="19" t="s">
        <v>194</v>
      </c>
    </row>
    <row r="6" customFormat="false" ht="15" hidden="false" customHeight="true" outlineLevel="0" collapsed="false">
      <c r="A6" s="22" t="s">
        <v>195</v>
      </c>
      <c r="C6" s="49" t="n">
        <v>0.045</v>
      </c>
      <c r="D6" s="19" t="s">
        <v>196</v>
      </c>
    </row>
    <row r="7" customFormat="false" ht="15" hidden="false" customHeight="true" outlineLevel="0" collapsed="false">
      <c r="A7" s="28" t="s">
        <v>197</v>
      </c>
      <c r="C7" s="51" t="n">
        <f aca="false">C4+C5*C6</f>
        <v>0.10005</v>
      </c>
      <c r="D7" s="19" t="s">
        <v>198</v>
      </c>
    </row>
    <row r="9" customFormat="false" ht="15" hidden="false" customHeight="true" outlineLevel="0" collapsed="false">
      <c r="A9" s="22" t="s">
        <v>199</v>
      </c>
      <c r="C9" s="52" t="n">
        <v>0.006</v>
      </c>
      <c r="D9" s="19" t="s">
        <v>200</v>
      </c>
    </row>
    <row r="10" customFormat="false" ht="15" hidden="false" customHeight="true" outlineLevel="0" collapsed="false">
      <c r="A10" s="22" t="s">
        <v>201</v>
      </c>
      <c r="C10" s="53" t="n">
        <f aca="false">C4+C9</f>
        <v>0.0588</v>
      </c>
      <c r="D10" s="54"/>
    </row>
    <row r="11" customFormat="false" ht="15" hidden="false" customHeight="true" outlineLevel="0" collapsed="false">
      <c r="A11" s="22" t="s">
        <v>179</v>
      </c>
      <c r="C11" s="24" t="n">
        <f aca="false">Assumptions!D39</f>
        <v>0.17</v>
      </c>
      <c r="D11" s="19" t="s">
        <v>202</v>
      </c>
    </row>
    <row r="12" customFormat="false" ht="15" hidden="false" customHeight="true" outlineLevel="0" collapsed="false">
      <c r="A12" s="22" t="s">
        <v>203</v>
      </c>
      <c r="C12" s="53" t="n">
        <f aca="false">C10*(1-C11)</f>
        <v>0.048804</v>
      </c>
      <c r="D12" s="54"/>
    </row>
    <row r="14" customFormat="false" ht="15" hidden="false" customHeight="true" outlineLevel="0" collapsed="false">
      <c r="A14" s="22" t="s">
        <v>204</v>
      </c>
      <c r="C14" s="55" t="n">
        <v>333.69</v>
      </c>
      <c r="D14" s="19" t="s">
        <v>205</v>
      </c>
    </row>
    <row r="15" customFormat="false" ht="15" hidden="false" customHeight="true" outlineLevel="0" collapsed="false">
      <c r="A15" s="22" t="s">
        <v>206</v>
      </c>
      <c r="C15" s="56" t="n">
        <v>14608.963</v>
      </c>
      <c r="D15" s="19" t="s">
        <v>207</v>
      </c>
    </row>
    <row r="16" customFormat="false" ht="15" hidden="false" customHeight="true" outlineLevel="0" collapsed="false">
      <c r="A16" s="22" t="s">
        <v>208</v>
      </c>
      <c r="C16" s="56" t="n">
        <v>58.566</v>
      </c>
      <c r="D16" s="19" t="s">
        <v>209</v>
      </c>
    </row>
    <row r="17" customFormat="false" ht="15" hidden="false" customHeight="true" outlineLevel="0" collapsed="false">
      <c r="A17" s="22" t="s">
        <v>210</v>
      </c>
      <c r="C17" s="57" t="n">
        <f aca="false">C15+C16</f>
        <v>14667.529</v>
      </c>
      <c r="D17" s="54"/>
    </row>
    <row r="18" customFormat="false" ht="15" hidden="false" customHeight="true" outlineLevel="0" collapsed="false">
      <c r="A18" s="22" t="s">
        <v>211</v>
      </c>
      <c r="C18" s="40" t="n">
        <f aca="false">C14*C17</f>
        <v>4894407.75201</v>
      </c>
      <c r="D18" s="54"/>
    </row>
    <row r="20" customFormat="false" ht="15" hidden="false" customHeight="true" outlineLevel="0" collapsed="false">
      <c r="A20" s="22" t="s">
        <v>212</v>
      </c>
      <c r="C20" s="38" t="n">
        <v>1997</v>
      </c>
      <c r="D20" s="19" t="s">
        <v>213</v>
      </c>
    </row>
    <row r="21" customFormat="false" ht="15" hidden="false" customHeight="true" outlineLevel="0" collapsed="false">
      <c r="A21" s="22" t="s">
        <v>214</v>
      </c>
      <c r="C21" s="38" t="n">
        <v>11007</v>
      </c>
      <c r="D21" s="19" t="s">
        <v>213</v>
      </c>
    </row>
    <row r="22" customFormat="false" ht="15" hidden="false" customHeight="true" outlineLevel="0" collapsed="false">
      <c r="A22" s="22" t="s">
        <v>215</v>
      </c>
      <c r="C22" s="38" t="n">
        <v>71340</v>
      </c>
      <c r="D22" s="19" t="s">
        <v>213</v>
      </c>
    </row>
    <row r="23" customFormat="false" ht="15" hidden="false" customHeight="true" outlineLevel="0" collapsed="false">
      <c r="A23" s="22" t="s">
        <v>216</v>
      </c>
      <c r="C23" s="40" t="n">
        <f aca="false">SUM(C20:C22)</f>
        <v>84344</v>
      </c>
      <c r="D23" s="54"/>
    </row>
    <row r="25" customFormat="false" ht="15" hidden="false" customHeight="true" outlineLevel="0" collapsed="false">
      <c r="A25" s="22" t="s">
        <v>217</v>
      </c>
      <c r="C25" s="38" t="n">
        <v>39544</v>
      </c>
      <c r="D25" s="19" t="s">
        <v>213</v>
      </c>
    </row>
    <row r="26" customFormat="false" ht="15" hidden="false" customHeight="true" outlineLevel="0" collapsed="false">
      <c r="A26" s="22" t="s">
        <v>218</v>
      </c>
      <c r="C26" s="38" t="n">
        <v>22855</v>
      </c>
      <c r="D26" s="19" t="s">
        <v>213</v>
      </c>
    </row>
    <row r="27" customFormat="false" ht="15" hidden="false" customHeight="true" outlineLevel="0" collapsed="false">
      <c r="A27" s="22" t="s">
        <v>219</v>
      </c>
      <c r="C27" s="38" t="n">
        <v>84118</v>
      </c>
      <c r="D27" s="19" t="s">
        <v>213</v>
      </c>
    </row>
    <row r="28" customFormat="false" ht="15" hidden="false" customHeight="true" outlineLevel="0" collapsed="false">
      <c r="A28" s="22" t="s">
        <v>220</v>
      </c>
      <c r="C28" s="40" t="n">
        <f aca="false">SUM(C25:C27)</f>
        <v>146517</v>
      </c>
      <c r="D28" s="54"/>
    </row>
    <row r="29" customFormat="false" ht="15" hidden="false" customHeight="true" outlineLevel="0" collapsed="false">
      <c r="A29" s="22" t="s">
        <v>221</v>
      </c>
      <c r="C29" s="40" t="n">
        <f aca="false">C28-C23</f>
        <v>62173</v>
      </c>
      <c r="D29" s="19" t="s">
        <v>222</v>
      </c>
    </row>
    <row r="31" customFormat="false" ht="15" hidden="false" customHeight="true" outlineLevel="0" collapsed="false">
      <c r="A31" s="22" t="s">
        <v>223</v>
      </c>
      <c r="C31" s="46" t="n">
        <f aca="false">C18/(C18+C23)</f>
        <v>0.983059207568253</v>
      </c>
      <c r="D31" s="19" t="s">
        <v>224</v>
      </c>
    </row>
    <row r="32" customFormat="false" ht="15" hidden="false" customHeight="true" outlineLevel="0" collapsed="false">
      <c r="A32" s="22" t="s">
        <v>225</v>
      </c>
      <c r="C32" s="46" t="n">
        <f aca="false">C23/(C18+C23)</f>
        <v>0.0169407924317474</v>
      </c>
      <c r="D32" s="54"/>
    </row>
    <row r="33" customFormat="false" ht="15" hidden="false" customHeight="true" outlineLevel="0" collapsed="false">
      <c r="A33" s="28" t="s">
        <v>19</v>
      </c>
      <c r="C33" s="58" t="n">
        <f aca="false">C31*C7+C32*C12</f>
        <v>0.0991818521510427</v>
      </c>
      <c r="D33" s="5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58"/>
    <col collapsed="false" customWidth="true" hidden="false" outlineLevel="0" max="2" min="2" style="17" width="2"/>
    <col collapsed="false" customWidth="true" hidden="false" outlineLevel="0" max="8" min="3" style="17" width="15"/>
  </cols>
  <sheetData>
    <row r="1" customFormat="false" ht="17.25" hidden="false" customHeight="true" outlineLevel="0" collapsed="false">
      <c r="A1" s="18" t="s">
        <v>226</v>
      </c>
    </row>
    <row r="2" customFormat="false" ht="15" hidden="false" customHeight="true" outlineLevel="0" collapsed="false">
      <c r="A2" s="19" t="s">
        <v>227</v>
      </c>
    </row>
    <row r="4" customFormat="false" ht="15" hidden="false" customHeight="true" outlineLevel="0" collapsed="false">
      <c r="A4" s="20" t="s">
        <v>88</v>
      </c>
      <c r="B4" s="21"/>
      <c r="C4" s="21" t="s">
        <v>95</v>
      </c>
      <c r="D4" s="21" t="s">
        <v>145</v>
      </c>
      <c r="E4" s="21" t="s">
        <v>146</v>
      </c>
      <c r="F4" s="21" t="s">
        <v>147</v>
      </c>
      <c r="G4" s="21" t="s">
        <v>148</v>
      </c>
      <c r="H4" s="21" t="s">
        <v>149</v>
      </c>
    </row>
    <row r="5" customFormat="false" ht="15" hidden="false" customHeight="true" outlineLevel="0" collapsed="false">
      <c r="A5" s="59" t="s">
        <v>228</v>
      </c>
      <c r="C5" s="60" t="n">
        <v>46291</v>
      </c>
      <c r="D5" s="60" t="n">
        <v>46655</v>
      </c>
      <c r="E5" s="60" t="n">
        <v>47026</v>
      </c>
      <c r="F5" s="60" t="n">
        <v>47390</v>
      </c>
      <c r="G5" s="60" t="n">
        <v>47754</v>
      </c>
      <c r="H5" s="60" t="n">
        <v>48118</v>
      </c>
    </row>
    <row r="7" customFormat="false" ht="15" hidden="false" customHeight="true" outlineLevel="0" collapsed="false">
      <c r="A7" s="22" t="s">
        <v>96</v>
      </c>
      <c r="C7" s="27" t="n">
        <f aca="false">Historical!H5</f>
        <v>353716.6</v>
      </c>
      <c r="D7" s="40" t="n">
        <f aca="false">C7*(1+Assumptions!D9)</f>
        <v>371402.43</v>
      </c>
      <c r="E7" s="40" t="n">
        <f aca="false">D7*(1+Assumptions!E9)</f>
        <v>386258.5272</v>
      </c>
      <c r="F7" s="40" t="n">
        <f aca="false">E7*(1+Assumptions!F9)</f>
        <v>399777.575652</v>
      </c>
      <c r="G7" s="40" t="n">
        <f aca="false">F7*(1+Assumptions!G9)</f>
        <v>411770.90292156</v>
      </c>
      <c r="H7" s="40" t="n">
        <f aca="false">G7*(1+Assumptions!H9)</f>
        <v>424124.030009207</v>
      </c>
    </row>
    <row r="8" customFormat="false" ht="15" hidden="false" customHeight="true" outlineLevel="0" collapsed="false">
      <c r="A8" s="22" t="s">
        <v>97</v>
      </c>
      <c r="C8" s="27" t="n">
        <f aca="false">Historical!H6</f>
        <v>123353</v>
      </c>
      <c r="D8" s="40" t="n">
        <f aca="false">C8*(1+Assumptions!D14)</f>
        <v>136921.83</v>
      </c>
      <c r="E8" s="40" t="n">
        <f aca="false">D8*(1+Assumptions!E14)</f>
        <v>150614.013</v>
      </c>
      <c r="F8" s="40" t="n">
        <f aca="false">E8*(1+Assumptions!F14)</f>
        <v>164169.27417</v>
      </c>
      <c r="G8" s="40" t="n">
        <f aca="false">F8*(1+Assumptions!G14)</f>
        <v>177302.8161036</v>
      </c>
      <c r="H8" s="40" t="n">
        <f aca="false">G8*(1+Assumptions!H14)</f>
        <v>189714.013230852</v>
      </c>
    </row>
    <row r="9" customFormat="false" ht="15" hidden="false" customHeight="true" outlineLevel="0" collapsed="false">
      <c r="A9" s="42" t="s">
        <v>98</v>
      </c>
      <c r="B9" s="61"/>
      <c r="C9" s="43" t="n">
        <f aca="false">C7+C8</f>
        <v>477069.6</v>
      </c>
      <c r="D9" s="43" t="n">
        <f aca="false">D7+D8</f>
        <v>508324.26</v>
      </c>
      <c r="E9" s="43" t="n">
        <f aca="false">E7+E8</f>
        <v>536872.5402</v>
      </c>
      <c r="F9" s="43" t="n">
        <f aca="false">F7+F8</f>
        <v>563946.849822</v>
      </c>
      <c r="G9" s="43" t="n">
        <f aca="false">G7+G8</f>
        <v>589073.71902516</v>
      </c>
      <c r="H9" s="43" t="n">
        <f aca="false">H7+H8</f>
        <v>613838.043240059</v>
      </c>
    </row>
    <row r="10" customFormat="false" ht="15" hidden="false" customHeight="true" outlineLevel="0" collapsed="false">
      <c r="A10" s="59" t="s">
        <v>229</v>
      </c>
      <c r="C10" s="62" t="n">
        <f aca="false">Historical!H29</f>
        <v>0.146358260384803</v>
      </c>
      <c r="D10" s="63" t="n">
        <f aca="false">D9/C9-1</f>
        <v>0.0655138369747308</v>
      </c>
      <c r="E10" s="63" t="n">
        <f aca="false">E9/D9-1</f>
        <v>0.0561615536508133</v>
      </c>
      <c r="F10" s="63" t="n">
        <f aca="false">F9/E9-1</f>
        <v>0.0504296785451424</v>
      </c>
      <c r="G10" s="63" t="n">
        <f aca="false">G9/F9-1</f>
        <v>0.044555385336563</v>
      </c>
      <c r="H10" s="63" t="n">
        <f aca="false">H9/G9-1</f>
        <v>0.0420394314244412</v>
      </c>
    </row>
    <row r="11" customFormat="false" ht="15" hidden="false" customHeight="true" outlineLevel="0" collapsed="false">
      <c r="A11" s="22" t="s">
        <v>102</v>
      </c>
      <c r="C11" s="27" t="n">
        <f aca="false">Historical!H11</f>
        <v>138480.61</v>
      </c>
      <c r="D11" s="40" t="n">
        <f aca="false">D7*Assumptions!D19</f>
        <v>133704.8748</v>
      </c>
      <c r="E11" s="40" t="n">
        <f aca="false">E7*Assumptions!E19</f>
        <v>140984.362428</v>
      </c>
      <c r="F11" s="40" t="n">
        <f aca="false">F7*Assumptions!F19</f>
        <v>147917.70299124</v>
      </c>
      <c r="G11" s="40" t="n">
        <f aca="false">G7*Assumptions!G19</f>
        <v>152355.234080977</v>
      </c>
      <c r="H11" s="40" t="n">
        <f aca="false">H7*Assumptions!H19</f>
        <v>156925.891103407</v>
      </c>
    </row>
    <row r="12" customFormat="false" ht="15" hidden="false" customHeight="true" outlineLevel="0" collapsed="false">
      <c r="A12" s="22" t="s">
        <v>103</v>
      </c>
      <c r="C12" s="27" t="n">
        <f aca="false">Historical!H12</f>
        <v>93839.875</v>
      </c>
      <c r="D12" s="40" t="n">
        <f aca="false">D8*Assumptions!D24</f>
        <v>103375.98165</v>
      </c>
      <c r="E12" s="40" t="n">
        <f aca="false">E8*Assumptions!E24</f>
        <v>113713.579815</v>
      </c>
      <c r="F12" s="40" t="n">
        <f aca="false">F8*Assumptions!F24</f>
        <v>123947.80199835</v>
      </c>
      <c r="G12" s="40" t="n">
        <f aca="false">G8*Assumptions!G24</f>
        <v>133863.626158218</v>
      </c>
      <c r="H12" s="40" t="n">
        <f aca="false">H8*Assumptions!H24</f>
        <v>143234.079989293</v>
      </c>
    </row>
    <row r="13" customFormat="false" ht="15" hidden="false" customHeight="true" outlineLevel="0" collapsed="false">
      <c r="A13" s="42" t="s">
        <v>104</v>
      </c>
      <c r="B13" s="61"/>
      <c r="C13" s="43" t="n">
        <f aca="false">C11+C12</f>
        <v>232320.485</v>
      </c>
      <c r="D13" s="43" t="n">
        <f aca="false">D11+D12</f>
        <v>237080.85645</v>
      </c>
      <c r="E13" s="43" t="n">
        <f aca="false">E11+E12</f>
        <v>254697.942243</v>
      </c>
      <c r="F13" s="43" t="n">
        <f aca="false">F11+F12</f>
        <v>271865.50498959</v>
      </c>
      <c r="G13" s="43" t="n">
        <f aca="false">G11+G12</f>
        <v>286218.860239195</v>
      </c>
      <c r="H13" s="43" t="n">
        <f aca="false">H11+H12</f>
        <v>300159.9710927</v>
      </c>
    </row>
    <row r="14" customFormat="false" ht="15" hidden="false" customHeight="true" outlineLevel="0" collapsed="false">
      <c r="A14" s="59" t="s">
        <v>230</v>
      </c>
      <c r="C14" s="63" t="n">
        <f aca="false">C13/C9</f>
        <v>0.48697398660489</v>
      </c>
      <c r="D14" s="63" t="n">
        <f aca="false">D13/D9</f>
        <v>0.466396894867855</v>
      </c>
      <c r="E14" s="63" t="n">
        <f aca="false">E13/E9</f>
        <v>0.474410447865555</v>
      </c>
      <c r="F14" s="63" t="n">
        <f aca="false">F13/F9</f>
        <v>0.482076467091535</v>
      </c>
      <c r="G14" s="63" t="n">
        <f aca="false">G13/G9</f>
        <v>0.485879527460247</v>
      </c>
      <c r="H14" s="63" t="n">
        <f aca="false">H13/H9</f>
        <v>0.488988869944175</v>
      </c>
    </row>
    <row r="15" customFormat="false" ht="15" hidden="false" customHeight="true" outlineLevel="0" collapsed="false">
      <c r="A15" s="22" t="s">
        <v>105</v>
      </c>
      <c r="C15" s="27" t="n">
        <f aca="false">Historical!H14</f>
        <v>45661.8633540373</v>
      </c>
      <c r="D15" s="40" t="n">
        <f aca="false">D9*Assumptions!D29</f>
        <v>48290.8047</v>
      </c>
      <c r="E15" s="40" t="n">
        <f aca="false">E9*Assumptions!E29</f>
        <v>51002.891319</v>
      </c>
      <c r="F15" s="40" t="n">
        <f aca="false">F9*Assumptions!F29</f>
        <v>53574.95073309</v>
      </c>
      <c r="G15" s="40" t="n">
        <f aca="false">G9*Assumptions!G29</f>
        <v>55962.0033073902</v>
      </c>
      <c r="H15" s="40" t="n">
        <f aca="false">H9*Assumptions!H29</f>
        <v>58314.6141078056</v>
      </c>
    </row>
    <row r="16" customFormat="false" ht="15" hidden="false" customHeight="true" outlineLevel="0" collapsed="false">
      <c r="A16" s="22" t="s">
        <v>231</v>
      </c>
      <c r="C16" s="27" t="n">
        <f aca="false">Historical!H15</f>
        <v>29938.1366459627</v>
      </c>
      <c r="D16" s="40" t="n">
        <f aca="false">D9*Assumptions!D34</f>
        <v>30499.4556</v>
      </c>
      <c r="E16" s="40" t="n">
        <f aca="false">E9*Assumptions!E34</f>
        <v>32212.352412</v>
      </c>
      <c r="F16" s="40" t="n">
        <f aca="false">F9*Assumptions!F34</f>
        <v>33836.81098932</v>
      </c>
      <c r="G16" s="40" t="n">
        <f aca="false">G9*Assumptions!G34</f>
        <v>35344.4231415096</v>
      </c>
      <c r="H16" s="40" t="n">
        <f aca="false">H9*Assumptions!H34</f>
        <v>36830.2825944035</v>
      </c>
    </row>
    <row r="17" customFormat="false" ht="15" hidden="false" customHeight="true" outlineLevel="0" collapsed="false">
      <c r="A17" s="42" t="s">
        <v>232</v>
      </c>
      <c r="B17" s="61"/>
      <c r="C17" s="43" t="n">
        <f aca="false">C13-C15-C16</f>
        <v>156720.485</v>
      </c>
      <c r="D17" s="43" t="n">
        <f aca="false">D13-D15-D16</f>
        <v>158290.59615</v>
      </c>
      <c r="E17" s="43" t="n">
        <f aca="false">E13-E15-E16</f>
        <v>171482.698512</v>
      </c>
      <c r="F17" s="43" t="n">
        <f aca="false">F13-F15-F16</f>
        <v>184453.74326718</v>
      </c>
      <c r="G17" s="43" t="n">
        <f aca="false">G13-G15-G16</f>
        <v>194912.433790295</v>
      </c>
      <c r="H17" s="43" t="n">
        <f aca="false">H13-H15-H16</f>
        <v>205015.074390491</v>
      </c>
    </row>
    <row r="18" customFormat="false" ht="15" hidden="false" customHeight="true" outlineLevel="0" collapsed="false">
      <c r="A18" s="59" t="s">
        <v>233</v>
      </c>
      <c r="C18" s="63" t="n">
        <f aca="false">C17/C9</f>
        <v>0.328506542860832</v>
      </c>
      <c r="D18" s="63" t="n">
        <f aca="false">D17/D9</f>
        <v>0.311396894867855</v>
      </c>
      <c r="E18" s="63" t="n">
        <f aca="false">E17/E9</f>
        <v>0.319410447865555</v>
      </c>
      <c r="F18" s="63" t="n">
        <f aca="false">F17/F9</f>
        <v>0.327076467091535</v>
      </c>
      <c r="G18" s="63" t="n">
        <f aca="false">G17/G9</f>
        <v>0.330879527460247</v>
      </c>
      <c r="H18" s="63" t="n">
        <f aca="false">H17/H9</f>
        <v>0.333988869944175</v>
      </c>
    </row>
    <row r="19" customFormat="false" ht="15" hidden="false" customHeight="true" outlineLevel="0" collapsed="false">
      <c r="A19" s="22" t="s">
        <v>234</v>
      </c>
      <c r="D19" s="40" t="n">
        <f aca="false">D17*Assumptions!D39</f>
        <v>26909.4013455</v>
      </c>
      <c r="E19" s="40" t="n">
        <f aca="false">E17*Assumptions!E39</f>
        <v>29152.05874704</v>
      </c>
      <c r="F19" s="40" t="n">
        <f aca="false">F17*Assumptions!F39</f>
        <v>31357.1363554206</v>
      </c>
      <c r="G19" s="40" t="n">
        <f aca="false">G17*Assumptions!G39</f>
        <v>33135.1137443502</v>
      </c>
      <c r="H19" s="40" t="n">
        <f aca="false">H17*Assumptions!H39</f>
        <v>34852.5626463834</v>
      </c>
    </row>
    <row r="20" customFormat="false" ht="15" hidden="false" customHeight="true" outlineLevel="0" collapsed="false">
      <c r="A20" s="42" t="s">
        <v>235</v>
      </c>
      <c r="B20" s="61"/>
      <c r="C20" s="61"/>
      <c r="D20" s="43" t="n">
        <f aca="false">D17-D19</f>
        <v>131381.1948045</v>
      </c>
      <c r="E20" s="43" t="n">
        <f aca="false">E17-E19</f>
        <v>142330.63976496</v>
      </c>
      <c r="F20" s="43" t="n">
        <f aca="false">F17-F19</f>
        <v>153096.606911759</v>
      </c>
      <c r="G20" s="43" t="n">
        <f aca="false">G17-G19</f>
        <v>161777.320045945</v>
      </c>
      <c r="H20" s="43" t="n">
        <f aca="false">H17-H19</f>
        <v>170162.511744107</v>
      </c>
    </row>
    <row r="21" customFormat="false" ht="15" hidden="false" customHeight="true" outlineLevel="0" collapsed="false">
      <c r="A21" s="22" t="s">
        <v>236</v>
      </c>
      <c r="C21" s="27" t="n">
        <f aca="false">Historical!H23</f>
        <v>13373</v>
      </c>
      <c r="D21" s="40" t="n">
        <f aca="false">D9*Assumptions!D47</f>
        <v>14233.07928</v>
      </c>
      <c r="E21" s="40" t="n">
        <f aca="false">E9*Assumptions!E47</f>
        <v>15032.4311256</v>
      </c>
      <c r="F21" s="40" t="n">
        <f aca="false">F9*Assumptions!F47</f>
        <v>15790.511795016</v>
      </c>
      <c r="G21" s="40" t="n">
        <f aca="false">G9*Assumptions!G47</f>
        <v>16494.0641327045</v>
      </c>
      <c r="H21" s="40" t="n">
        <f aca="false">H9*Assumptions!H47</f>
        <v>17187.4652107216</v>
      </c>
    </row>
    <row r="22" customFormat="false" ht="15" hidden="false" customHeight="true" outlineLevel="0" collapsed="false">
      <c r="A22" s="22" t="s">
        <v>237</v>
      </c>
      <c r="C22" s="27" t="n">
        <f aca="false">Historical!H25</f>
        <v>10299</v>
      </c>
      <c r="D22" s="40" t="n">
        <f aca="false">D9*Assumptions!D44</f>
        <v>15249.7278</v>
      </c>
      <c r="E22" s="40" t="n">
        <f aca="false">E9*Assumptions!E44</f>
        <v>16106.176206</v>
      </c>
      <c r="F22" s="40" t="n">
        <f aca="false">F9*Assumptions!F44</f>
        <v>16918.40549466</v>
      </c>
      <c r="G22" s="40" t="n">
        <f aca="false">G9*Assumptions!G44</f>
        <v>17672.2115707548</v>
      </c>
      <c r="H22" s="40" t="n">
        <f aca="false">H9*Assumptions!H44</f>
        <v>18415.1412972018</v>
      </c>
    </row>
    <row r="23" customFormat="false" ht="15" hidden="false" customHeight="true" outlineLevel="0" collapsed="false">
      <c r="A23" s="22" t="s">
        <v>238</v>
      </c>
      <c r="D23" s="40" t="n">
        <f aca="false">(D9-C9)*Assumptions!D48</f>
        <v>625.093200000001</v>
      </c>
      <c r="E23" s="40" t="n">
        <f aca="false">(E9-D9)*Assumptions!E48</f>
        <v>570.965604000001</v>
      </c>
      <c r="F23" s="40" t="n">
        <f aca="false">(F9-E9)*Assumptions!F48</f>
        <v>541.486192439999</v>
      </c>
      <c r="G23" s="40" t="n">
        <f aca="false">(G9-F9)*Assumptions!G48</f>
        <v>502.537384063201</v>
      </c>
      <c r="H23" s="40" t="n">
        <f aca="false">(H9-G9)*Assumptions!H48</f>
        <v>495.286484297975</v>
      </c>
    </row>
    <row r="24" customFormat="false" ht="15" hidden="false" customHeight="true" outlineLevel="0" collapsed="false">
      <c r="A24" s="42" t="s">
        <v>239</v>
      </c>
      <c r="B24" s="61"/>
      <c r="C24" s="61"/>
      <c r="D24" s="43" t="n">
        <f aca="false">D20+D21-D22-D23</f>
        <v>129739.4530845</v>
      </c>
      <c r="E24" s="43" t="n">
        <f aca="false">E20+E21-E22-E23</f>
        <v>140685.92908056</v>
      </c>
      <c r="F24" s="43" t="n">
        <f aca="false">F20+F21-F22-F23</f>
        <v>151427.227019675</v>
      </c>
      <c r="G24" s="43" t="n">
        <f aca="false">G20+G21-G22-G23</f>
        <v>160096.635223832</v>
      </c>
      <c r="H24" s="43" t="n">
        <f aca="false">H20+H21-H22-H23</f>
        <v>168439.549173329</v>
      </c>
    </row>
    <row r="25" customFormat="false" ht="15" hidden="false" customHeight="true" outlineLevel="0" collapsed="false">
      <c r="A25" s="59" t="s">
        <v>240</v>
      </c>
      <c r="D25" s="63" t="n">
        <f aca="false">D24/D9</f>
        <v>0.255229709249958</v>
      </c>
      <c r="E25" s="63" t="n">
        <f aca="false">E24/E9</f>
        <v>0.262047168641091</v>
      </c>
      <c r="F25" s="63" t="n">
        <f aca="false">F24/F9</f>
        <v>0.268513295299851</v>
      </c>
      <c r="G25" s="63" t="n">
        <f aca="false">G24/G9</f>
        <v>0.271776910178187</v>
      </c>
      <c r="H25" s="63" t="n">
        <f aca="false">H24/H9</f>
        <v>0.274403893711515</v>
      </c>
    </row>
    <row r="26" customFormat="false" ht="15" hidden="false" customHeight="true" outlineLevel="0" collapsed="false">
      <c r="A26" s="22" t="s">
        <v>241</v>
      </c>
      <c r="C26" s="40" t="n">
        <f aca="false">C17+C21</f>
        <v>170093.485</v>
      </c>
      <c r="D26" s="40" t="n">
        <f aca="false">D17+D21</f>
        <v>172523.67543</v>
      </c>
      <c r="E26" s="40" t="n">
        <f aca="false">E17+E21</f>
        <v>186515.1296376</v>
      </c>
      <c r="F26" s="40" t="n">
        <f aca="false">F17+F21</f>
        <v>200244.255062196</v>
      </c>
      <c r="G26" s="40" t="n">
        <f aca="false">G17+G21</f>
        <v>211406.497923</v>
      </c>
      <c r="H26" s="40" t="n">
        <f aca="false">H17+H21</f>
        <v>222202.539601212</v>
      </c>
    </row>
    <row r="28" customFormat="false" ht="15" hidden="false" customHeight="true" outlineLevel="0" collapsed="false">
      <c r="A28" s="28" t="s">
        <v>242</v>
      </c>
    </row>
    <row r="29" customFormat="false" ht="15" hidden="false" customHeight="true" outlineLevel="0" collapsed="false">
      <c r="A29" s="22" t="s">
        <v>243</v>
      </c>
      <c r="C29" s="64" t="n">
        <v>46300</v>
      </c>
    </row>
    <row r="30" customFormat="false" ht="15" hidden="false" customHeight="true" outlineLevel="0" collapsed="false">
      <c r="A30" s="22" t="s">
        <v>244</v>
      </c>
      <c r="C30" s="65" t="n">
        <v>1</v>
      </c>
    </row>
    <row r="31" customFormat="false" ht="15" hidden="false" customHeight="true" outlineLevel="0" collapsed="false">
      <c r="A31" s="22" t="s">
        <v>245</v>
      </c>
      <c r="C31" s="66" t="n">
        <v>0.03</v>
      </c>
    </row>
    <row r="32" customFormat="false" ht="15" hidden="false" customHeight="true" outlineLevel="0" collapsed="false">
      <c r="A32" s="22" t="s">
        <v>246</v>
      </c>
      <c r="C32" s="67" t="n">
        <v>20</v>
      </c>
    </row>
    <row r="33" customFormat="false" ht="15" hidden="false" customHeight="true" outlineLevel="0" collapsed="false">
      <c r="A33" s="22" t="s">
        <v>19</v>
      </c>
      <c r="C33" s="24" t="n">
        <f aca="false">WACC!C33</f>
        <v>0.0991818521510427</v>
      </c>
    </row>
    <row r="35" customFormat="false" ht="15" hidden="false" customHeight="true" outlineLevel="0" collapsed="false">
      <c r="A35" s="22" t="s">
        <v>247</v>
      </c>
      <c r="D35" s="68" t="n">
        <f aca="false">(D5-$C$29)/365.25</f>
        <v>0.971937029431896</v>
      </c>
      <c r="E35" s="68" t="n">
        <f aca="false">(E5-$C$29)/365.25</f>
        <v>1.98767967145791</v>
      </c>
      <c r="F35" s="68" t="n">
        <f aca="false">(F5-$C$29)/365.25</f>
        <v>2.98425735797399</v>
      </c>
      <c r="G35" s="68" t="n">
        <f aca="false">(G5-$C$29)/365.25</f>
        <v>3.98083504449008</v>
      </c>
      <c r="H35" s="68" t="n">
        <f aca="false">(H5-$C$29)/365.25</f>
        <v>4.97741273100616</v>
      </c>
    </row>
    <row r="36" customFormat="false" ht="15" hidden="false" customHeight="true" outlineLevel="0" collapsed="false">
      <c r="A36" s="22" t="s">
        <v>248</v>
      </c>
      <c r="D36" s="68" t="n">
        <f aca="false">D35-0.5*$C$30</f>
        <v>0.471937029431896</v>
      </c>
      <c r="E36" s="68" t="n">
        <f aca="false">E35-0.5*$C$30</f>
        <v>1.48767967145791</v>
      </c>
      <c r="F36" s="68" t="n">
        <f aca="false">F35-0.5*$C$30</f>
        <v>2.48425735797399</v>
      </c>
      <c r="G36" s="68" t="n">
        <f aca="false">G35-0.5*$C$30</f>
        <v>3.48083504449008</v>
      </c>
      <c r="H36" s="68" t="n">
        <f aca="false">H35-0.5*$C$30</f>
        <v>4.47741273100616</v>
      </c>
    </row>
    <row r="37" customFormat="false" ht="15" hidden="false" customHeight="true" outlineLevel="0" collapsed="false">
      <c r="A37" s="22" t="s">
        <v>249</v>
      </c>
      <c r="D37" s="69" t="n">
        <f aca="false">1/(1+$C$33)^D36</f>
        <v>0.956351974467031</v>
      </c>
      <c r="E37" s="69" t="n">
        <f aca="false">1/(1+$C$33)^E36</f>
        <v>0.868763699839636</v>
      </c>
      <c r="F37" s="69" t="n">
        <f aca="false">1/(1+$C$33)^F36</f>
        <v>0.790628871771424</v>
      </c>
      <c r="G37" s="69" t="n">
        <f aca="false">1/(1+$C$33)^G36</f>
        <v>0.719521330131473</v>
      </c>
      <c r="H37" s="69" t="n">
        <f aca="false">1/(1+$C$33)^H36</f>
        <v>0.654809055169235</v>
      </c>
    </row>
    <row r="38" customFormat="false" ht="15" hidden="false" customHeight="true" outlineLevel="0" collapsed="false">
      <c r="A38" s="28" t="s">
        <v>250</v>
      </c>
      <c r="D38" s="70" t="n">
        <f aca="false">D24*D37</f>
        <v>124076.582123634</v>
      </c>
      <c r="E38" s="70" t="n">
        <f aca="false">E24*E37</f>
        <v>122222.828263404</v>
      </c>
      <c r="F38" s="70" t="n">
        <f aca="false">F24*F37</f>
        <v>119722.737654041</v>
      </c>
      <c r="G38" s="70" t="n">
        <f aca="false">G24*G37</f>
        <v>115192.943925825</v>
      </c>
      <c r="H38" s="70" t="n">
        <f aca="false">H24*H37</f>
        <v>110295.742047319</v>
      </c>
    </row>
    <row r="40" customFormat="false" ht="15" hidden="false" customHeight="true" outlineLevel="0" collapsed="false">
      <c r="A40" s="28" t="s">
        <v>251</v>
      </c>
    </row>
    <row r="41" customFormat="false" ht="15" hidden="false" customHeight="true" outlineLevel="0" collapsed="false">
      <c r="A41" s="20"/>
      <c r="B41" s="21"/>
      <c r="C41" s="21" t="s">
        <v>252</v>
      </c>
      <c r="D41" s="21" t="s">
        <v>253</v>
      </c>
    </row>
    <row r="42" customFormat="false" ht="15" hidden="false" customHeight="true" outlineLevel="0" collapsed="false">
      <c r="A42" s="22" t="s">
        <v>254</v>
      </c>
      <c r="C42" s="40" t="n">
        <f aca="false">SUM(D38:H38)</f>
        <v>591510.834014224</v>
      </c>
      <c r="D42" s="40" t="n">
        <f aca="false">SUM(D38:H38)</f>
        <v>591510.834014224</v>
      </c>
    </row>
    <row r="43" customFormat="false" ht="15" hidden="false" customHeight="true" outlineLevel="0" collapsed="false">
      <c r="A43" s="22" t="s">
        <v>255</v>
      </c>
      <c r="C43" s="40" t="n">
        <f aca="false">H24*(1+C31)/(C33-C31)</f>
        <v>2507778.12756079</v>
      </c>
      <c r="D43" s="40" t="n">
        <f aca="false">H26*C32</f>
        <v>4444050.79202425</v>
      </c>
    </row>
    <row r="44" customFormat="false" ht="15" hidden="false" customHeight="true" outlineLevel="0" collapsed="false">
      <c r="A44" s="22" t="s">
        <v>256</v>
      </c>
      <c r="C44" s="69" t="n">
        <f aca="false">1/(1+C33)^H35</f>
        <v>0.624568248211689</v>
      </c>
      <c r="D44" s="69" t="n">
        <f aca="false">1/(1+C33)^H35</f>
        <v>0.624568248211689</v>
      </c>
    </row>
    <row r="45" customFormat="false" ht="15" hidden="false" customHeight="true" outlineLevel="0" collapsed="false">
      <c r="A45" s="22" t="s">
        <v>257</v>
      </c>
      <c r="C45" s="40" t="n">
        <f aca="false">C43*C44</f>
        <v>1566278.59203423</v>
      </c>
      <c r="D45" s="40" t="n">
        <f aca="false">D43*D44</f>
        <v>2775613.01813835</v>
      </c>
    </row>
    <row r="46" customFormat="false" ht="15" hidden="false" customHeight="true" outlineLevel="0" collapsed="false">
      <c r="A46" s="28" t="s">
        <v>258</v>
      </c>
      <c r="C46" s="70" t="n">
        <f aca="false">C42+C45</f>
        <v>2157789.42604845</v>
      </c>
      <c r="D46" s="70" t="n">
        <f aca="false">D42+D45</f>
        <v>3367123.85215257</v>
      </c>
    </row>
    <row r="47" customFormat="false" ht="15" hidden="false" customHeight="true" outlineLevel="0" collapsed="false">
      <c r="A47" s="22" t="s">
        <v>259</v>
      </c>
      <c r="C47" s="27" t="n">
        <f aca="false">WACC!C28</f>
        <v>146517</v>
      </c>
      <c r="D47" s="27" t="n">
        <f aca="false">WACC!C28</f>
        <v>146517</v>
      </c>
    </row>
    <row r="48" customFormat="false" ht="15" hidden="false" customHeight="true" outlineLevel="0" collapsed="false">
      <c r="A48" s="22" t="s">
        <v>260</v>
      </c>
      <c r="C48" s="27" t="n">
        <f aca="false">WACC!C23</f>
        <v>84344</v>
      </c>
      <c r="D48" s="27" t="n">
        <f aca="false">WACC!C23</f>
        <v>84344</v>
      </c>
    </row>
    <row r="49" customFormat="false" ht="15" hidden="false" customHeight="true" outlineLevel="0" collapsed="false">
      <c r="A49" s="28" t="s">
        <v>261</v>
      </c>
      <c r="C49" s="70" t="n">
        <f aca="false">C46+C47-C48</f>
        <v>2219962.42604845</v>
      </c>
      <c r="D49" s="70" t="n">
        <f aca="false">D46+D47-D48</f>
        <v>3429296.85215257</v>
      </c>
    </row>
    <row r="50" customFormat="false" ht="15" hidden="false" customHeight="true" outlineLevel="0" collapsed="false">
      <c r="A50" s="22" t="s">
        <v>210</v>
      </c>
      <c r="C50" s="71" t="n">
        <f aca="false">WACC!C17</f>
        <v>14667.529</v>
      </c>
      <c r="D50" s="71" t="n">
        <f aca="false">WACC!C17</f>
        <v>14667.529</v>
      </c>
    </row>
    <row r="51" customFormat="false" ht="15" hidden="false" customHeight="true" outlineLevel="0" collapsed="false">
      <c r="A51" s="28" t="s">
        <v>262</v>
      </c>
      <c r="C51" s="30" t="n">
        <f aca="false">C49/C50</f>
        <v>151.352175683338</v>
      </c>
      <c r="D51" s="30" t="n">
        <f aca="false">D49/D50</f>
        <v>233.801947973144</v>
      </c>
    </row>
    <row r="52" customFormat="false" ht="15" hidden="false" customHeight="true" outlineLevel="0" collapsed="false">
      <c r="A52" s="22" t="s">
        <v>263</v>
      </c>
      <c r="C52" s="31" t="n">
        <f aca="false">WACC!C14</f>
        <v>333.69</v>
      </c>
      <c r="D52" s="31" t="n">
        <f aca="false">WACC!C14</f>
        <v>333.69</v>
      </c>
    </row>
    <row r="53" customFormat="false" ht="15" hidden="false" customHeight="true" outlineLevel="0" collapsed="false">
      <c r="A53" s="28" t="s">
        <v>264</v>
      </c>
      <c r="C53" s="32" t="n">
        <f aca="false">C51/C52-1</f>
        <v>-0.546428794140256</v>
      </c>
      <c r="D53" s="32" t="n">
        <f aca="false">D51/D52-1</f>
        <v>-0.299343858152346</v>
      </c>
    </row>
    <row r="54" customFormat="false" ht="15" hidden="false" customHeight="true" outlineLevel="0" collapsed="false">
      <c r="A54" s="22" t="s">
        <v>265</v>
      </c>
      <c r="C54" s="46" t="n">
        <f aca="false">C45/C46</f>
        <v>0.725871845105176</v>
      </c>
      <c r="D54" s="46" t="n">
        <f aca="false">D45/D46</f>
        <v>0.824327568575752</v>
      </c>
    </row>
    <row r="55" customFormat="false" ht="15" hidden="false" customHeight="true" outlineLevel="0" collapsed="false">
      <c r="A55" s="22" t="s">
        <v>266</v>
      </c>
      <c r="C55" s="72" t="n">
        <f aca="false">C43/H26</f>
        <v>11.2860011954027</v>
      </c>
      <c r="D55" s="46" t="n">
        <f aca="false">(D43*C33-H24)/(D43+H24)</f>
        <v>0.0590417798820228</v>
      </c>
    </row>
    <row r="57" customFormat="false" ht="15" hidden="false" customHeight="true" outlineLevel="0" collapsed="false">
      <c r="A57" s="28" t="s">
        <v>267</v>
      </c>
    </row>
    <row r="58" customFormat="false" ht="15" hidden="false" customHeight="true" outlineLevel="0" collapsed="false">
      <c r="A58" s="22" t="s">
        <v>268</v>
      </c>
      <c r="C58" s="27" t="n">
        <f aca="false">WACC!C18-WACC!C29</f>
        <v>4832234.75201</v>
      </c>
    </row>
    <row r="59" customFormat="false" ht="15" hidden="false" customHeight="true" outlineLevel="0" collapsed="false">
      <c r="A59" s="22" t="s">
        <v>269</v>
      </c>
      <c r="C59" s="40" t="n">
        <f aca="false">C58-C42</f>
        <v>4240723.91799578</v>
      </c>
    </row>
    <row r="60" customFormat="false" ht="15" hidden="false" customHeight="true" outlineLevel="0" collapsed="false">
      <c r="A60" s="22" t="s">
        <v>270</v>
      </c>
      <c r="C60" s="40" t="n">
        <f aca="false">C59/C44</f>
        <v>6789848.71571384</v>
      </c>
    </row>
    <row r="61" customFormat="false" ht="15" hidden="false" customHeight="true" outlineLevel="0" collapsed="false">
      <c r="A61" s="28" t="s">
        <v>271</v>
      </c>
      <c r="C61" s="58" t="n">
        <f aca="false">(C60*C33-H24)/(C60+H24)</f>
        <v>0.0725739151717562</v>
      </c>
    </row>
    <row r="62" customFormat="false" ht="15" hidden="false" customHeight="true" outlineLevel="0" collapsed="false">
      <c r="A62" s="22" t="s">
        <v>272</v>
      </c>
      <c r="C62" s="72" t="n">
        <f aca="false">C60/H26</f>
        <v>30.5570257113155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7" width="26"/>
    <col collapsed="false" customWidth="true" hidden="false" outlineLevel="0" max="2" min="2" style="17" width="22"/>
    <col collapsed="false" customWidth="true" hidden="false" outlineLevel="0" max="7" min="3" style="17" width="13"/>
  </cols>
  <sheetData>
    <row r="1" customFormat="false" ht="17.25" hidden="false" customHeight="true" outlineLevel="0" collapsed="false">
      <c r="A1" s="18" t="s">
        <v>273</v>
      </c>
    </row>
    <row r="2" customFormat="false" ht="15" hidden="false" customHeight="true" outlineLevel="0" collapsed="false">
      <c r="A2" s="19" t="s">
        <v>274</v>
      </c>
    </row>
    <row r="3" customFormat="false" ht="15" hidden="false" customHeight="true" outlineLevel="0" collapsed="false">
      <c r="A3" s="22" t="s">
        <v>275</v>
      </c>
      <c r="C3" s="48" t="n">
        <v>0.005</v>
      </c>
    </row>
    <row r="4" customFormat="false" ht="15" hidden="false" customHeight="true" outlineLevel="0" collapsed="false">
      <c r="A4" s="22" t="s">
        <v>276</v>
      </c>
      <c r="C4" s="48" t="n">
        <v>0.005</v>
      </c>
    </row>
    <row r="5" customFormat="false" ht="15" hidden="false" customHeight="true" outlineLevel="0" collapsed="false">
      <c r="A5" s="22" t="s">
        <v>277</v>
      </c>
      <c r="C5" s="73" t="n">
        <v>2</v>
      </c>
    </row>
    <row r="7" customFormat="false" ht="15" hidden="false" customHeight="true" outlineLevel="0" collapsed="false">
      <c r="A7" s="28" t="s">
        <v>278</v>
      </c>
    </row>
    <row r="8" customFormat="false" ht="15" hidden="false" customHeight="true" outlineLevel="0" collapsed="false">
      <c r="B8" s="59" t="s">
        <v>279</v>
      </c>
      <c r="C8" s="74" t="n">
        <f aca="false">DCF!$C$31+(-2)*$C$4</f>
        <v>0.02</v>
      </c>
      <c r="D8" s="74" t="n">
        <f aca="false">DCF!$C$31+(-1)*$C$4</f>
        <v>0.025</v>
      </c>
      <c r="E8" s="74" t="n">
        <f aca="false">DCF!$C$31+(0)*$C$4</f>
        <v>0.03</v>
      </c>
      <c r="F8" s="74" t="n">
        <f aca="false">DCF!$C$31+(1)*$C$4</f>
        <v>0.035</v>
      </c>
      <c r="G8" s="74" t="n">
        <f aca="false">DCF!$C$31+(2)*$C$4</f>
        <v>0.04</v>
      </c>
    </row>
    <row r="9" customFormat="false" ht="15" hidden="false" customHeight="true" outlineLevel="0" collapsed="false">
      <c r="B9" s="75" t="n">
        <f aca="false">WACC!$C$33+(-2)*$C$3</f>
        <v>0.0891818521510427</v>
      </c>
      <c r="C9" s="76" t="n">
        <f aca="false">(SUMPRODUCT(DCF!$D$24:$H$24,(1+$B9)^(-DCF!$D$36:$H$36))+DCF!$H$24*(1+C$8)/($B9-C$8)*(1+$B9)^(-DCF!$H$35)+WACC!$C$29)/WACC!$C$17</f>
        <v>156.143070058498</v>
      </c>
      <c r="D9" s="76" t="n">
        <f aca="false">(SUMPRODUCT(DCF!$D$24:$H$24,(1+$B9)^(-DCF!$D$36:$H$36))+DCF!$H$24*(1+D$8)/($B9-D$8)*(1+$B9)^(-DCF!$H$35)+WACC!$C$29)/WACC!$C$17</f>
        <v>165.349454345123</v>
      </c>
      <c r="E9" s="76" t="n">
        <f aca="false">(SUMPRODUCT(DCF!$D$24:$H$24,(1+$B9)^(-DCF!$D$36:$H$36))+DCF!$H$24*(1+E$8)/($B9-E$8)*(1+$B9)^(-DCF!$H$35)+WACC!$C$29)/WACC!$C$17</f>
        <v>176.111447986982</v>
      </c>
      <c r="F9" s="76" t="n">
        <f aca="false">(SUMPRODUCT(DCF!$D$24:$H$24,(1+$B9)^(-DCF!$D$36:$H$36))+DCF!$H$24*(1+F$8)/($B9-F$8)*(1+$B9)^(-DCF!$H$35)+WACC!$C$29)/WACC!$C$17</f>
        <v>188.859714377852</v>
      </c>
      <c r="G9" s="76" t="n">
        <f aca="false">(SUMPRODUCT(DCF!$D$24:$H$24,(1+$B9)^(-DCF!$D$36:$H$36))+DCF!$H$24*(1+G$8)/($B9-G$8)*(1+$B9)^(-DCF!$H$35)+WACC!$C$29)/WACC!$C$17</f>
        <v>204.200047930349</v>
      </c>
    </row>
    <row r="10" customFormat="false" ht="15" hidden="false" customHeight="true" outlineLevel="0" collapsed="false">
      <c r="B10" s="75" t="n">
        <f aca="false">WACC!$C$33+(-1)*$C$3</f>
        <v>0.0941818521510427</v>
      </c>
      <c r="C10" s="76" t="n">
        <f aca="false">(SUMPRODUCT(DCF!$D$24:$H$24,(1+$B10)^(-DCF!$D$36:$H$36))+DCF!$H$24*(1+C$8)/($B10-C$8)*(1+$B10)^(-DCF!$H$35)+WACC!$C$29)/WACC!$C$17</f>
        <v>145.899980116736</v>
      </c>
      <c r="D10" s="76" t="n">
        <f aca="false">(SUMPRODUCT(DCF!$D$24:$H$24,(1+$B10)^(-DCF!$D$36:$H$36))+DCF!$H$24*(1+D$8)/($B10-D$8)*(1+$B10)^(-DCF!$H$35)+WACC!$C$29)/WACC!$C$17</f>
        <v>153.721518078119</v>
      </c>
      <c r="E10" s="76" t="n">
        <f aca="false">(SUMPRODUCT(DCF!$D$24:$H$24,(1+$B10)^(-DCF!$D$36:$H$36))+DCF!$H$24*(1+E$8)/($B10-E$8)*(1+$B10)^(-DCF!$H$35)+WACC!$C$29)/WACC!$C$17</f>
        <v>162.761708617955</v>
      </c>
      <c r="F10" s="76" t="n">
        <f aca="false">(SUMPRODUCT(DCF!$D$24:$H$24,(1+$B10)^(-DCF!$D$36:$H$36))+DCF!$H$24*(1+F$8)/($B10-F$8)*(1+$B10)^(-DCF!$H$35)+WACC!$C$29)/WACC!$C$17</f>
        <v>173.329426636446</v>
      </c>
      <c r="G10" s="76" t="n">
        <f aca="false">(SUMPRODUCT(DCF!$D$24:$H$24,(1+$B10)^(-DCF!$D$36:$H$36))+DCF!$H$24*(1+G$8)/($B10-G$8)*(1+$B10)^(-DCF!$H$35)+WACC!$C$29)/WACC!$C$17</f>
        <v>185.847561187216</v>
      </c>
    </row>
    <row r="11" customFormat="false" ht="15" hidden="false" customHeight="true" outlineLevel="0" collapsed="false">
      <c r="B11" s="75" t="n">
        <f aca="false">WACC!$C$33+(0)*$C$3</f>
        <v>0.0991818521510427</v>
      </c>
      <c r="C11" s="76" t="n">
        <f aca="false">(SUMPRODUCT(DCF!$D$24:$H$24,(1+$B11)^(-DCF!$D$36:$H$36))+DCF!$H$24*(1+C$8)/($B11-C$8)*(1+$B11)^(-DCF!$H$35)+WACC!$C$29)/WACC!$C$17</f>
        <v>136.960256055205</v>
      </c>
      <c r="D11" s="76" t="n">
        <f aca="false">(SUMPRODUCT(DCF!$D$24:$H$24,(1+$B11)^(-DCF!$D$36:$H$36))+DCF!$H$24*(1+D$8)/($B11-D$8)*(1+$B11)^(-DCF!$H$35)+WACC!$C$29)/WACC!$C$17</f>
        <v>143.671194290178</v>
      </c>
      <c r="E11" s="77" t="n">
        <f aca="false">(SUMPRODUCT(DCF!$D$24:$H$24,(1+$B11)^(-DCF!$D$36:$H$36))+DCF!$H$24*(1+E$8)/($B11-E$8)*(1+$B11)^(-DCF!$H$35)+WACC!$C$29)/WACC!$C$17</f>
        <v>151.352175683338</v>
      </c>
      <c r="F11" s="76" t="n">
        <f aca="false">(SUMPRODUCT(DCF!$D$24:$H$24,(1+$B11)^(-DCF!$D$36:$H$36))+DCF!$H$24*(1+F$8)/($B11-F$8)*(1+$B11)^(-DCF!$H$35)+WACC!$C$29)/WACC!$C$17</f>
        <v>160.229909917952</v>
      </c>
      <c r="G11" s="76" t="n">
        <f aca="false">(SUMPRODUCT(DCF!$D$24:$H$24,(1+$B11)^(-DCF!$D$36:$H$36))+DCF!$H$24*(1+G$8)/($B11-G$8)*(1+$B11)^(-DCF!$H$35)+WACC!$C$29)/WACC!$C$17</f>
        <v>170.607721272822</v>
      </c>
    </row>
    <row r="12" customFormat="false" ht="15" hidden="false" customHeight="true" outlineLevel="0" collapsed="false">
      <c r="B12" s="75" t="n">
        <f aca="false">WACC!$C$33+(1)*$C$3</f>
        <v>0.104181852151043</v>
      </c>
      <c r="C12" s="76" t="n">
        <f aca="false">(SUMPRODUCT(DCF!$D$24:$H$24,(1+$B12)^(-DCF!$D$36:$H$36))+DCF!$H$24*(1+C$8)/($B12-C$8)*(1+$B12)^(-DCF!$H$35)+WACC!$C$29)/WACC!$C$17</f>
        <v>129.091273682944</v>
      </c>
      <c r="D12" s="76" t="n">
        <f aca="false">(SUMPRODUCT(DCF!$D$24:$H$24,(1+$B12)^(-DCF!$D$36:$H$36))+DCF!$H$24*(1+D$8)/($B12-D$8)*(1+$B12)^(-DCF!$H$35)+WACC!$C$29)/WACC!$C$17</f>
        <v>134.899221905116</v>
      </c>
      <c r="E12" s="76" t="n">
        <f aca="false">(SUMPRODUCT(DCF!$D$24:$H$24,(1+$B12)^(-DCF!$D$36:$H$36))+DCF!$H$24*(1+E$8)/($B12-E$8)*(1+$B12)^(-DCF!$H$35)+WACC!$C$29)/WACC!$C$17</f>
        <v>141.490103965384</v>
      </c>
      <c r="F12" s="76" t="n">
        <f aca="false">(SUMPRODUCT(DCF!$D$24:$H$24,(1+$B12)^(-DCF!$D$36:$H$36))+DCF!$H$24*(1+F$8)/($B12-F$8)*(1+$B12)^(-DCF!$H$35)+WACC!$C$29)/WACC!$C$17</f>
        <v>149.033675474596</v>
      </c>
      <c r="G12" s="76" t="n">
        <f aca="false">(SUMPRODUCT(DCF!$D$24:$H$24,(1+$B12)^(-DCF!$D$36:$H$36))+DCF!$H$24*(1+G$8)/($B12-G$8)*(1+$B12)^(-DCF!$H$35)+WACC!$C$29)/WACC!$C$17</f>
        <v>157.75259036459</v>
      </c>
    </row>
    <row r="13" customFormat="false" ht="15" hidden="false" customHeight="true" outlineLevel="0" collapsed="false">
      <c r="B13" s="75" t="n">
        <f aca="false">WACC!$C$33+(2)*$C$3</f>
        <v>0.109181852151043</v>
      </c>
      <c r="C13" s="76" t="n">
        <f aca="false">(SUMPRODUCT(DCF!$D$24:$H$24,(1+$B13)^(-DCF!$D$36:$H$36))+DCF!$H$24*(1+C$8)/($B13-C$8)*(1+$B13)^(-DCF!$H$35)+WACC!$C$29)/WACC!$C$17</f>
        <v>122.112592746323</v>
      </c>
      <c r="D13" s="76" t="n">
        <f aca="false">(SUMPRODUCT(DCF!$D$24:$H$24,(1+$B13)^(-DCF!$D$36:$H$36))+DCF!$H$24*(1+D$8)/($B13-D$8)*(1+$B13)^(-DCF!$H$35)+WACC!$C$29)/WACC!$C$17</f>
        <v>127.177454818269</v>
      </c>
      <c r="E13" s="76" t="n">
        <f aca="false">(SUMPRODUCT(DCF!$D$24:$H$24,(1+$B13)^(-DCF!$D$36:$H$36))+DCF!$H$24*(1+E$8)/($B13-E$8)*(1+$B13)^(-DCF!$H$35)+WACC!$C$29)/WACC!$C$17</f>
        <v>132.881966246014</v>
      </c>
      <c r="F13" s="76" t="n">
        <f aca="false">(SUMPRODUCT(DCF!$D$24:$H$24,(1+$B13)^(-DCF!$D$36:$H$36))+DCF!$H$24*(1+F$8)/($B13-F$8)*(1+$B13)^(-DCF!$H$35)+WACC!$C$29)/WACC!$C$17</f>
        <v>139.355467832717</v>
      </c>
      <c r="G13" s="76" t="n">
        <f aca="false">(SUMPRODUCT(DCF!$D$24:$H$24,(1+$B13)^(-DCF!$D$36:$H$36))+DCF!$H$24*(1+G$8)/($B13-G$8)*(1+$B13)^(-DCF!$H$35)+WACC!$C$29)/WACC!$C$17</f>
        <v>146.764691922566</v>
      </c>
    </row>
    <row r="15" customFormat="false" ht="15" hidden="false" customHeight="true" outlineLevel="0" collapsed="false">
      <c r="A15" s="28" t="s">
        <v>280</v>
      </c>
    </row>
    <row r="16" customFormat="false" ht="15" hidden="false" customHeight="true" outlineLevel="0" collapsed="false">
      <c r="B16" s="59" t="s">
        <v>279</v>
      </c>
      <c r="C16" s="74" t="n">
        <f aca="false">DCF!$C$31+(-2)*$C$4</f>
        <v>0.02</v>
      </c>
      <c r="D16" s="74" t="n">
        <f aca="false">DCF!$C$31+(-1)*$C$4</f>
        <v>0.025</v>
      </c>
      <c r="E16" s="74" t="n">
        <f aca="false">DCF!$C$31+(0)*$C$4</f>
        <v>0.03</v>
      </c>
      <c r="F16" s="74" t="n">
        <f aca="false">DCF!$C$31+(1)*$C$4</f>
        <v>0.035</v>
      </c>
      <c r="G16" s="74" t="n">
        <f aca="false">DCF!$C$31+(2)*$C$4</f>
        <v>0.04</v>
      </c>
    </row>
    <row r="17" customFormat="false" ht="15" hidden="false" customHeight="true" outlineLevel="0" collapsed="false">
      <c r="B17" s="75" t="n">
        <f aca="false">WACC!$C$33+(-2)*$C$3</f>
        <v>0.0891818521510427</v>
      </c>
      <c r="C17" s="46" t="n">
        <f aca="false">((SUMPRODUCT(DCF!$D$24:$H$24,(1+$B17)^(-DCF!$D$36:$H$36))+DCF!$H$24*(1+C$16)/($B17-C$16)*(1+$B17)^(-DCF!$H$35)+WACC!$C$29)/WACC!$C$17)/WACC!$C$14-1</f>
        <v>-0.532071473348023</v>
      </c>
      <c r="D17" s="46" t="n">
        <f aca="false">((SUMPRODUCT(DCF!$D$24:$H$24,(1+$B17)^(-DCF!$D$36:$H$36))+DCF!$H$24*(1+D$16)/($B17-D$16)*(1+$B17)^(-DCF!$H$35)+WACC!$C$29)/WACC!$C$17)/WACC!$C$14-1</f>
        <v>-0.50448184139434</v>
      </c>
      <c r="E17" s="46" t="n">
        <f aca="false">((SUMPRODUCT(DCF!$D$24:$H$24,(1+$B17)^(-DCF!$D$36:$H$36))+DCF!$H$24*(1+E$16)/($B17-E$16)*(1+$B17)^(-DCF!$H$35)+WACC!$C$29)/WACC!$C$17)/WACC!$C$14-1</f>
        <v>-0.472230369543643</v>
      </c>
      <c r="F17" s="46" t="n">
        <f aca="false">((SUMPRODUCT(DCF!$D$24:$H$24,(1+$B17)^(-DCF!$D$36:$H$36))+DCF!$H$24*(1+F$16)/($B17-F$16)*(1+$B17)^(-DCF!$H$35)+WACC!$C$29)/WACC!$C$17)/WACC!$C$14-1</f>
        <v>-0.434026448566478</v>
      </c>
      <c r="G17" s="46" t="n">
        <f aca="false">((SUMPRODUCT(DCF!$D$24:$H$24,(1+$B17)^(-DCF!$D$36:$H$36))+DCF!$H$24*(1+G$16)/($B17-G$16)*(1+$B17)^(-DCF!$H$35)+WACC!$C$29)/WACC!$C$17)/WACC!$C$14-1</f>
        <v>-0.388054637746564</v>
      </c>
    </row>
    <row r="18" customFormat="false" ht="15" hidden="false" customHeight="true" outlineLevel="0" collapsed="false">
      <c r="B18" s="75" t="n">
        <f aca="false">WACC!$C$33+(-1)*$C$3</f>
        <v>0.0941818521510427</v>
      </c>
      <c r="C18" s="46" t="n">
        <f aca="false">((SUMPRODUCT(DCF!$D$24:$H$24,(1+$B18)^(-DCF!$D$36:$H$36))+DCF!$H$24*(1+C$16)/($B18-C$16)*(1+$B18)^(-DCF!$H$35)+WACC!$C$29)/WACC!$C$17)/WACC!$C$14-1</f>
        <v>-0.562767897998933</v>
      </c>
      <c r="D18" s="46" t="n">
        <f aca="false">((SUMPRODUCT(DCF!$D$24:$H$24,(1+$B18)^(-DCF!$D$36:$H$36))+DCF!$H$24*(1+D$16)/($B18-D$16)*(1+$B18)^(-DCF!$H$35)+WACC!$C$29)/WACC!$C$17)/WACC!$C$14-1</f>
        <v>-0.539328364415719</v>
      </c>
      <c r="E18" s="46" t="n">
        <f aca="false">((SUMPRODUCT(DCF!$D$24:$H$24,(1+$B18)^(-DCF!$D$36:$H$36))+DCF!$H$24*(1+E$16)/($B18-E$16)*(1+$B18)^(-DCF!$H$35)+WACC!$C$29)/WACC!$C$17)/WACC!$C$14-1</f>
        <v>-0.512236780790688</v>
      </c>
      <c r="F18" s="46" t="n">
        <f aca="false">((SUMPRODUCT(DCF!$D$24:$H$24,(1+$B18)^(-DCF!$D$36:$H$36))+DCF!$H$24*(1+F$16)/($B18-F$16)*(1+$B18)^(-DCF!$H$35)+WACC!$C$29)/WACC!$C$17)/WACC!$C$14-1</f>
        <v>-0.48056751285191</v>
      </c>
      <c r="G18" s="46" t="n">
        <f aca="false">((SUMPRODUCT(DCF!$D$24:$H$24,(1+$B18)^(-DCF!$D$36:$H$36))+DCF!$H$24*(1+G$16)/($B18-G$16)*(1+$B18)^(-DCF!$H$35)+WACC!$C$29)/WACC!$C$17)/WACC!$C$14-1</f>
        <v>-0.443053249461427</v>
      </c>
    </row>
    <row r="19" customFormat="false" ht="15" hidden="false" customHeight="true" outlineLevel="0" collapsed="false">
      <c r="B19" s="75" t="n">
        <f aca="false">WACC!$C$33+(0)*$C$3</f>
        <v>0.0991818521510427</v>
      </c>
      <c r="C19" s="46" t="n">
        <f aca="false">((SUMPRODUCT(DCF!$D$24:$H$24,(1+$B19)^(-DCF!$D$36:$H$36))+DCF!$H$24*(1+C$16)/($B19-C$16)*(1+$B19)^(-DCF!$H$35)+WACC!$C$29)/WACC!$C$17)/WACC!$C$14-1</f>
        <v>-0.58955840434174</v>
      </c>
      <c r="D19" s="46" t="n">
        <f aca="false">((SUMPRODUCT(DCF!$D$24:$H$24,(1+$B19)^(-DCF!$D$36:$H$36))+DCF!$H$24*(1+D$16)/($B19-D$16)*(1+$B19)^(-DCF!$H$35)+WACC!$C$29)/WACC!$C$17)/WACC!$C$14-1</f>
        <v>-0.569447108723131</v>
      </c>
      <c r="E19" s="78" t="n">
        <f aca="false">((SUMPRODUCT(DCF!$D$24:$H$24,(1+$B19)^(-DCF!$D$36:$H$36))+DCF!$H$24*(1+E$16)/($B19-E$16)*(1+$B19)^(-DCF!$H$35)+WACC!$C$29)/WACC!$C$17)/WACC!$C$14-1</f>
        <v>-0.546428794140256</v>
      </c>
      <c r="F19" s="46" t="n">
        <f aca="false">((SUMPRODUCT(DCF!$D$24:$H$24,(1+$B19)^(-DCF!$D$36:$H$36))+DCF!$H$24*(1+F$16)/($B19-F$16)*(1+$B19)^(-DCF!$H$35)+WACC!$C$29)/WACC!$C$17)/WACC!$C$14-1</f>
        <v>-0.519824058503545</v>
      </c>
      <c r="G19" s="46" t="n">
        <f aca="false">((SUMPRODUCT(DCF!$D$24:$H$24,(1+$B19)^(-DCF!$D$36:$H$36))+DCF!$H$24*(1+G$16)/($B19-G$16)*(1+$B19)^(-DCF!$H$35)+WACC!$C$29)/WACC!$C$17)/WACC!$C$14-1</f>
        <v>-0.488723901606814</v>
      </c>
    </row>
    <row r="20" customFormat="false" ht="15" hidden="false" customHeight="true" outlineLevel="0" collapsed="false">
      <c r="B20" s="75" t="n">
        <f aca="false">WACC!$C$33+(1)*$C$3</f>
        <v>0.104181852151043</v>
      </c>
      <c r="C20" s="46" t="n">
        <f aca="false">((SUMPRODUCT(DCF!$D$24:$H$24,(1+$B20)^(-DCF!$D$36:$H$36))+DCF!$H$24*(1+C$16)/($B20-C$16)*(1+$B20)^(-DCF!$H$35)+WACC!$C$29)/WACC!$C$17)/WACC!$C$14-1</f>
        <v>-0.613140119023813</v>
      </c>
      <c r="D20" s="46" t="n">
        <f aca="false">((SUMPRODUCT(DCF!$D$24:$H$24,(1+$B20)^(-DCF!$D$36:$H$36))+DCF!$H$24*(1+D$16)/($B20-D$16)*(1+$B20)^(-DCF!$H$35)+WACC!$C$29)/WACC!$C$17)/WACC!$C$14-1</f>
        <v>-0.595734897943853</v>
      </c>
      <c r="E20" s="46" t="n">
        <f aca="false">((SUMPRODUCT(DCF!$D$24:$H$24,(1+$B20)^(-DCF!$D$36:$H$36))+DCF!$H$24*(1+E$16)/($B20-E$16)*(1+$B20)^(-DCF!$H$35)+WACC!$C$29)/WACC!$C$17)/WACC!$C$14-1</f>
        <v>-0.575983385880956</v>
      </c>
      <c r="F20" s="46" t="n">
        <f aca="false">((SUMPRODUCT(DCF!$D$24:$H$24,(1+$B20)^(-DCF!$D$36:$H$36))+DCF!$H$24*(1+F$16)/($B20-F$16)*(1+$B20)^(-DCF!$H$35)+WACC!$C$29)/WACC!$C$17)/WACC!$C$14-1</f>
        <v>-0.553376860335654</v>
      </c>
      <c r="G20" s="46" t="n">
        <f aca="false">((SUMPRODUCT(DCF!$D$24:$H$24,(1+$B20)^(-DCF!$D$36:$H$36))+DCF!$H$24*(1+G$16)/($B20-G$16)*(1+$B20)^(-DCF!$H$35)+WACC!$C$29)/WACC!$C$17)/WACC!$C$14-1</f>
        <v>-0.527248073467618</v>
      </c>
    </row>
    <row r="21" customFormat="false" ht="15" hidden="false" customHeight="true" outlineLevel="0" collapsed="false">
      <c r="B21" s="75" t="n">
        <f aca="false">WACC!$C$33+(2)*$C$3</f>
        <v>0.109181852151043</v>
      </c>
      <c r="C21" s="46" t="n">
        <f aca="false">((SUMPRODUCT(DCF!$D$24:$H$24,(1+$B21)^(-DCF!$D$36:$H$36))+DCF!$H$24*(1+C$16)/($B21-C$16)*(1+$B21)^(-DCF!$H$35)+WACC!$C$29)/WACC!$C$17)/WACC!$C$14-1</f>
        <v>-0.634053784211923</v>
      </c>
      <c r="D21" s="46" t="n">
        <f aca="false">((SUMPRODUCT(DCF!$D$24:$H$24,(1+$B21)^(-DCF!$D$36:$H$36))+DCF!$H$24*(1+D$16)/($B21-D$16)*(1+$B21)^(-DCF!$H$35)+WACC!$C$29)/WACC!$C$17)/WACC!$C$14-1</f>
        <v>-0.618875438825651</v>
      </c>
      <c r="E21" s="46" t="n">
        <f aca="false">((SUMPRODUCT(DCF!$D$24:$H$24,(1+$B21)^(-DCF!$D$36:$H$36))+DCF!$H$24*(1+E$16)/($B21-E$16)*(1+$B21)^(-DCF!$H$35)+WACC!$C$29)/WACC!$C$17)/WACC!$C$14-1</f>
        <v>-0.601780196451756</v>
      </c>
      <c r="F21" s="46" t="n">
        <f aca="false">((SUMPRODUCT(DCF!$D$24:$H$24,(1+$B21)^(-DCF!$D$36:$H$36))+DCF!$H$24*(1+F$16)/($B21-F$16)*(1+$B21)^(-DCF!$H$35)+WACC!$C$29)/WACC!$C$17)/WACC!$C$14-1</f>
        <v>-0.582380449420969</v>
      </c>
      <c r="G21" s="46" t="n">
        <f aca="false">((SUMPRODUCT(DCF!$D$24:$H$24,(1+$B21)^(-DCF!$D$36:$H$36))+DCF!$H$24*(1+G$16)/($B21-G$16)*(1+$B21)^(-DCF!$H$35)+WACC!$C$29)/WACC!$C$17)/WACC!$C$14-1</f>
        <v>-0.560176535339488</v>
      </c>
    </row>
    <row r="23" customFormat="false" ht="15" hidden="false" customHeight="true" outlineLevel="0" collapsed="false">
      <c r="A23" s="28" t="s">
        <v>281</v>
      </c>
    </row>
    <row r="24" customFormat="false" ht="15" hidden="false" customHeight="true" outlineLevel="0" collapsed="false">
      <c r="B24" s="59" t="s">
        <v>282</v>
      </c>
      <c r="C24" s="79" t="n">
        <f aca="false">DCF!$C$32+(-2)*$C$5</f>
        <v>16</v>
      </c>
      <c r="D24" s="79" t="n">
        <f aca="false">DCF!$C$32+(-1)*$C$5</f>
        <v>18</v>
      </c>
      <c r="E24" s="79" t="n">
        <f aca="false">DCF!$C$32+(0)*$C$5</f>
        <v>20</v>
      </c>
      <c r="F24" s="79" t="n">
        <f aca="false">DCF!$C$32+(1)*$C$5</f>
        <v>22</v>
      </c>
      <c r="G24" s="79" t="n">
        <f aca="false">DCF!$C$32+(2)*$C$5</f>
        <v>24</v>
      </c>
    </row>
    <row r="25" customFormat="false" ht="15" hidden="false" customHeight="true" outlineLevel="0" collapsed="false">
      <c r="B25" s="75" t="n">
        <f aca="false">WACC!$C$33+(-2)*$C$3</f>
        <v>0.0891818521510427</v>
      </c>
      <c r="C25" s="76" t="n">
        <f aca="false">(SUMPRODUCT(DCF!$D$24:$H$24,(1+$B25)^(-DCF!$D$36:$H$36))+DCF!$H$26*C$24*(1+$B25)^(-DCF!$H$35)+WACC!$C$29)/WACC!$C$17</f>
        <v>203.906643253699</v>
      </c>
      <c r="D25" s="76" t="n">
        <f aca="false">(SUMPRODUCT(DCF!$D$24:$H$24,(1+$B25)^(-DCF!$D$36:$H$36))+DCF!$H$26*D$24*(1+$B25)^(-DCF!$H$35)+WACC!$C$29)/WACC!$C$17</f>
        <v>223.710878306802</v>
      </c>
      <c r="E25" s="76" t="n">
        <f aca="false">(SUMPRODUCT(DCF!$D$24:$H$24,(1+$B25)^(-DCF!$D$36:$H$36))+DCF!$H$26*E$24*(1+$B25)^(-DCF!$H$35)+WACC!$C$29)/WACC!$C$17</f>
        <v>243.515113359905</v>
      </c>
      <c r="F25" s="76" t="n">
        <f aca="false">(SUMPRODUCT(DCF!$D$24:$H$24,(1+$B25)^(-DCF!$D$36:$H$36))+DCF!$H$26*F$24*(1+$B25)^(-DCF!$H$35)+WACC!$C$29)/WACC!$C$17</f>
        <v>263.319348413007</v>
      </c>
      <c r="G25" s="76" t="n">
        <f aca="false">(SUMPRODUCT(DCF!$D$24:$H$24,(1+$B25)^(-DCF!$D$36:$H$36))+DCF!$H$26*G$24*(1+$B25)^(-DCF!$H$35)+WACC!$C$29)/WACC!$C$17</f>
        <v>283.12358346611</v>
      </c>
    </row>
    <row r="26" customFormat="false" ht="15" hidden="false" customHeight="true" outlineLevel="0" collapsed="false">
      <c r="B26" s="75" t="n">
        <f aca="false">WACC!$C$33+(-1)*$C$3</f>
        <v>0.0941818521510427</v>
      </c>
      <c r="C26" s="76" t="n">
        <f aca="false">(SUMPRODUCT(DCF!$D$24:$H$24,(1+$B26)^(-DCF!$D$36:$H$36))+DCF!$H$26*C$24*(1+$B26)^(-DCF!$H$35)+WACC!$C$29)/WACC!$C$17</f>
        <v>199.878267231818</v>
      </c>
      <c r="D26" s="76" t="n">
        <f aca="false">(SUMPRODUCT(DCF!$D$24:$H$24,(1+$B26)^(-DCF!$D$36:$H$36))+DCF!$H$26*D$24*(1+$B26)^(-DCF!$H$35)+WACC!$C$29)/WACC!$C$17</f>
        <v>219.236131778897</v>
      </c>
      <c r="E26" s="76" t="n">
        <f aca="false">(SUMPRODUCT(DCF!$D$24:$H$24,(1+$B26)^(-DCF!$D$36:$H$36))+DCF!$H$26*E$24*(1+$B26)^(-DCF!$H$35)+WACC!$C$29)/WACC!$C$17</f>
        <v>238.593996325977</v>
      </c>
      <c r="F26" s="76" t="n">
        <f aca="false">(SUMPRODUCT(DCF!$D$24:$H$24,(1+$B26)^(-DCF!$D$36:$H$36))+DCF!$H$26*F$24*(1+$B26)^(-DCF!$H$35)+WACC!$C$29)/WACC!$C$17</f>
        <v>257.951860873057</v>
      </c>
      <c r="G26" s="76" t="n">
        <f aca="false">(SUMPRODUCT(DCF!$D$24:$H$24,(1+$B26)^(-DCF!$D$36:$H$36))+DCF!$H$26*G$24*(1+$B26)^(-DCF!$H$35)+WACC!$C$29)/WACC!$C$17</f>
        <v>277.309725420136</v>
      </c>
    </row>
    <row r="27" customFormat="false" ht="15" hidden="false" customHeight="true" outlineLevel="0" collapsed="false">
      <c r="B27" s="75" t="n">
        <f aca="false">WACC!$C$33+(0)*$C$3</f>
        <v>0.0991818521510427</v>
      </c>
      <c r="C27" s="76" t="n">
        <f aca="false">(SUMPRODUCT(DCF!$D$24:$H$24,(1+$B27)^(-DCF!$D$36:$H$36))+DCF!$H$26*C$24*(1+$B27)^(-DCF!$H$35)+WACC!$C$29)/WACC!$C$17</f>
        <v>195.954904778092</v>
      </c>
      <c r="D27" s="76" t="n">
        <f aca="false">(SUMPRODUCT(DCF!$D$24:$H$24,(1+$B27)^(-DCF!$D$36:$H$36))+DCF!$H$26*D$24*(1+$B27)^(-DCF!$H$35)+WACC!$C$29)/WACC!$C$17</f>
        <v>214.878426375618</v>
      </c>
      <c r="E27" s="77" t="n">
        <f aca="false">(SUMPRODUCT(DCF!$D$24:$H$24,(1+$B27)^(-DCF!$D$36:$H$36))+DCF!$H$26*E$24*(1+$B27)^(-DCF!$H$35)+WACC!$C$29)/WACC!$C$17</f>
        <v>233.801947973144</v>
      </c>
      <c r="F27" s="76" t="n">
        <f aca="false">(SUMPRODUCT(DCF!$D$24:$H$24,(1+$B27)^(-DCF!$D$36:$H$36))+DCF!$H$26*F$24*(1+$B27)^(-DCF!$H$35)+WACC!$C$29)/WACC!$C$17</f>
        <v>252.725469570669</v>
      </c>
      <c r="G27" s="76" t="n">
        <f aca="false">(SUMPRODUCT(DCF!$D$24:$H$24,(1+$B27)^(-DCF!$D$36:$H$36))+DCF!$H$26*G$24*(1+$B27)^(-DCF!$H$35)+WACC!$C$29)/WACC!$C$17</f>
        <v>271.648991168195</v>
      </c>
    </row>
    <row r="28" customFormat="false" ht="15" hidden="false" customHeight="true" outlineLevel="0" collapsed="false">
      <c r="B28" s="75" t="n">
        <f aca="false">WACC!$C$33+(1)*$C$3</f>
        <v>0.104181852151043</v>
      </c>
      <c r="C28" s="76" t="n">
        <f aca="false">(SUMPRODUCT(DCF!$D$24:$H$24,(1+$B28)^(-DCF!$D$36:$H$36))+DCF!$H$26*C$24*(1+$B28)^(-DCF!$H$35)+WACC!$C$29)/WACC!$C$17</f>
        <v>192.133322735282</v>
      </c>
      <c r="D28" s="76" t="n">
        <f aca="false">(SUMPRODUCT(DCF!$D$24:$H$24,(1+$B28)^(-DCF!$D$36:$H$36))+DCF!$H$26*D$24*(1+$B28)^(-DCF!$H$35)+WACC!$C$29)/WACC!$C$17</f>
        <v>210.634152336304</v>
      </c>
      <c r="E28" s="76" t="n">
        <f aca="false">(SUMPRODUCT(DCF!$D$24:$H$24,(1+$B28)^(-DCF!$D$36:$H$36))+DCF!$H$26*E$24*(1+$B28)^(-DCF!$H$35)+WACC!$C$29)/WACC!$C$17</f>
        <v>229.134981937327</v>
      </c>
      <c r="F28" s="76" t="n">
        <f aca="false">(SUMPRODUCT(DCF!$D$24:$H$24,(1+$B28)^(-DCF!$D$36:$H$36))+DCF!$H$26*F$24*(1+$B28)^(-DCF!$H$35)+WACC!$C$29)/WACC!$C$17</f>
        <v>247.63581153835</v>
      </c>
      <c r="G28" s="76" t="n">
        <f aca="false">(SUMPRODUCT(DCF!$D$24:$H$24,(1+$B28)^(-DCF!$D$36:$H$36))+DCF!$H$26*G$24*(1+$B28)^(-DCF!$H$35)+WACC!$C$29)/WACC!$C$17</f>
        <v>266.136641139373</v>
      </c>
    </row>
    <row r="29" customFormat="false" ht="15" hidden="false" customHeight="true" outlineLevel="0" collapsed="false">
      <c r="B29" s="75" t="n">
        <f aca="false">WACC!$C$33+(2)*$C$3</f>
        <v>0.109181852151043</v>
      </c>
      <c r="C29" s="76" t="n">
        <f aca="false">(SUMPRODUCT(DCF!$D$24:$H$24,(1+$B29)^(-DCF!$D$36:$H$36))+DCF!$H$26*C$24*(1+$B29)^(-DCF!$H$35)+WACC!$C$29)/WACC!$C$17</f>
        <v>188.410401981763</v>
      </c>
      <c r="D29" s="76" t="n">
        <f aca="false">(SUMPRODUCT(DCF!$D$24:$H$24,(1+$B29)^(-DCF!$D$36:$H$36))+DCF!$H$26*D$24*(1+$B29)^(-DCF!$H$35)+WACC!$C$29)/WACC!$C$17</f>
        <v>206.499827357733</v>
      </c>
      <c r="E29" s="76" t="n">
        <f aca="false">(SUMPRODUCT(DCF!$D$24:$H$24,(1+$B29)^(-DCF!$D$36:$H$36))+DCF!$H$26*E$24*(1+$B29)^(-DCF!$H$35)+WACC!$C$29)/WACC!$C$17</f>
        <v>224.589252733702</v>
      </c>
      <c r="F29" s="76" t="n">
        <f aca="false">(SUMPRODUCT(DCF!$D$24:$H$24,(1+$B29)^(-DCF!$D$36:$H$36))+DCF!$H$26*F$24*(1+$B29)^(-DCF!$H$35)+WACC!$C$29)/WACC!$C$17</f>
        <v>242.678678109672</v>
      </c>
      <c r="G29" s="76" t="n">
        <f aca="false">(SUMPRODUCT(DCF!$D$24:$H$24,(1+$B29)^(-DCF!$D$36:$H$36))+DCF!$H$26*G$24*(1+$B29)^(-DCF!$H$35)+WACC!$C$29)/WACC!$C$17</f>
        <v>260.768103485641</v>
      </c>
    </row>
    <row r="31" customFormat="false" ht="15" hidden="false" customHeight="true" outlineLevel="0" collapsed="false">
      <c r="A31" s="19" t="s">
        <v>283</v>
      </c>
    </row>
    <row r="32" customFormat="false" ht="15" hidden="false" customHeight="true" outlineLevel="0" collapsed="false">
      <c r="A32" s="22" t="s">
        <v>284</v>
      </c>
      <c r="C32" s="69" t="n">
        <f aca="false">E11-DCF!C51</f>
        <v>0</v>
      </c>
    </row>
    <row r="33" customFormat="false" ht="15" hidden="false" customHeight="true" outlineLevel="0" collapsed="false">
      <c r="A33" s="22" t="s">
        <v>285</v>
      </c>
      <c r="C33" s="69" t="n">
        <f aca="false">E27-DCF!D51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2026-10-05T01:33:45Z</dcterms:created>
  <dc:creator>Jung Ryul Lee</dc:creator>
  <dc:description/>
  <dc:language>en-US</dc:language>
  <cp:lastModifiedBy>Jung Ryul Lee</cp:lastModifiedBy>
  <dcterms:modified xsi:type="dcterms:W3CDTF">2026-10-19T06:15:31Z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