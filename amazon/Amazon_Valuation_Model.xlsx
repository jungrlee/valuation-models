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 Model" sheetId="3" state="visible" r:id="rId5"/>
    <sheet name="Comps" sheetId="4" state="visible" r:id="rId6"/>
    <sheet name="Residual Income" sheetId="5" state="visible" r:id="rId7"/>
    <sheet name="Sensitivity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Source: Amazon FY2025 10-K, net sales $716.924B</t>
        </r>
      </text>
    </comment>
    <comment ref="E7" authorId="0">
      <text>
        <r>
          <rPr>
            <sz val="10"/>
            <rFont val="Arial"/>
            <family val="2"/>
          </rPr>
          <t xml:space="preserve">Source: Amazon FY2025 10-K, operating income $79.975B</t>
        </r>
      </text>
    </comment>
    <comment ref="E8" authorId="0">
      <text>
        <r>
          <rPr>
            <sz val="10"/>
            <rFont val="Arial"/>
            <family val="2"/>
          </rPr>
          <t xml:space="preserve">Source: FY2025 10-K, OCF $139.5B</t>
        </r>
      </text>
    </comment>
    <comment ref="E9" authorId="0">
      <text>
        <r>
          <rPr>
            <sz val="10"/>
            <rFont val="Arial"/>
            <family val="2"/>
          </rPr>
          <t xml:space="preserve">Source: FY2025 10-K, purchases of P&amp;E net $173.0B</t>
        </r>
      </text>
    </comment>
    <comment ref="E10" authorId="0">
      <text>
        <r>
          <rPr>
            <sz val="10"/>
            <rFont val="Arial"/>
            <family val="2"/>
          </rPr>
          <t xml:space="preserve">Approx. from non-cash add-backs to net income, FY2025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Capex % steps down in a straight line from Assumptions C26 (year 1) to C27 (year 5).</t>
        </r>
      </text>
    </comment>
    <comment ref="C8" authorId="0">
      <text>
        <r>
          <rPr>
            <sz val="10"/>
            <rFont val="Arial"/>
            <family val="2"/>
          </rPr>
          <t xml:space="preserve">FY2025 actual operating income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Source: public comps ~2026 for Microsoft (MSFT)</t>
        </r>
      </text>
    </comment>
    <comment ref="C8" authorId="0">
      <text>
        <r>
          <rPr>
            <sz val="10"/>
            <rFont val="Arial"/>
            <family val="2"/>
          </rPr>
          <t xml:space="preserve">Source: public comps ~2026 for Alphabet (GOOGL)</t>
        </r>
      </text>
    </comment>
    <comment ref="C9" authorId="0">
      <text>
        <r>
          <rPr>
            <sz val="10"/>
            <rFont val="Arial"/>
            <family val="2"/>
          </rPr>
          <t xml:space="preserve">Source: public comps ~2026 for Meta Platforms (META)</t>
        </r>
      </text>
    </comment>
    <comment ref="D16" authorId="0">
      <text>
        <r>
          <rPr>
            <sz val="10"/>
            <rFont val="Arial"/>
            <family val="2"/>
          </rPr>
          <t xml:space="preserve">Amazon FY2025 net income $77.67B (10-K)</t>
        </r>
      </text>
    </comment>
    <comment ref="E23" authorId="0">
      <text>
        <r>
          <rPr>
            <sz val="10"/>
            <rFont val="Arial"/>
            <family val="2"/>
          </rPr>
          <t xml:space="preserve">Average of EV/EBITDA and P/E only. EV/Sales excluded: peers carry far higher margins, so their sales multiple overstates Amazon.</t>
        </r>
      </text>
    </comment>
  </commentList>
</comments>
</file>

<file path=xl/sharedStrings.xml><?xml version="1.0" encoding="utf-8"?>
<sst xmlns="http://schemas.openxmlformats.org/spreadsheetml/2006/main" count="277" uniqueCount="256">
  <si>
    <t xml:space="preserve">Amazon.com, Inc. (NASDAQ: AMZN) — valuation model</t>
  </si>
  <si>
    <t xml:space="preserve">Unlevered DCF, trading comparables and residual income, triangulated. Public information only. Not investment advice.</t>
  </si>
  <si>
    <t xml:space="preserve">Prepared by</t>
  </si>
  <si>
    <t xml:space="preserve">Jung Ryul Lee</t>
  </si>
  <si>
    <t xml:space="preserve">Data as of</t>
  </si>
  <si>
    <t xml:space="preserve">Market data 21 Aug 2026; financials FY2025 (Form 10-K)</t>
  </si>
  <si>
    <t xml:space="preserve">Units</t>
  </si>
  <si>
    <t xml:space="preserve">US$ millions except per share</t>
  </si>
  <si>
    <t xml:space="preserve">What this model does</t>
  </si>
  <si>
    <t xml:space="preserve">Five-year unlevered free cash flow DCF (FY2026E–FY2030E) with a Gordon terminal value and an exit-multiple cross-check.</t>
  </si>
  <si>
    <t xml:space="preserve">Relative valuation on EV/EBITDA and P/E for Microsoft, Alphabet and Meta.</t>
  </si>
  <si>
    <t xml:space="preserve">Residual income model anchored on FY2025 book equity, as a check on terminal-value dependence.</t>
  </si>
  <si>
    <t xml:space="preserve">Key outputs (live links)</t>
  </si>
  <si>
    <t xml:space="preserve">DCF value per share ($)</t>
  </si>
  <si>
    <t xml:space="preserve">Comparables, average ($)</t>
  </si>
  <si>
    <t xml:space="preserve">Residual income ($)</t>
  </si>
  <si>
    <t xml:space="preserve">Share price, 21 Aug 2026 ($)</t>
  </si>
  <si>
    <t xml:space="preserve">DCF upside / (downside)</t>
  </si>
  <si>
    <t xml:space="preserve">WACC</t>
  </si>
  <si>
    <t xml:space="preserve">Market-implied perpetuity growth (reverse DCF)</t>
  </si>
  <si>
    <t xml:space="preserve">Terminal value share of DCF EV</t>
  </si>
  <si>
    <t xml:space="preserve">EV, exit-multiple method ($mn)</t>
  </si>
  <si>
    <t xml:space="preserve">Sensitivity check (should read OK)</t>
  </si>
  <si>
    <t xml:space="preserve">Contents</t>
  </si>
  <si>
    <t xml:space="preserve">Assumptions</t>
  </si>
  <si>
    <t xml:space="preserve">Base-year actuals, forecast drivers, WACC inputs, equity bridge, share price</t>
  </si>
  <si>
    <t xml:space="preserve">DCF Model</t>
  </si>
  <si>
    <t xml:space="preserve">FCFF build, terminal value, equity bridge, exit-multiple cross-check, reverse DCF</t>
  </si>
  <si>
    <t xml:space="preserve">Comps</t>
  </si>
  <si>
    <t xml:space="preserve">Peer multiples applied to Amazon's FY2025 EBITDA and net income</t>
  </si>
  <si>
    <t xml:space="preserve">Residual Income</t>
  </si>
  <si>
    <t xml:space="preserve">Book equity plus PV of excess returns</t>
  </si>
  <si>
    <t xml:space="preserve">Sensitivity</t>
  </si>
  <si>
    <t xml:space="preserve">Value per share and upside across WACC and terminal growth</t>
  </si>
  <si>
    <t xml:space="preserve">Summary</t>
  </si>
  <si>
    <t xml:space="preserve">Triangulation: low / median / high and upside vs. price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</si>
  <si>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</si>
  <si>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</si>
  <si>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</si>
  <si>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</si>
  <si>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</si>
  <si>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</si>
  <si>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</si>
  <si>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Heavy AI/data-centre capex (20% of revenue in year 1, stepping down to 11.5%) depresses near-term FCF; the terminal value is ~90% of EV, so the DCF is very sensitive to WACC and g.</t>
  </si>
  <si>
    <t xml:space="preserve">• The exit-multiple cross-check (15x EBITDA) implies roughly twice the Gordon EV: the market is pricing higher long-run cash generation than the base case.</t>
  </si>
  <si>
    <t xml:space="preserve">• End-of-year discounting from the valuation date; no stub-period adjustment for FY2026 cash flows already earned.</t>
  </si>
  <si>
    <t xml:space="preserve">• Debt excludes lease liabilities (lease costs are inside EBIT). Peer multiples are approximate.</t>
  </si>
  <si>
    <t xml:space="preserve">Review log (changes in this published version)</t>
  </si>
  <si>
    <t xml:space="preserve">• Base-year EBIT on the DCF sheet now links to Assumptions (was typed in).</t>
  </si>
  <si>
    <t xml:space="preserve">• Capex schedule now driven by Assumptions C26–C27 (was typed into each formula; terminal input was unused).</t>
  </si>
  <si>
    <t xml:space="preserve">• Sensitivity tables rebuilt: headers centred on live WACC and g, formulas reference the headers, check cell added.</t>
  </si>
  <si>
    <t xml:space="preserve">• Added share price and valuation date; risk-free rate updated to the 21 Aug 2026 10-yr yield (was 4.3% approx.).</t>
  </si>
  <si>
    <t xml:space="preserve">• Added a reverse DCF (market-implied growth and exit multiple).</t>
  </si>
  <si>
    <t xml:space="preserve">• Residual income: opening book equity corrected to $411.1bn per the FY2025 10-K (was ~$300bn).</t>
  </si>
  <si>
    <t xml:space="preserve">Sources</t>
  </si>
  <si>
    <t xml:space="preserve">Amazon FY2025 Form 10-K</t>
  </si>
  <si>
    <t xml:space="preserve">https://www.sec.gov/Archives/edgar/data/1018724/000101872426000004/amzn-20251231.htm</t>
  </si>
  <si>
    <t xml:space="preserve">AMZN price history</t>
  </si>
  <si>
    <t xml:space="preserve">https://stockanalysis.com/stocks/amzn/history/</t>
  </si>
  <si>
    <t xml:space="preserve">US 10-yr Treasury yield</t>
  </si>
  <si>
    <t xml:space="preserve">https://fred.stlouisfed.org/series/DGS10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</si>
  <si>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</si>
  <si>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</si>
  <si>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AMAZON.COM, INC. (NASDAQ: AMZN) — DCF ASSUMPTIONS &amp; DRIVERS</t>
  </si>
  <si>
    <t xml:space="preserve">All figures in US$ millions unless noted. Base year = FY2025 actuals (Form 10-K). Market data as of 21 Aug 2026.</t>
  </si>
  <si>
    <t xml:space="preserve">HISTORICAL / BASE YEAR (FY2025 actuals)</t>
  </si>
  <si>
    <t xml:space="preserve">Net sales (revenue)</t>
  </si>
  <si>
    <t xml:space="preserve">Operating income (EBIT)</t>
  </si>
  <si>
    <t xml:space="preserve">Cash flow from operations</t>
  </si>
  <si>
    <t xml:space="preserve">Capital expenditures (net)</t>
  </si>
  <si>
    <t xml:space="preserve">Depreciation &amp; amortization</t>
  </si>
  <si>
    <t xml:space="preserve">PROJECTION DRIVERS (Years 1–5, then terminal)</t>
  </si>
  <si>
    <t xml:space="preserve">Driver</t>
  </si>
  <si>
    <t xml:space="preserve">Value</t>
  </si>
  <si>
    <t xml:space="preserve">Unit/Note</t>
  </si>
  <si>
    <t xml:space="preserve">Revenue growth — Year 1</t>
  </si>
  <si>
    <t xml:space="preserve">% ; consensus ~11-15% guide</t>
  </si>
  <si>
    <t xml:space="preserve">Revenue growth — Year 2</t>
  </si>
  <si>
    <t xml:space="preserve">%</t>
  </si>
  <si>
    <t xml:space="preserve">Revenue growth — Year 3</t>
  </si>
  <si>
    <t xml:space="preserve">Revenue growth — Year 4</t>
  </si>
  <si>
    <t xml:space="preserve">Revenue growth — Year 5</t>
  </si>
  <si>
    <t xml:space="preserve">EBIT margin — Year 1</t>
  </si>
  <si>
    <t xml:space="preserve">% ; expanding from 11.2%</t>
  </si>
  <si>
    <t xml:space="preserve">EBIT margin — Year 2</t>
  </si>
  <si>
    <t xml:space="preserve">EBIT margin — Year 3</t>
  </si>
  <si>
    <t xml:space="preserve">EBIT margin — Year 4</t>
  </si>
  <si>
    <t xml:space="preserve">EBIT margin — Year 5</t>
  </si>
  <si>
    <t xml:space="preserve">Tax rate (effective)</t>
  </si>
  <si>
    <t xml:space="preserve">% ; 2025 Tax Act lowered cash taxes</t>
  </si>
  <si>
    <t xml:space="preserve">D&amp;A as % of revenue</t>
  </si>
  <si>
    <t xml:space="preserve">Capex as % of revenue — Year 1</t>
  </si>
  <si>
    <t xml:space="preserve">% ; peak AI / data-centre build-out (FY2025 actual 24%)</t>
  </si>
  <si>
    <t xml:space="preserve">Capex as % of revenue — Year 5 (straight-line step-down)</t>
  </si>
  <si>
    <t xml:space="preserve">% ; normalises as the build-out matures; also used in the terminal year</t>
  </si>
  <si>
    <t xml:space="preserve">Chg. in NWC as % of ΔRevenue</t>
  </si>
  <si>
    <t xml:space="preserve">% ; negative WC (float) is a source of cash</t>
  </si>
  <si>
    <t xml:space="preserve">WACC &amp; TERMINAL VALUE INPUTS</t>
  </si>
  <si>
    <t xml:space="preserve">Input</t>
  </si>
  <si>
    <t xml:space="preserve">Note</t>
  </si>
  <si>
    <t xml:space="preserve">Risk-free rate</t>
  </si>
  <si>
    <t xml:space="preserve">US 10-yr Treasury (CMT) 4.74%, 21 Aug 2026</t>
  </si>
  <si>
    <t xml:space="preserve">Equity risk premium</t>
  </si>
  <si>
    <t xml:space="preserve">Market ERP assumption</t>
  </si>
  <si>
    <t xml:space="preserve">Beta (levered)</t>
  </si>
  <si>
    <t xml:space="preserve">AMZN ~1.1-1.2</t>
  </si>
  <si>
    <t xml:space="preserve">Pre-tax cost of debt</t>
  </si>
  <si>
    <t xml:space="preserve">Blend of senior notes yield</t>
  </si>
  <si>
    <t xml:space="preserve">Weight of equity (E/V)</t>
  </si>
  <si>
    <t xml:space="preserve">Market-cap heavy structure</t>
  </si>
  <si>
    <t xml:space="preserve">Weight of debt (D/V)</t>
  </si>
  <si>
    <t xml:space="preserve">1 - E/V</t>
  </si>
  <si>
    <t xml:space="preserve">Terminal growth rate (g)</t>
  </si>
  <si>
    <t xml:space="preserve">Long-run nominal GDP-ish</t>
  </si>
  <si>
    <t xml:space="preserve">Exit EV/EBITDA (alt. TV method)</t>
  </si>
  <si>
    <t xml:space="preserve">Cross-check multiple</t>
  </si>
  <si>
    <t xml:space="preserve">COST OF CAPITAL (computed)</t>
  </si>
  <si>
    <t xml:space="preserve">Cost of equity  (Ke = Rf + β·ERP)</t>
  </si>
  <si>
    <t xml:space="preserve">After-tax cost of debt  (Kd·(1-t))</t>
  </si>
  <si>
    <t xml:space="preserve">NET DEBT &amp; SHARES (equity bridge)</t>
  </si>
  <si>
    <t xml:space="preserve">Total debt</t>
  </si>
  <si>
    <t xml:space="preserve">FY2025 long-term debt ~$89.3B, excl. lease liabilities (leases sit in EBIT)</t>
  </si>
  <si>
    <t xml:space="preserve">Cash, equiv. &amp; marketable securities</t>
  </si>
  <si>
    <t xml:space="preserve">FY2025 ~$123.0B</t>
  </si>
  <si>
    <t xml:space="preserve">Diluted shares outstanding (mm)</t>
  </si>
  <si>
    <t xml:space="preserve">~11.0B shares incl. awards</t>
  </si>
  <si>
    <t xml:space="preserve">Share price ($), 21 Aug 2026 close</t>
  </si>
  <si>
    <t xml:space="preserve">Nasdaq close (stockanalysis.com price history)</t>
  </si>
  <si>
    <t xml:space="preserve">Valuation date</t>
  </si>
  <si>
    <t xml:space="preserve">AMAZON — DISCOUNTED CASH FLOW (UNLEVERED FCF)</t>
  </si>
  <si>
    <t xml:space="preserve">US$ millions. FCFF = EBIT·(1-tax) + D&amp;A − Capex − ΔNWC. Discounted at WACC.</t>
  </si>
  <si>
    <t xml:space="preserve">($ millions)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</si>
  <si>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</si>
  <si>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</si>
  <si>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</si>
  <si>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</si>
  <si>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</si>
  <si>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</si>
  <si>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</t>
  </si>
  <si>
    <t xml:space="preserve">  % growth</t>
  </si>
  <si>
    <t xml:space="preserve">EBIT (operating income)</t>
  </si>
  <si>
    <t xml:space="preserve">  EBIT margin</t>
  </si>
  <si>
    <t xml:space="preserve">Less: taxes on EBIT</t>
  </si>
  <si>
    <t xml:space="preserve">NOPAT (EBIT after tax)</t>
  </si>
  <si>
    <t xml:space="preserve">Add: depreciation &amp; amortization</t>
  </si>
  <si>
    <t xml:space="preserve">Less: capital expenditures</t>
  </si>
  <si>
    <t xml:space="preserve">Less: change in net working capital</t>
  </si>
  <si>
    <t xml:space="preserve">Unlevered Free Cash Flow (FCFF)</t>
  </si>
  <si>
    <t xml:space="preserve">Discount period (t)</t>
  </si>
  <si>
    <t xml:space="preserve">Discount factor  1/(1+WACC)^t</t>
  </si>
  <si>
    <t xml:space="preserve">PV of FCFF</t>
  </si>
  <si>
    <t xml:space="preserve">TERMINAL VALUE &amp; ENTERPRISE / EQUITY VALUE</t>
  </si>
  <si>
    <t xml:space="preserve">Sum of PV of explicit FCFF (Yr1–5)</t>
  </si>
  <si>
    <t xml:space="preserve">Terminal value  (Gordon: FCFF₅·(1+g)/(WACC−g))</t>
  </si>
  <si>
    <t xml:space="preserve">PV of terminal value</t>
  </si>
  <si>
    <t xml:space="preserve">Enterprise Value (EV)</t>
  </si>
  <si>
    <t xml:space="preserve">  TV as % of EV</t>
  </si>
  <si>
    <t xml:space="preserve">Less: total debt</t>
  </si>
  <si>
    <t xml:space="preserve">Add: cash &amp; marketable securities</t>
  </si>
  <si>
    <t xml:space="preserve">Equity Value (NPV to shareholders)</t>
  </si>
  <si>
    <t xml:space="preserve">Implied value per share</t>
  </si>
  <si>
    <t xml:space="preserve">Upside / (downside) vs. share price</t>
  </si>
  <si>
    <t xml:space="preserve">CROSS-CHECK — EXIT MULTIPLE TERMINAL VALUE</t>
  </si>
  <si>
    <t xml:space="preserve">Terminal EBITDA (Yr5 EBIT + D&amp;A)</t>
  </si>
  <si>
    <t xml:space="preserve">× Exit EV/EBITDA multiple</t>
  </si>
  <si>
    <t xml:space="preserve">Terminal value (exit multiple)</t>
  </si>
  <si>
    <t xml:space="preserve">PV of terminal value (exit)</t>
  </si>
  <si>
    <t xml:space="preserve">Implied EV (exit-multiple method)</t>
  </si>
  <si>
    <t xml:space="preserve">REVERSE DCF — WHAT THE SHARE PRICE IMPLIES</t>
  </si>
  <si>
    <t xml:space="preserve">Market enterprise value (price × shares + debt − cash)</t>
  </si>
  <si>
    <t xml:space="preserve">Required PV of terminal value</t>
  </si>
  <si>
    <t xml:space="preserve">Required terminal value at year 5</t>
  </si>
  <si>
    <t xml:space="preserve">Market-implied perpetuity growth (at this WACC)</t>
  </si>
  <si>
    <t xml:space="preserve">Market-implied EV / year-5 EBITDA</t>
  </si>
  <si>
    <t xml:space="preserve">AMAZON — RELATIVE VALUATION (COMPARABLE COMPANIES)</t>
  </si>
  <si>
    <t xml:space="preserve">US$ millions except per-share/multiples. Peer multiples are approximate, as of Aug 2026 (inputs, blue); applied to Amazon's FY2025 metrics.</t>
  </si>
  <si>
    <t xml:space="preserve">PEER TRADING MULTIPLES (current, approx.)</t>
  </si>
  <si>
    <t xml:space="preserve">Peer</t>
  </si>
  <si>
    <t xml:space="preserve">EV/EBITDA</t>
  </si>
  <si>
    <t xml:space="preserve">EV/Sales</t>
  </si>
  <si>
    <t xml:space="preserve">P/E</t>
  </si>
  <si>
    <t xml:space="preserve">Microsoft (MSFT)</t>
  </si>
  <si>
    <t xml:space="preserve">Alphabet (GOOGL)</t>
  </si>
  <si>
    <t xml:space="preserve">Meta Platforms (META)</t>
  </si>
  <si>
    <t xml:space="preserve">Median (peer set)</t>
  </si>
  <si>
    <t xml:space="preserve">AMAZON FY2025 METRICS (applied)</t>
  </si>
  <si>
    <t xml:space="preserve">Metric</t>
  </si>
  <si>
    <t xml:space="preserve">EBITDA (EBIT + D&amp;A)</t>
  </si>
  <si>
    <t xml:space="preserve">Revenue (net sales)</t>
  </si>
  <si>
    <t xml:space="preserve">Net income (FY2025 actual)</t>
  </si>
  <si>
    <t xml:space="preserve">IMPLIED VALUATION (peer median applied)</t>
  </si>
  <si>
    <t xml:space="preserve">Method</t>
  </si>
  <si>
    <t xml:space="preserve">Implied EV</t>
  </si>
  <si>
    <t xml:space="preserve">Implied Equity</t>
  </si>
  <si>
    <t xml:space="preserve">Per share</t>
  </si>
  <si>
    <t xml:space="preserve">EV/Sales (excl. from avg — margin mismatch)</t>
  </si>
  <si>
    <t xml:space="preserve">P/E (on net income)</t>
  </si>
  <si>
    <t xml:space="preserve">n/a</t>
  </si>
  <si>
    <t xml:space="preserve">Average implied value / share</t>
  </si>
  <si>
    <t xml:space="preserve">Note: comps capture what the market pays TODAY for peer earnings/EBITDA. Amazon's depressed near-term FCF (heavy AI capex) hurts a DCF but not an EBITDA multiple, so comps typically read higher than the DCF.</t>
  </si>
  <si>
    <t xml:space="preserve">AMAZON — RESIDUAL INCOME (RI) VALUATION</t>
  </si>
  <si>
    <t xml:space="preserve">Equity value = Book value of equity + PV of future residual income.  RI = Net income − (Cost of equity × Opening book equity).</t>
  </si>
  <si>
    <t xml:space="preserve">INPUTS</t>
  </si>
  <si>
    <t xml:space="preserve">Beginning book value of equity (FY2025)</t>
  </si>
  <si>
    <t xml:space="preserve">Total stockholders' equity, 31 Dec 2025 (Form 10-K)</t>
  </si>
  <si>
    <t xml:space="preserve">Net income — Year 1</t>
  </si>
  <si>
    <t xml:space="preserve">~FY2026E net income</t>
  </si>
  <si>
    <t xml:space="preserve">Net income growth (Yr2–5)</t>
  </si>
  <si>
    <t xml:space="preserve">Assumed NI growth</t>
  </si>
  <si>
    <t xml:space="preserve">Dividend/buyback payout ratio</t>
  </si>
  <si>
    <t xml:space="preserve">Share of NI returned; rest retained to book</t>
  </si>
  <si>
    <t xml:space="preserve">Terminal RI growth</t>
  </si>
  <si>
    <t xml:space="preserve">Long-run residual income growth</t>
  </si>
  <si>
    <t xml:space="preserve">Cost of equity (Ke, from Assumptions)</t>
  </si>
  <si>
    <t xml:space="preserve">Rf + beta*ERP</t>
  </si>
  <si>
    <t xml:space="preserve">RESIDUAL INCOME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</si>
  <si>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</si>
  <si>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</si>
  <si>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</si>
  <si>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</si>
  <si>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</si>
  <si>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Opening book equity</t>
  </si>
  <si>
    <t xml:space="preserve">Net income</t>
  </si>
  <si>
    <t xml:space="preserve">Less: equity charge (Ke × opening BV)</t>
  </si>
  <si>
    <t xml:space="preserve">Residual income (RI)</t>
  </si>
  <si>
    <t xml:space="preserve">Closing book equity</t>
  </si>
  <si>
    <t xml:space="preserve">Discount factor 1/(1+Ke)^t</t>
  </si>
  <si>
    <t xml:space="preserve">PV of RI</t>
  </si>
  <si>
    <t xml:space="preserve">EQUITY VALUE BUILD</t>
  </si>
  <si>
    <t xml:space="preserve">Beginning book value of equity</t>
  </si>
  <si>
    <t xml:space="preserve">Add: PV of explicit RI (Yr1–5)</t>
  </si>
  <si>
    <t xml:space="preserve">Add: PV of terminal RI  (RI₅·(1+g)/(Ke−g), discounted)</t>
  </si>
  <si>
    <t xml:space="preserve">Equity Value (RI method)</t>
  </si>
  <si>
    <t xml:space="preserve">Why RI helps: value is anchored on today's book equity, so far less of the answer sits in a distant terminal value than in the DCF (where TV was ~88% of EV). It's a useful check when capex/FCF timing distorts the DCF.</t>
  </si>
  <si>
    <t xml:space="preserve">SENSITIVITY — IMPLIED VALUE / SHARE (WACC × Terminal growth)</t>
  </si>
  <si>
    <t xml:space="preserve">Value per share ($) re-running the DCF at each WACC (rows) and terminal growth (columns). Centre cell = base case. Steps are inputs.</t>
  </si>
  <si>
    <t xml:space="preserve">WACC step</t>
  </si>
  <si>
    <t xml:space="preserve">g step</t>
  </si>
  <si>
    <t xml:space="preserve">WACC ↓ / g →</t>
  </si>
  <si>
    <t xml:space="preserve">Check: centre cell − DCF value per share</t>
  </si>
  <si>
    <t xml:space="preserve">AMAZON — VALUATION SUMMARY (TRIANGULATION)</t>
  </si>
  <si>
    <t xml:space="preserve">Implied value per share by method. No single number is 'right' — the range is the finding.</t>
  </si>
  <si>
    <t xml:space="preserve">Implied value / share</t>
  </si>
  <si>
    <t xml:space="preserve">Anchored on</t>
  </si>
  <si>
    <t xml:space="preserve">vs. price</t>
  </si>
  <si>
    <t xml:space="preserve">DCF (Gordon growth terminal)</t>
  </si>
  <si>
    <t xml:space="preserve">Future unlevered cash flows</t>
  </si>
  <si>
    <t xml:space="preserve">Comparable companies (avg)</t>
  </si>
  <si>
    <t xml:space="preserve">Peer trading multiples</t>
  </si>
  <si>
    <t xml:space="preserve">Residual income</t>
  </si>
  <si>
    <t xml:space="preserve">Book equity + excess returns</t>
  </si>
  <si>
    <t xml:space="preserve">Low</t>
  </si>
  <si>
    <t xml:space="preserve">Median</t>
  </si>
  <si>
    <t xml:space="preserve">High</t>
  </si>
  <si>
    <t xml:space="preserve">Share price, 21 Aug 2026</t>
  </si>
  <si>
    <t xml:space="preserve">Interpretation: DCF is the intrinsic anchor but leans heavily on terminal assumptions and near-term capex. Comps reflect what the market pays today for peers. Residual income reduces terminal-value dependence. A wide spread signals the valuation is sensitive to which lens you trust — tighten the blue inputs to narrow it.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</si>
</sst>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%;\(0.0%\);\-"/>
    <numFmt numFmtId="167" formatCode="#,##0"/>
    <numFmt numFmtId="168" formatCode="0.00;\(0.00\);&quot;OK&quot;"/>
    <numFmt numFmtId="169" formatCode="\$#,##0;&quot;($&quot;#,##0\);\-"/>
    <numFmt numFmtId="170" formatCode="0.0%"/>
    <numFmt numFmtId="171" formatCode="0.00"/>
    <numFmt numFmtId="172" formatCode="0.0\x"/>
    <numFmt numFmtId="173" formatCode="d\ mmm\ yyyy"/>
    <numFmt numFmtId="174" formatCode="0.000"/>
    <numFmt numFmtId="175" formatCode="\$#,##0.00;&quot;($&quot;#,##0.00\);\-"/>
    <numFmt numFmtId="176" formatCode="\$#,##0;&quot;($&quot;#,##0\)"/>
    <numFmt numFmtId="177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mazon_Valuation_Model.xlsx" TargetMode="External"/><Relationship Id="rId2" Type="http://schemas.openxmlformats.org/officeDocument/2006/relationships/hyperlink" Target="Amazon_Valuation_Model.xlsx" TargetMode="External"/><Relationship Id="rId3" Type="http://schemas.openxmlformats.org/officeDocument/2006/relationships/hyperlink" Target="Amazon_Valuation_Model.xlsx" TargetMode="External"/><Relationship Id="rId4" Type="http://schemas.openxmlformats.org/officeDocument/2006/relationships/hyperlink" Target="Amazon_Valuation_Model.xlsx" TargetMode="External"/><Relationship Id="rId5" Type="http://schemas.openxmlformats.org/officeDocument/2006/relationships/hyperlink" Target="Amazon_Valuation_Model.xlsx" TargetMode="External"/><Relationship Id="rId6" Type="http://schemas.openxmlformats.org/officeDocument/2006/relationships/hyperlink" Target="Amazon_Valuation_Model.xlsx" TargetMode="External"/><Relationship Id="rId7" Type="http://schemas.openxmlformats.org/officeDocument/2006/relationships/hyperlink" Target="https://www.sec.gov/Archives/edgar/data/1018724/000101872426000004/amzn-20251231.htm" TargetMode="External"/><Relationship Id="rId8" Type="http://schemas.openxmlformats.org/officeDocument/2006/relationships/hyperlink" Target="https://stockanalysis.com/stocks/amzn/history/" TargetMode="External"/><Relationship Id="rId9" Type="http://schemas.openxmlformats.org/officeDocument/2006/relationships/hyperlink" Target="https://fred.stlouisfed.org/series/DGS10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0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'DCF Model'!E30</f>
        <v>119.00948036744</v>
      </c>
    </row>
    <row r="15" customFormat="false" ht="15" hidden="false" customHeight="false" outlineLevel="0" collapsed="false">
      <c r="B15" s="5" t="s">
        <v>14</v>
      </c>
      <c r="C15" s="7" t="n">
        <f aca="false">Comps!E23</f>
        <v>206.610395454545</v>
      </c>
    </row>
    <row r="16" customFormat="false" ht="15" hidden="false" customHeight="false" outlineLevel="0" collapsed="false">
      <c r="B16" s="5" t="s">
        <v>15</v>
      </c>
      <c r="C16" s="7" t="n">
        <f aca="false">'Residual Income'!E29</f>
        <v>91.0299674662424</v>
      </c>
    </row>
    <row r="17" customFormat="false" ht="15" hidden="false" customHeight="false" outlineLevel="0" collapsed="false">
      <c r="B17" s="5" t="s">
        <v>16</v>
      </c>
      <c r="C17" s="7" t="n">
        <f aca="false">Assumptions!C50</f>
        <v>258.63</v>
      </c>
    </row>
    <row r="18" customFormat="false" ht="15" hidden="false" customHeight="false" outlineLevel="0" collapsed="false">
      <c r="B18" s="5" t="s">
        <v>17</v>
      </c>
      <c r="C18" s="8" t="n">
        <f aca="false">'DCF Model'!E31</f>
        <v>-0.539846574769208</v>
      </c>
    </row>
    <row r="19" customFormat="false" ht="15" hidden="false" customHeight="false" outlineLevel="0" collapsed="false">
      <c r="B19" s="5" t="s">
        <v>18</v>
      </c>
      <c r="C19" s="8" t="n">
        <f aca="false">Assumptions!C44</f>
        <v>0.09866</v>
      </c>
    </row>
    <row r="20" customFormat="false" ht="15" hidden="false" customHeight="false" outlineLevel="0" collapsed="false">
      <c r="B20" s="5" t="s">
        <v>19</v>
      </c>
      <c r="C20" s="8" t="n">
        <f aca="false">'DCF Model'!E43</f>
        <v>0.070868359826589</v>
      </c>
    </row>
    <row r="21" customFormat="false" ht="15" hidden="false" customHeight="false" outlineLevel="0" collapsed="false">
      <c r="B21" s="5" t="s">
        <v>20</v>
      </c>
      <c r="C21" s="8" t="n">
        <f aca="false">'DCF Model'!E25</f>
        <v>0.87897285555469</v>
      </c>
    </row>
    <row r="22" customFormat="false" ht="15" hidden="false" customHeight="false" outlineLevel="0" collapsed="false">
      <c r="B22" s="5" t="s">
        <v>21</v>
      </c>
      <c r="C22" s="9" t="n">
        <f aca="false">'DCF Model'!E37</f>
        <v>2700419.84108844</v>
      </c>
    </row>
    <row r="23" customFormat="false" ht="15" hidden="false" customHeight="false" outlineLevel="0" collapsed="false">
      <c r="B23" s="5" t="s">
        <v>22</v>
      </c>
      <c r="C23" s="10" t="n">
        <f aca="false">Sensitivity!E13</f>
        <v>0</v>
      </c>
    </row>
    <row r="25" customFormat="false" ht="15" hidden="false" customHeight="false" outlineLevel="0" collapsed="false">
      <c r="B25" s="6" t="s">
        <v>23</v>
      </c>
      <c r="C25" s="3"/>
      <c r="D25" s="3"/>
      <c r="E25" s="3"/>
    </row>
    <row r="26" customFormat="false" ht="15" hidden="false" customHeight="false" outlineLevel="0" collapsed="false">
      <c r="B26" s="11" t="s">
        <v>24</v>
      </c>
      <c r="C26" s="5" t="s">
        <v>25</v>
      </c>
    </row>
    <row r="27" customFormat="false" ht="15" hidden="false" customHeight="false" outlineLevel="0" collapsed="false">
      <c r="B27" s="11" t="s">
        <v>26</v>
      </c>
      <c r="C27" s="5" t="s">
        <v>27</v>
      </c>
    </row>
    <row r="28" customFormat="false" ht="15" hidden="false" customHeight="false" outlineLevel="0" collapsed="false">
      <c r="B28" s="11" t="s">
        <v>28</v>
      </c>
      <c r="C28" s="5" t="s">
        <v>29</v>
      </c>
    </row>
    <row r="29" customFormat="false" ht="15" hidden="false" customHeight="false" outlineLevel="0" collapsed="false">
      <c r="B29" s="11" t="s">
        <v>30</v>
      </c>
      <c r="C29" s="5" t="s">
        <v>31</v>
      </c>
    </row>
    <row r="30" customFormat="false" ht="15" hidden="false" customHeight="false" outlineLevel="0" collapsed="false">
      <c r="B30" s="11" t="s">
        <v>32</v>
      </c>
      <c r="C30" s="5" t="s">
        <v>33</v>
      </c>
    </row>
    <row r="31" customFormat="false" ht="15" hidden="false" customHeight="false" outlineLevel="0" collapsed="false">
      <c r="B31" s="11" t="s">
        <v>34</v>
      </c>
      <c r="C31" s="5" t="s">
        <v>35</v>
      </c>
    </row>
    <row r="33" customFormat="false" ht="15" hidden="false" customHeight="false" outlineLevel="0" collapsed="false">
      <c r="B33" s="6" t="s">
        <v>36</v>
      </c>
      <c r="C33" s="3"/>
      <c r="D33" s="3"/>
      <c r="E33" s="3"/>
    </row>
    <row r="34" customFormat="false" ht="15" hidden="false" customHeight="false" outlineLevel="0" collapsed="false">
      <c r="B34" s="12" t="s">
        <v>37</v>
      </c>
    </row>
    <row r="35" customFormat="false" ht="15" hidden="false" customHeight="false" outlineLevel="0" collapsed="false">
      <c r="B35" s="5" t="s">
        <v>38</v>
      </c>
    </row>
    <row r="36" customFormat="false" ht="15" hidden="false" customHeight="false" outlineLevel="0" collapsed="false">
      <c r="B36" s="13" t="s">
        <v>39</v>
      </c>
    </row>
    <row r="37" customFormat="false" ht="15" hidden="false" customHeight="false" outlineLevel="0" collapsed="false">
      <c r="B37" s="14" t="s">
        <v>40</v>
      </c>
    </row>
    <row r="38" customFormat="false" ht="15" hidden="false" customHeight="false" outlineLevel="0" collapsed="false">
      <c r="B38" s="15" t="s">
        <v>41</v>
      </c>
    </row>
    <row r="40" customFormat="false" ht="15" hidden="false" customHeight="false" outlineLevel="0" collapsed="false">
      <c r="B40" s="6" t="s">
        <v>42</v>
      </c>
      <c r="C40" s="3"/>
      <c r="D40" s="3"/>
      <c r="E40" s="3"/>
    </row>
    <row r="41" customFormat="false" ht="15" hidden="false" customHeight="false" outlineLevel="0" collapsed="false">
      <c r="B41" s="5" t="s">
        <v>43</v>
      </c>
    </row>
    <row r="42" customFormat="false" ht="15" hidden="false" customHeight="false" outlineLevel="0" collapsed="false">
      <c r="B42" s="5" t="s">
        <v>44</v>
      </c>
    </row>
    <row r="43" customFormat="false" ht="15" hidden="false" customHeight="false" outlineLevel="0" collapsed="false">
      <c r="B43" s="5" t="s">
        <v>45</v>
      </c>
    </row>
    <row r="44" customFormat="false" ht="15" hidden="false" customHeight="false" outlineLevel="0" collapsed="false">
      <c r="B44" s="5" t="s">
        <v>46</v>
      </c>
    </row>
    <row r="46" customFormat="false" ht="15" hidden="false" customHeight="false" outlineLevel="0" collapsed="false">
      <c r="B46" s="6" t="s">
        <v>47</v>
      </c>
      <c r="C46" s="3"/>
      <c r="D46" s="3"/>
      <c r="E46" s="3"/>
    </row>
    <row r="47" customFormat="false" ht="15" hidden="false" customHeight="false" outlineLevel="0" collapsed="false">
      <c r="B47" s="5" t="s">
        <v>48</v>
      </c>
    </row>
    <row r="48" customFormat="false" ht="15" hidden="false" customHeight="false" outlineLevel="0" collapsed="false">
      <c r="B48" s="5" t="s">
        <v>49</v>
      </c>
    </row>
    <row r="49" customFormat="false" ht="15" hidden="false" customHeight="false" outlineLevel="0" collapsed="false">
      <c r="B49" s="5" t="s">
        <v>50</v>
      </c>
    </row>
    <row r="50" customFormat="false" ht="15" hidden="false" customHeight="false" outlineLevel="0" collapsed="false">
      <c r="B50" s="5" t="s">
        <v>51</v>
      </c>
    </row>
    <row r="51" customFormat="false" ht="15" hidden="false" customHeight="false" outlineLevel="0" collapsed="false">
      <c r="B51" s="5" t="s">
        <v>52</v>
      </c>
    </row>
    <row r="52" customFormat="false" ht="15" hidden="false" customHeight="false" outlineLevel="0" collapsed="false">
      <c r="B52" s="5" t="s">
        <v>53</v>
      </c>
    </row>
    <row r="54" customFormat="false" ht="15" hidden="false" customHeight="false" outlineLevel="0" collapsed="false">
      <c r="B54" s="6" t="s">
        <v>54</v>
      </c>
      <c r="C54" s="3"/>
      <c r="D54" s="3"/>
      <c r="E54" s="3"/>
    </row>
    <row r="55" customFormat="false" ht="15" hidden="false" customHeight="false" outlineLevel="0" collapsed="false">
      <c r="B55" s="5" t="s">
        <v>55</v>
      </c>
      <c r="C55" s="11" t="s">
        <v>56</v>
      </c>
    </row>
    <row r="56" customFormat="false" ht="15" hidden="false" customHeight="false" outlineLevel="0" collapsed="false">
      <c r="B56" s="5" t="s">
        <v>57</v>
      </c>
      <c r="C56" s="11" t="s">
        <v>58</v>
      </c>
    </row>
    <row r="57" customFormat="false" ht="15" hidden="false" customHeight="false" outlineLevel="0" collapsed="false">
      <c r="B57" s="5" t="s">
        <v>59</v>
      </c>
      <c r="C57" s="11" t="s">
        <v>60</v>
      </c>
    </row>
    <row r="59" customFormat="false" ht="15" hidden="false" customHeight="false" outlineLevel="0" collapsed="false">
      <c r="B59" s="4" t="s">
        <v>61</v>
      </c>
    </row>
    <row r="60" customFormat="false" ht="15" hidden="false" customHeight="false" outlineLevel="0" collapsed="false">
      <c r="B60" s="16" t="s">
        <v>62</v>
      </c>
    </row>
  </sheetData>
  <hyperlinks>
    <hyperlink ref="B26" r:id="rId1" location="'Assumptions'!A1" display="Assumptions"/>
    <hyperlink ref="B27" r:id="rId2" location="'DCF%20Model'!A1" display="DCF Model"/>
    <hyperlink ref="B28" r:id="rId3" location="'Comps'!A1" display="Comps"/>
    <hyperlink ref="B29" r:id="rId4" location="'Residual%20Income'!A1" display="Residual Income"/>
    <hyperlink ref="B30" r:id="rId5" location="'Sensitivity'!A1" display="Sensitivity"/>
    <hyperlink ref="B31" r:id="rId6" location="'Summary'!A1" display="Summary"/>
    <hyperlink ref="C55" r:id="rId7" display="https://www.sec.gov/Archives/edgar/data/1018724/000101872426000004/amzn-20251231.htm"/>
    <hyperlink ref="C56" r:id="rId8" display="https://stockanalysis.com/stocks/amzn/history/"/>
    <hyperlink ref="C57" r:id="rId9" display="https://fred.stlouisfed.org/series/DGS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38"/>
    <col collapsed="false" customWidth="true" hidden="false" outlineLevel="0" max="3" min="3" style="17" width="14"/>
    <col collapsed="false" customWidth="true" hidden="false" outlineLevel="0" max="4" min="4" style="17" width="38"/>
    <col collapsed="false" customWidth="true" hidden="false" outlineLevel="0" max="5" min="5" style="17" width="14"/>
    <col collapsed="false" customWidth="true" hidden="false" outlineLevel="0" max="6" min="6" style="17" width="4"/>
  </cols>
  <sheetData>
    <row r="2" customFormat="false" ht="24" hidden="false" customHeight="true" outlineLevel="0" collapsed="false">
      <c r="B2" s="18" t="s">
        <v>63</v>
      </c>
      <c r="C2" s="18"/>
      <c r="D2" s="18"/>
      <c r="E2" s="18"/>
      <c r="F2" s="18"/>
    </row>
    <row r="3" customFormat="false" ht="15" hidden="false" customHeight="true" outlineLevel="0" collapsed="false">
      <c r="B3" s="19" t="s">
        <v>64</v>
      </c>
      <c r="C3" s="19"/>
      <c r="D3" s="19"/>
      <c r="E3" s="19"/>
      <c r="F3" s="19"/>
    </row>
    <row r="5" customFormat="false" ht="15" hidden="false" customHeight="true" outlineLevel="0" collapsed="false">
      <c r="B5" s="20" t="s">
        <v>65</v>
      </c>
      <c r="C5" s="20"/>
      <c r="D5" s="20"/>
      <c r="E5" s="20"/>
      <c r="F5" s="20"/>
    </row>
    <row r="6" customFormat="false" ht="15" hidden="false" customHeight="true" outlineLevel="0" collapsed="false">
      <c r="B6" s="21" t="s">
        <v>66</v>
      </c>
      <c r="E6" s="22" t="n">
        <v>716924</v>
      </c>
    </row>
    <row r="7" customFormat="false" ht="15" hidden="false" customHeight="true" outlineLevel="0" collapsed="false">
      <c r="B7" s="21" t="s">
        <v>67</v>
      </c>
      <c r="E7" s="22" t="n">
        <v>79975</v>
      </c>
    </row>
    <row r="8" customFormat="false" ht="15" hidden="false" customHeight="true" outlineLevel="0" collapsed="false">
      <c r="B8" s="21" t="s">
        <v>68</v>
      </c>
      <c r="E8" s="22" t="n">
        <v>139514</v>
      </c>
    </row>
    <row r="9" customFormat="false" ht="15" hidden="false" customHeight="true" outlineLevel="0" collapsed="false">
      <c r="B9" s="21" t="s">
        <v>69</v>
      </c>
      <c r="E9" s="22" t="n">
        <v>173030</v>
      </c>
    </row>
    <row r="10" customFormat="false" ht="15" hidden="false" customHeight="true" outlineLevel="0" collapsed="false">
      <c r="B10" s="21" t="s">
        <v>70</v>
      </c>
      <c r="E10" s="22" t="n">
        <v>61844</v>
      </c>
    </row>
    <row r="12" customFormat="false" ht="15" hidden="false" customHeight="true" outlineLevel="0" collapsed="false">
      <c r="B12" s="20" t="s">
        <v>71</v>
      </c>
      <c r="C12" s="20"/>
      <c r="D12" s="20"/>
      <c r="E12" s="20"/>
      <c r="F12" s="20"/>
    </row>
    <row r="13" customFormat="false" ht="15" hidden="false" customHeight="true" outlineLevel="0" collapsed="false">
      <c r="B13" s="23" t="s">
        <v>72</v>
      </c>
      <c r="C13" s="23" t="s">
        <v>73</v>
      </c>
      <c r="D13" s="23" t="s">
        <v>74</v>
      </c>
    </row>
    <row r="14" customFormat="false" ht="15" hidden="false" customHeight="true" outlineLevel="0" collapsed="false">
      <c r="B14" s="24" t="s">
        <v>75</v>
      </c>
      <c r="C14" s="25" t="n">
        <v>0.13</v>
      </c>
      <c r="D14" s="26" t="s">
        <v>76</v>
      </c>
    </row>
    <row r="15" customFormat="false" ht="15" hidden="false" customHeight="true" outlineLevel="0" collapsed="false">
      <c r="B15" s="24" t="s">
        <v>77</v>
      </c>
      <c r="C15" s="25" t="n">
        <v>0.12</v>
      </c>
      <c r="D15" s="26" t="s">
        <v>78</v>
      </c>
    </row>
    <row r="16" customFormat="false" ht="15" hidden="false" customHeight="true" outlineLevel="0" collapsed="false">
      <c r="B16" s="24" t="s">
        <v>79</v>
      </c>
      <c r="C16" s="25" t="n">
        <v>0.11</v>
      </c>
      <c r="D16" s="26" t="s">
        <v>78</v>
      </c>
    </row>
    <row r="17" customFormat="false" ht="15" hidden="false" customHeight="true" outlineLevel="0" collapsed="false">
      <c r="B17" s="24" t="s">
        <v>80</v>
      </c>
      <c r="C17" s="25" t="n">
        <v>0.1</v>
      </c>
      <c r="D17" s="26" t="s">
        <v>78</v>
      </c>
    </row>
    <row r="18" customFormat="false" ht="15" hidden="false" customHeight="true" outlineLevel="0" collapsed="false">
      <c r="B18" s="24" t="s">
        <v>81</v>
      </c>
      <c r="C18" s="25" t="n">
        <v>0.09</v>
      </c>
      <c r="D18" s="26" t="s">
        <v>78</v>
      </c>
    </row>
    <row r="19" customFormat="false" ht="15" hidden="false" customHeight="true" outlineLevel="0" collapsed="false">
      <c r="B19" s="24" t="s">
        <v>82</v>
      </c>
      <c r="C19" s="25" t="n">
        <v>0.115</v>
      </c>
      <c r="D19" s="26" t="s">
        <v>83</v>
      </c>
    </row>
    <row r="20" customFormat="false" ht="15" hidden="false" customHeight="true" outlineLevel="0" collapsed="false">
      <c r="B20" s="24" t="s">
        <v>84</v>
      </c>
      <c r="C20" s="25" t="n">
        <v>0.12</v>
      </c>
      <c r="D20" s="26" t="s">
        <v>78</v>
      </c>
    </row>
    <row r="21" customFormat="false" ht="15" hidden="false" customHeight="true" outlineLevel="0" collapsed="false">
      <c r="B21" s="24" t="s">
        <v>85</v>
      </c>
      <c r="C21" s="25" t="n">
        <v>0.125</v>
      </c>
      <c r="D21" s="26" t="s">
        <v>78</v>
      </c>
    </row>
    <row r="22" customFormat="false" ht="15" hidden="false" customHeight="true" outlineLevel="0" collapsed="false">
      <c r="B22" s="24" t="s">
        <v>86</v>
      </c>
      <c r="C22" s="25" t="n">
        <v>0.13</v>
      </c>
      <c r="D22" s="26" t="s">
        <v>78</v>
      </c>
    </row>
    <row r="23" customFormat="false" ht="15" hidden="false" customHeight="true" outlineLevel="0" collapsed="false">
      <c r="B23" s="24" t="s">
        <v>87</v>
      </c>
      <c r="C23" s="25" t="n">
        <v>0.135</v>
      </c>
      <c r="D23" s="26" t="s">
        <v>78</v>
      </c>
    </row>
    <row r="24" customFormat="false" ht="15" hidden="false" customHeight="true" outlineLevel="0" collapsed="false">
      <c r="B24" s="24" t="s">
        <v>88</v>
      </c>
      <c r="C24" s="25" t="n">
        <v>0.15</v>
      </c>
      <c r="D24" s="26" t="s">
        <v>89</v>
      </c>
    </row>
    <row r="25" customFormat="false" ht="15" hidden="false" customHeight="true" outlineLevel="0" collapsed="false">
      <c r="B25" s="24" t="s">
        <v>90</v>
      </c>
      <c r="C25" s="25" t="n">
        <v>0.09</v>
      </c>
      <c r="D25" s="26" t="s">
        <v>78</v>
      </c>
    </row>
    <row r="26" customFormat="false" ht="15" hidden="false" customHeight="true" outlineLevel="0" collapsed="false">
      <c r="B26" s="24" t="s">
        <v>91</v>
      </c>
      <c r="C26" s="25" t="n">
        <v>0.2</v>
      </c>
      <c r="D26" s="26" t="s">
        <v>92</v>
      </c>
    </row>
    <row r="27" customFormat="false" ht="15" hidden="false" customHeight="true" outlineLevel="0" collapsed="false">
      <c r="B27" s="24" t="s">
        <v>93</v>
      </c>
      <c r="C27" s="25" t="n">
        <v>0.115</v>
      </c>
      <c r="D27" s="26" t="s">
        <v>94</v>
      </c>
    </row>
    <row r="28" customFormat="false" ht="15" hidden="false" customHeight="true" outlineLevel="0" collapsed="false">
      <c r="B28" s="24" t="s">
        <v>95</v>
      </c>
      <c r="C28" s="25" t="n">
        <v>-0.02</v>
      </c>
      <c r="D28" s="26" t="s">
        <v>96</v>
      </c>
    </row>
    <row r="30" customFormat="false" ht="15" hidden="false" customHeight="true" outlineLevel="0" collapsed="false">
      <c r="B30" s="20" t="s">
        <v>97</v>
      </c>
      <c r="C30" s="20"/>
      <c r="D30" s="20"/>
      <c r="E30" s="20"/>
      <c r="F30" s="20"/>
    </row>
    <row r="31" customFormat="false" ht="15" hidden="false" customHeight="true" outlineLevel="0" collapsed="false">
      <c r="B31" s="23" t="s">
        <v>98</v>
      </c>
      <c r="C31" s="23" t="s">
        <v>73</v>
      </c>
      <c r="D31" s="23" t="s">
        <v>99</v>
      </c>
    </row>
    <row r="32" customFormat="false" ht="15" hidden="false" customHeight="true" outlineLevel="0" collapsed="false">
      <c r="B32" s="24" t="s">
        <v>100</v>
      </c>
      <c r="C32" s="25" t="n">
        <v>0.0474</v>
      </c>
      <c r="D32" s="26" t="s">
        <v>101</v>
      </c>
    </row>
    <row r="33" customFormat="false" ht="15" hidden="false" customHeight="true" outlineLevel="0" collapsed="false">
      <c r="B33" s="24" t="s">
        <v>102</v>
      </c>
      <c r="C33" s="25" t="n">
        <v>0.05</v>
      </c>
      <c r="D33" s="26" t="s">
        <v>103</v>
      </c>
    </row>
    <row r="34" customFormat="false" ht="15" hidden="false" customHeight="true" outlineLevel="0" collapsed="false">
      <c r="B34" s="24" t="s">
        <v>104</v>
      </c>
      <c r="C34" s="27" t="n">
        <v>1.15</v>
      </c>
      <c r="D34" s="26" t="s">
        <v>105</v>
      </c>
    </row>
    <row r="35" customFormat="false" ht="15" hidden="false" customHeight="true" outlineLevel="0" collapsed="false">
      <c r="B35" s="24" t="s">
        <v>106</v>
      </c>
      <c r="C35" s="25" t="n">
        <v>0.05</v>
      </c>
      <c r="D35" s="26" t="s">
        <v>107</v>
      </c>
    </row>
    <row r="36" customFormat="false" ht="15" hidden="false" customHeight="true" outlineLevel="0" collapsed="false">
      <c r="B36" s="24" t="s">
        <v>108</v>
      </c>
      <c r="C36" s="25" t="n">
        <v>0.9</v>
      </c>
      <c r="D36" s="26" t="s">
        <v>109</v>
      </c>
    </row>
    <row r="37" customFormat="false" ht="15" hidden="false" customHeight="true" outlineLevel="0" collapsed="false">
      <c r="B37" s="24" t="s">
        <v>110</v>
      </c>
      <c r="C37" s="25" t="n">
        <v>0.1</v>
      </c>
      <c r="D37" s="26" t="s">
        <v>111</v>
      </c>
    </row>
    <row r="38" customFormat="false" ht="15" hidden="false" customHeight="true" outlineLevel="0" collapsed="false">
      <c r="B38" s="24" t="s">
        <v>112</v>
      </c>
      <c r="C38" s="25" t="n">
        <v>0.035</v>
      </c>
      <c r="D38" s="26" t="s">
        <v>113</v>
      </c>
    </row>
    <row r="39" customFormat="false" ht="15" hidden="false" customHeight="true" outlineLevel="0" collapsed="false">
      <c r="B39" s="24" t="s">
        <v>114</v>
      </c>
      <c r="C39" s="28" t="n">
        <v>15</v>
      </c>
      <c r="D39" s="26" t="s">
        <v>115</v>
      </c>
    </row>
    <row r="41" customFormat="false" ht="15" hidden="false" customHeight="true" outlineLevel="0" collapsed="false">
      <c r="B41" s="20" t="s">
        <v>116</v>
      </c>
      <c r="C41" s="20"/>
      <c r="D41" s="20"/>
      <c r="E41" s="20"/>
      <c r="F41" s="20"/>
    </row>
    <row r="42" customFormat="false" ht="15" hidden="false" customHeight="true" outlineLevel="0" collapsed="false">
      <c r="B42" s="24" t="s">
        <v>117</v>
      </c>
      <c r="C42" s="29" t="n">
        <f aca="false">C32+C34*C33</f>
        <v>0.1049</v>
      </c>
    </row>
    <row r="43" customFormat="false" ht="15" hidden="false" customHeight="true" outlineLevel="0" collapsed="false">
      <c r="B43" s="24" t="s">
        <v>118</v>
      </c>
      <c r="C43" s="29" t="n">
        <f aca="false">C35*(1-C24)</f>
        <v>0.0425</v>
      </c>
    </row>
    <row r="44" customFormat="false" ht="15" hidden="false" customHeight="true" outlineLevel="0" collapsed="false">
      <c r="B44" s="30" t="s">
        <v>18</v>
      </c>
      <c r="C44" s="31" t="n">
        <f aca="false">C36*C42+C37*C43</f>
        <v>0.09866</v>
      </c>
    </row>
    <row r="46" customFormat="false" ht="15" hidden="false" customHeight="true" outlineLevel="0" collapsed="false">
      <c r="B46" s="20" t="s">
        <v>119</v>
      </c>
      <c r="C46" s="20"/>
      <c r="D46" s="20"/>
      <c r="E46" s="20"/>
      <c r="F46" s="20"/>
    </row>
    <row r="47" customFormat="false" ht="15" hidden="false" customHeight="true" outlineLevel="0" collapsed="false">
      <c r="B47" s="24" t="s">
        <v>120</v>
      </c>
      <c r="C47" s="32" t="n">
        <v>89295</v>
      </c>
      <c r="D47" s="26" t="s">
        <v>121</v>
      </c>
    </row>
    <row r="48" customFormat="false" ht="15" hidden="false" customHeight="true" outlineLevel="0" collapsed="false">
      <c r="B48" s="24" t="s">
        <v>122</v>
      </c>
      <c r="C48" s="32" t="n">
        <v>123000</v>
      </c>
      <c r="D48" s="26" t="s">
        <v>123</v>
      </c>
    </row>
    <row r="49" customFormat="false" ht="15" hidden="false" customHeight="true" outlineLevel="0" collapsed="false">
      <c r="B49" s="24" t="s">
        <v>124</v>
      </c>
      <c r="C49" s="33" t="n">
        <v>11000</v>
      </c>
      <c r="D49" s="26" t="s">
        <v>125</v>
      </c>
    </row>
    <row r="50" customFormat="false" ht="15" hidden="false" customHeight="false" outlineLevel="0" collapsed="false">
      <c r="B50" s="5" t="s">
        <v>126</v>
      </c>
      <c r="C50" s="34" t="n">
        <v>258.63</v>
      </c>
      <c r="D50" s="16" t="s">
        <v>127</v>
      </c>
    </row>
    <row r="51" customFormat="false" ht="15" hidden="false" customHeight="false" outlineLevel="0" collapsed="false">
      <c r="B51" s="5" t="s">
        <v>128</v>
      </c>
      <c r="C51" s="35" t="n">
        <v>46255</v>
      </c>
    </row>
  </sheetData>
  <mergeCells count="7">
    <mergeCell ref="B2:F2"/>
    <mergeCell ref="B3:F3"/>
    <mergeCell ref="B5:F5"/>
    <mergeCell ref="B12:F12"/>
    <mergeCell ref="B30:F30"/>
    <mergeCell ref="B41:F41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34"/>
    <col collapsed="false" customWidth="true" hidden="false" outlineLevel="0" max="8" min="3" style="17" width="13"/>
    <col collapsed="false" customWidth="true" hidden="false" outlineLevel="0" max="9" min="9" style="17" width="3"/>
  </cols>
  <sheetData>
    <row r="2" customFormat="false" ht="24" hidden="false" customHeight="true" outlineLevel="0" collapsed="false">
      <c r="B2" s="36" t="s">
        <v>129</v>
      </c>
      <c r="C2" s="36"/>
      <c r="D2" s="36"/>
      <c r="E2" s="36"/>
      <c r="F2" s="36"/>
      <c r="G2" s="36"/>
      <c r="H2" s="36"/>
      <c r="I2" s="36"/>
    </row>
    <row r="3" customFormat="false" ht="15" hidden="false" customHeight="true" outlineLevel="0" collapsed="false">
      <c r="B3" s="19" t="s">
        <v>130</v>
      </c>
      <c r="C3" s="19"/>
      <c r="D3" s="19"/>
      <c r="E3" s="19"/>
      <c r="F3" s="19"/>
      <c r="G3" s="19"/>
      <c r="H3" s="19"/>
      <c r="I3" s="19"/>
    </row>
    <row r="5" customFormat="false" ht="15" hidden="false" customHeight="true" outlineLevel="0" collapsed="false">
      <c r="B5" s="20" t="s">
        <v>131</v>
      </c>
      <c r="C5" s="37" t="s">
        <v>132</v>
      </c>
      <c r="D5" s="37" t="s">
        <v>133</v>
      </c>
      <c r="E5" s="37" t="s">
        <v>134</v>
      </c>
      <c r="F5" s="37" t="s">
        <v>135</v>
      </c>
      <c r="G5" s="37" t="s">
        <v>136</v>
      </c>
      <c r="H5" s="37" t="s">
        <v>137</v>
      </c>
    </row>
    <row r="6" customFormat="false" ht="15" hidden="false" customHeight="true" outlineLevel="0" collapsed="false">
      <c r="B6" s="38" t="s">
        <v>138</v>
      </c>
      <c r="C6" s="39" t="n">
        <f aca="false">Assumptions!$E$6</f>
        <v>716924</v>
      </c>
      <c r="D6" s="40" t="n">
        <f aca="false">C6*(1+Assumptions!$C$14)</f>
        <v>810124.12</v>
      </c>
      <c r="E6" s="40" t="n">
        <f aca="false">D6*(1+Assumptions!$C$15)</f>
        <v>907339.0144</v>
      </c>
      <c r="F6" s="40" t="n">
        <f aca="false">E6*(1+Assumptions!$C$16)</f>
        <v>1007146.305984</v>
      </c>
      <c r="G6" s="40" t="n">
        <f aca="false">F6*(1+Assumptions!$C$17)</f>
        <v>1107860.9365824</v>
      </c>
      <c r="H6" s="40" t="n">
        <f aca="false">G6*(1+Assumptions!$C$18)</f>
        <v>1207568.42087482</v>
      </c>
    </row>
    <row r="7" customFormat="false" ht="15" hidden="false" customHeight="true" outlineLevel="0" collapsed="false">
      <c r="B7" s="41" t="s">
        <v>139</v>
      </c>
      <c r="D7" s="42" t="n">
        <f aca="false">Assumptions!$C$14</f>
        <v>0.13</v>
      </c>
      <c r="E7" s="42" t="n">
        <f aca="false">Assumptions!$C$15</f>
        <v>0.12</v>
      </c>
      <c r="F7" s="42" t="n">
        <f aca="false">Assumptions!$C$16</f>
        <v>0.11</v>
      </c>
      <c r="G7" s="42" t="n">
        <f aca="false">Assumptions!$C$17</f>
        <v>0.1</v>
      </c>
      <c r="H7" s="42" t="n">
        <f aca="false">Assumptions!$C$18</f>
        <v>0.09</v>
      </c>
    </row>
    <row r="8" customFormat="false" ht="15" hidden="false" customHeight="true" outlineLevel="0" collapsed="false">
      <c r="B8" s="38" t="s">
        <v>140</v>
      </c>
      <c r="C8" s="39" t="n">
        <f aca="false">Assumptions!$E$7</f>
        <v>79975</v>
      </c>
      <c r="D8" s="40" t="n">
        <f aca="false">D6*Assumptions!$C$19</f>
        <v>93164.2738</v>
      </c>
      <c r="E8" s="40" t="n">
        <f aca="false">E6*Assumptions!$C$20</f>
        <v>108880.681728</v>
      </c>
      <c r="F8" s="40" t="n">
        <f aca="false">F6*Assumptions!$C$21</f>
        <v>125893.288248</v>
      </c>
      <c r="G8" s="40" t="n">
        <f aca="false">G6*Assumptions!$C$22</f>
        <v>144021.921755712</v>
      </c>
      <c r="H8" s="40" t="n">
        <f aca="false">H6*Assumptions!$C$23</f>
        <v>163021.7368181</v>
      </c>
    </row>
    <row r="9" customFormat="false" ht="15" hidden="false" customHeight="true" outlineLevel="0" collapsed="false">
      <c r="B9" s="41" t="s">
        <v>141</v>
      </c>
      <c r="C9" s="42" t="n">
        <f aca="false">C8/C6</f>
        <v>0.111552967957552</v>
      </c>
      <c r="D9" s="42" t="n">
        <f aca="false">Assumptions!$C$19</f>
        <v>0.115</v>
      </c>
      <c r="E9" s="42" t="n">
        <f aca="false">Assumptions!$C$20</f>
        <v>0.12</v>
      </c>
      <c r="F9" s="42" t="n">
        <f aca="false">Assumptions!$C$21</f>
        <v>0.125</v>
      </c>
      <c r="G9" s="42" t="n">
        <f aca="false">Assumptions!$C$22</f>
        <v>0.13</v>
      </c>
      <c r="H9" s="42" t="n">
        <f aca="false">Assumptions!$C$23</f>
        <v>0.135</v>
      </c>
    </row>
    <row r="10" customFormat="false" ht="15" hidden="false" customHeight="true" outlineLevel="0" collapsed="false">
      <c r="B10" s="21" t="s">
        <v>142</v>
      </c>
      <c r="D10" s="40" t="n">
        <f aca="false">-D8*Assumptions!$C$24</f>
        <v>-13974.64107</v>
      </c>
      <c r="E10" s="40" t="n">
        <f aca="false">-E8*Assumptions!$C$24</f>
        <v>-16332.1022592</v>
      </c>
      <c r="F10" s="40" t="n">
        <f aca="false">-F8*Assumptions!$C$24</f>
        <v>-18883.9932372</v>
      </c>
      <c r="G10" s="40" t="n">
        <f aca="false">-G8*Assumptions!$C$24</f>
        <v>-21603.2882633568</v>
      </c>
      <c r="H10" s="40" t="n">
        <f aca="false">-H8*Assumptions!$C$24</f>
        <v>-24453.260522715</v>
      </c>
    </row>
    <row r="11" customFormat="false" ht="15" hidden="false" customHeight="true" outlineLevel="0" collapsed="false">
      <c r="B11" s="38" t="s">
        <v>143</v>
      </c>
      <c r="D11" s="43" t="n">
        <f aca="false">D8+D10</f>
        <v>79189.63273</v>
      </c>
      <c r="E11" s="43" t="n">
        <f aca="false">E8+E10</f>
        <v>92548.5794688</v>
      </c>
      <c r="F11" s="43" t="n">
        <f aca="false">F8+F10</f>
        <v>107009.2950108</v>
      </c>
      <c r="G11" s="43" t="n">
        <f aca="false">G8+G10</f>
        <v>122418.633492355</v>
      </c>
      <c r="H11" s="43" t="n">
        <f aca="false">H8+H10</f>
        <v>138568.476295385</v>
      </c>
    </row>
    <row r="12" customFormat="false" ht="15" hidden="false" customHeight="true" outlineLevel="0" collapsed="false">
      <c r="B12" s="21" t="s">
        <v>144</v>
      </c>
      <c r="D12" s="40" t="n">
        <f aca="false">D6*Assumptions!$C$25</f>
        <v>72911.1708</v>
      </c>
      <c r="E12" s="40" t="n">
        <f aca="false">E6*Assumptions!$C$25</f>
        <v>81660.511296</v>
      </c>
      <c r="F12" s="40" t="n">
        <f aca="false">F6*Assumptions!$C$25</f>
        <v>90643.16753856</v>
      </c>
      <c r="G12" s="40" t="n">
        <f aca="false">G6*Assumptions!$C$25</f>
        <v>99707.484292416</v>
      </c>
      <c r="H12" s="40" t="n">
        <f aca="false">H6*Assumptions!$C$25</f>
        <v>108681.157878733</v>
      </c>
    </row>
    <row r="13" customFormat="false" ht="15" hidden="false" customHeight="true" outlineLevel="0" collapsed="false">
      <c r="B13" s="21" t="s">
        <v>145</v>
      </c>
      <c r="D13" s="40" t="n">
        <f aca="false">-D6*(Assumptions!$C$26+(Assumptions!$C$27-Assumptions!$C$26)*(D16-1)/4)</f>
        <v>-162024.824</v>
      </c>
      <c r="E13" s="40" t="n">
        <f aca="false">-E6*(Assumptions!$C$26+(Assumptions!$C$27-Assumptions!$C$26)*(E16-1)/4)</f>
        <v>-162186.848824</v>
      </c>
      <c r="F13" s="40" t="n">
        <f aca="false">-F6*(Assumptions!$C$26+(Assumptions!$C$27-Assumptions!$C$26)*(F16-1)/4)</f>
        <v>-158625.54319248</v>
      </c>
      <c r="G13" s="40" t="n">
        <f aca="false">-G6*(Assumptions!$C$26+(Assumptions!$C$27-Assumptions!$C$26)*(G16-1)/4)</f>
        <v>-150946.052609352</v>
      </c>
      <c r="H13" s="40" t="n">
        <f aca="false">-H6*(Assumptions!$C$26+(Assumptions!$C$27-Assumptions!$C$26)*(H16-1)/4)</f>
        <v>-138870.368400604</v>
      </c>
    </row>
    <row r="14" customFormat="false" ht="15" hidden="false" customHeight="true" outlineLevel="0" collapsed="false">
      <c r="B14" s="21" t="s">
        <v>146</v>
      </c>
      <c r="D14" s="40" t="n">
        <f aca="false">-(D6-C6)*Assumptions!$C$28</f>
        <v>1864.0024</v>
      </c>
      <c r="E14" s="40" t="n">
        <f aca="false">-(E6-D6)*Assumptions!$C$28</f>
        <v>1944.297888</v>
      </c>
      <c r="F14" s="40" t="n">
        <f aca="false">-(F6-E6)*Assumptions!$C$28</f>
        <v>1996.14583168</v>
      </c>
      <c r="G14" s="40" t="n">
        <f aca="false">-(G6-F6)*Assumptions!$C$28</f>
        <v>2014.292611968</v>
      </c>
      <c r="H14" s="40" t="n">
        <f aca="false">-(H6-G6)*Assumptions!$C$28</f>
        <v>1994.14968584832</v>
      </c>
    </row>
    <row r="15" customFormat="false" ht="15" hidden="false" customHeight="true" outlineLevel="0" collapsed="false">
      <c r="B15" s="38" t="s">
        <v>147</v>
      </c>
      <c r="D15" s="43" t="n">
        <f aca="false">D11+D12+D13+D14</f>
        <v>-8060.01807000002</v>
      </c>
      <c r="E15" s="43" t="n">
        <f aca="false">E11+E12+E13+E14</f>
        <v>13966.5398288</v>
      </c>
      <c r="F15" s="43" t="n">
        <f aca="false">F11+F12+F13+F14</f>
        <v>41023.06518856</v>
      </c>
      <c r="G15" s="43" t="n">
        <f aca="false">G11+G12+G13+G14</f>
        <v>73194.3577873872</v>
      </c>
      <c r="H15" s="43" t="n">
        <f aca="false">H11+H12+H13+H14</f>
        <v>110373.415459363</v>
      </c>
    </row>
    <row r="16" customFormat="false" ht="15" hidden="false" customHeight="true" outlineLevel="0" collapsed="false">
      <c r="B16" s="21" t="s">
        <v>148</v>
      </c>
      <c r="D16" s="44" t="n">
        <v>1</v>
      </c>
      <c r="E16" s="44" t="n">
        <v>2</v>
      </c>
      <c r="F16" s="44" t="n">
        <v>3</v>
      </c>
      <c r="G16" s="44" t="n">
        <v>4</v>
      </c>
      <c r="H16" s="44" t="n">
        <v>5</v>
      </c>
    </row>
    <row r="17" customFormat="false" ht="15" hidden="false" customHeight="true" outlineLevel="0" collapsed="false">
      <c r="B17" s="21" t="s">
        <v>149</v>
      </c>
      <c r="D17" s="45" t="n">
        <f aca="false">1/(1+Assumptions!$C$44)^D16</f>
        <v>0.9101996978137</v>
      </c>
      <c r="E17" s="45" t="n">
        <f aca="false">1/(1+Assumptions!$C$44)^E16</f>
        <v>0.828463489900151</v>
      </c>
      <c r="F17" s="45" t="n">
        <f aca="false">1/(1+Assumptions!$C$44)^F16</f>
        <v>0.754067218156801</v>
      </c>
      <c r="G17" s="45" t="n">
        <f aca="false">1/(1+Assumptions!$C$44)^G16</f>
        <v>0.686351754097538</v>
      </c>
      <c r="H17" s="45" t="n">
        <f aca="false">1/(1+Assumptions!$C$44)^H16</f>
        <v>0.624717159173483</v>
      </c>
    </row>
    <row r="18" customFormat="false" ht="15" hidden="false" customHeight="true" outlineLevel="0" collapsed="false">
      <c r="B18" s="38" t="s">
        <v>150</v>
      </c>
      <c r="D18" s="43" t="n">
        <f aca="false">D15*D17</f>
        <v>-7336.22601168698</v>
      </c>
      <c r="E18" s="43" t="n">
        <f aca="false">E15*E17</f>
        <v>11570.7683283971</v>
      </c>
      <c r="F18" s="43" t="n">
        <f aca="false">F15*F17</f>
        <v>30934.1486470026</v>
      </c>
      <c r="G18" s="43" t="n">
        <f aca="false">G15*G17</f>
        <v>50237.075857416</v>
      </c>
      <c r="H18" s="43" t="n">
        <f aca="false">H15*H17</f>
        <v>68952.1665540479</v>
      </c>
    </row>
    <row r="20" customFormat="false" ht="15" hidden="false" customHeight="true" outlineLevel="0" collapsed="false">
      <c r="B20" s="20" t="s">
        <v>151</v>
      </c>
      <c r="C20" s="20"/>
      <c r="D20" s="20"/>
      <c r="E20" s="20"/>
    </row>
    <row r="21" customFormat="false" ht="15" hidden="false" customHeight="true" outlineLevel="0" collapsed="false">
      <c r="B21" s="21" t="s">
        <v>152</v>
      </c>
      <c r="E21" s="46" t="n">
        <f aca="false">SUM(D18:H18)</f>
        <v>154357.933375177</v>
      </c>
    </row>
    <row r="22" customFormat="false" ht="15" hidden="false" customHeight="true" outlineLevel="0" collapsed="false">
      <c r="B22" s="21" t="s">
        <v>153</v>
      </c>
      <c r="E22" s="46" t="n">
        <f aca="false">H15*(1+Assumptions!$C$38)/(Assumptions!$C$44-Assumptions!$C$38)</f>
        <v>1794478.24380209</v>
      </c>
    </row>
    <row r="23" customFormat="false" ht="15" hidden="false" customHeight="true" outlineLevel="0" collapsed="false">
      <c r="B23" s="21" t="s">
        <v>154</v>
      </c>
      <c r="E23" s="46" t="n">
        <f aca="false">E22*H17</f>
        <v>1121041.35066666</v>
      </c>
    </row>
    <row r="24" customFormat="false" ht="15" hidden="false" customHeight="true" outlineLevel="0" collapsed="false">
      <c r="B24" s="47" t="s">
        <v>155</v>
      </c>
      <c r="E24" s="48" t="n">
        <f aca="false">E21+E23</f>
        <v>1275399.28404184</v>
      </c>
    </row>
    <row r="25" customFormat="false" ht="15" hidden="false" customHeight="true" outlineLevel="0" collapsed="false">
      <c r="B25" s="41" t="s">
        <v>156</v>
      </c>
      <c r="E25" s="49" t="n">
        <f aca="false">E23/E24</f>
        <v>0.87897285555469</v>
      </c>
    </row>
    <row r="26" customFormat="false" ht="15" hidden="false" customHeight="true" outlineLevel="0" collapsed="false">
      <c r="B26" s="21" t="s">
        <v>157</v>
      </c>
      <c r="E26" s="50" t="n">
        <f aca="false">-Assumptions!$C$47</f>
        <v>-89295</v>
      </c>
    </row>
    <row r="27" customFormat="false" ht="15" hidden="false" customHeight="true" outlineLevel="0" collapsed="false">
      <c r="B27" s="21" t="s">
        <v>158</v>
      </c>
      <c r="E27" s="50" t="n">
        <f aca="false">Assumptions!$C$48</f>
        <v>123000</v>
      </c>
    </row>
    <row r="28" customFormat="false" ht="15" hidden="false" customHeight="true" outlineLevel="0" collapsed="false">
      <c r="B28" s="47" t="s">
        <v>159</v>
      </c>
      <c r="E28" s="48" t="n">
        <f aca="false">E24+E26+E27</f>
        <v>1309104.28404184</v>
      </c>
    </row>
    <row r="29" customFormat="false" ht="15" hidden="false" customHeight="true" outlineLevel="0" collapsed="false">
      <c r="B29" s="21" t="s">
        <v>124</v>
      </c>
      <c r="E29" s="9" t="n">
        <f aca="false">Assumptions!$C$49</f>
        <v>11000</v>
      </c>
    </row>
    <row r="30" customFormat="false" ht="15" hidden="false" customHeight="true" outlineLevel="0" collapsed="false">
      <c r="B30" s="51" t="s">
        <v>160</v>
      </c>
      <c r="C30" s="52"/>
      <c r="D30" s="52"/>
      <c r="E30" s="53" t="n">
        <f aca="false">E28/E29</f>
        <v>119.00948036744</v>
      </c>
    </row>
    <row r="31" customFormat="false" ht="15" hidden="false" customHeight="false" outlineLevel="0" collapsed="false">
      <c r="B31" s="5" t="s">
        <v>161</v>
      </c>
      <c r="E31" s="54" t="n">
        <f aca="false">E30/Assumptions!$C$50-1</f>
        <v>-0.539846574769208</v>
      </c>
    </row>
    <row r="32" customFormat="false" ht="15" hidden="false" customHeight="true" outlineLevel="0" collapsed="false">
      <c r="B32" s="20" t="s">
        <v>162</v>
      </c>
      <c r="C32" s="20"/>
      <c r="D32" s="20"/>
      <c r="E32" s="20"/>
    </row>
    <row r="33" customFormat="false" ht="15" hidden="false" customHeight="true" outlineLevel="0" collapsed="false">
      <c r="B33" s="21" t="s">
        <v>163</v>
      </c>
      <c r="E33" s="40" t="n">
        <f aca="false">H8+H12</f>
        <v>271702.894696834</v>
      </c>
    </row>
    <row r="34" customFormat="false" ht="15" hidden="false" customHeight="true" outlineLevel="0" collapsed="false">
      <c r="B34" s="21" t="s">
        <v>164</v>
      </c>
      <c r="E34" s="55" t="n">
        <f aca="false">Assumptions!$C$39</f>
        <v>15</v>
      </c>
    </row>
    <row r="35" customFormat="false" ht="15" hidden="false" customHeight="true" outlineLevel="0" collapsed="false">
      <c r="B35" s="21" t="s">
        <v>165</v>
      </c>
      <c r="E35" s="40" t="n">
        <f aca="false">E33*E34</f>
        <v>4075543.42045251</v>
      </c>
    </row>
    <row r="36" customFormat="false" ht="15" hidden="false" customHeight="true" outlineLevel="0" collapsed="false">
      <c r="B36" s="21" t="s">
        <v>166</v>
      </c>
      <c r="E36" s="40" t="n">
        <f aca="false">E35*H17</f>
        <v>2546061.90771327</v>
      </c>
    </row>
    <row r="37" customFormat="false" ht="15" hidden="false" customHeight="true" outlineLevel="0" collapsed="false">
      <c r="B37" s="38" t="s">
        <v>167</v>
      </c>
      <c r="E37" s="43" t="n">
        <f aca="false">E21+E36</f>
        <v>2700419.84108844</v>
      </c>
    </row>
    <row r="39" customFormat="false" ht="15" hidden="false" customHeight="false" outlineLevel="0" collapsed="false">
      <c r="B39" s="4" t="s">
        <v>168</v>
      </c>
    </row>
    <row r="40" customFormat="false" ht="15" hidden="false" customHeight="false" outlineLevel="0" collapsed="false">
      <c r="B40" s="5" t="s">
        <v>169</v>
      </c>
      <c r="E40" s="56" t="n">
        <f aca="false">Assumptions!$C$50*Assumptions!$C$49+Assumptions!$C$47-Assumptions!$C$48</f>
        <v>2811225</v>
      </c>
    </row>
    <row r="41" customFormat="false" ht="15" hidden="false" customHeight="false" outlineLevel="0" collapsed="false">
      <c r="B41" s="5" t="s">
        <v>170</v>
      </c>
      <c r="E41" s="56" t="n">
        <f aca="false">E40-E21</f>
        <v>2656867.06662482</v>
      </c>
    </row>
    <row r="42" customFormat="false" ht="15" hidden="false" customHeight="false" outlineLevel="0" collapsed="false">
      <c r="B42" s="5" t="s">
        <v>171</v>
      </c>
      <c r="E42" s="56" t="n">
        <f aca="false">E41/H17</f>
        <v>4252911.94200577</v>
      </c>
    </row>
    <row r="43" customFormat="false" ht="15" hidden="false" customHeight="false" outlineLevel="0" collapsed="false">
      <c r="B43" s="5" t="s">
        <v>172</v>
      </c>
      <c r="E43" s="54" t="n">
        <f aca="false">(E42*Assumptions!$C$44-H15)/(E42+H15)</f>
        <v>0.070868359826589</v>
      </c>
    </row>
    <row r="44" customFormat="false" ht="15" hidden="false" customHeight="false" outlineLevel="0" collapsed="false">
      <c r="B44" s="5" t="s">
        <v>173</v>
      </c>
      <c r="E44" s="57" t="n">
        <f aca="false">E42/E33</f>
        <v>15.6528032090021</v>
      </c>
    </row>
  </sheetData>
  <mergeCells count="4">
    <mergeCell ref="B2:I2"/>
    <mergeCell ref="B3:I3"/>
    <mergeCell ref="B20:E2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30"/>
    <col collapsed="false" customWidth="true" hidden="false" outlineLevel="0" max="5" min="3" style="17" width="15"/>
    <col collapsed="false" customWidth="true" hidden="false" outlineLevel="0" max="6" min="6" style="17" width="12"/>
  </cols>
  <sheetData>
    <row r="2" customFormat="false" ht="24" hidden="false" customHeight="true" outlineLevel="0" collapsed="false">
      <c r="B2" s="36" t="s">
        <v>174</v>
      </c>
      <c r="C2" s="36"/>
      <c r="D2" s="36"/>
      <c r="E2" s="36"/>
      <c r="F2" s="36"/>
      <c r="G2" s="36"/>
      <c r="H2" s="36"/>
    </row>
    <row r="3" customFormat="false" ht="15" hidden="false" customHeight="true" outlineLevel="0" collapsed="false">
      <c r="B3" s="19" t="s">
        <v>175</v>
      </c>
      <c r="C3" s="19"/>
      <c r="D3" s="19"/>
      <c r="E3" s="19"/>
      <c r="F3" s="19"/>
      <c r="G3" s="19"/>
      <c r="H3" s="19"/>
    </row>
    <row r="5" customFormat="false" ht="15" hidden="false" customHeight="true" outlineLevel="0" collapsed="false">
      <c r="B5" s="20" t="s">
        <v>176</v>
      </c>
      <c r="C5" s="20"/>
      <c r="D5" s="20"/>
      <c r="E5" s="20"/>
      <c r="F5" s="20"/>
    </row>
    <row r="6" customFormat="false" ht="15" hidden="false" customHeight="true" outlineLevel="0" collapsed="false">
      <c r="B6" s="58" t="s">
        <v>177</v>
      </c>
      <c r="C6" s="58" t="s">
        <v>178</v>
      </c>
      <c r="D6" s="58" t="s">
        <v>179</v>
      </c>
      <c r="E6" s="58" t="s">
        <v>180</v>
      </c>
    </row>
    <row r="7" customFormat="false" ht="15" hidden="false" customHeight="true" outlineLevel="0" collapsed="false">
      <c r="B7" s="24" t="s">
        <v>181</v>
      </c>
      <c r="C7" s="59" t="n">
        <v>17.3</v>
      </c>
      <c r="D7" s="59" t="n">
        <v>10.5</v>
      </c>
      <c r="E7" s="59" t="n">
        <v>26.5</v>
      </c>
    </row>
    <row r="8" customFormat="false" ht="15" hidden="false" customHeight="true" outlineLevel="0" collapsed="false">
      <c r="B8" s="24" t="s">
        <v>182</v>
      </c>
      <c r="C8" s="59" t="n">
        <v>21.6</v>
      </c>
      <c r="D8" s="59" t="n">
        <v>9.8</v>
      </c>
      <c r="E8" s="59" t="n">
        <v>27.5</v>
      </c>
    </row>
    <row r="9" customFormat="false" ht="15" hidden="false" customHeight="true" outlineLevel="0" collapsed="false">
      <c r="B9" s="24" t="s">
        <v>183</v>
      </c>
      <c r="C9" s="59" t="n">
        <v>16</v>
      </c>
      <c r="D9" s="59" t="n">
        <v>8</v>
      </c>
      <c r="E9" s="59" t="n">
        <v>24</v>
      </c>
    </row>
    <row r="10" customFormat="false" ht="15" hidden="false" customHeight="true" outlineLevel="0" collapsed="false">
      <c r="B10" s="30" t="s">
        <v>184</v>
      </c>
      <c r="C10" s="60" t="n">
        <f aca="false">MEDIAN(C7:C9)</f>
        <v>17.3</v>
      </c>
      <c r="D10" s="60" t="n">
        <f aca="false">MEDIAN(D7:D9)</f>
        <v>9.8</v>
      </c>
      <c r="E10" s="60" t="n">
        <f aca="false">MEDIAN(E7:E9)</f>
        <v>26.5</v>
      </c>
    </row>
    <row r="12" customFormat="false" ht="15" hidden="false" customHeight="true" outlineLevel="0" collapsed="false">
      <c r="B12" s="20" t="s">
        <v>185</v>
      </c>
      <c r="C12" s="20"/>
      <c r="D12" s="20"/>
      <c r="E12" s="20"/>
      <c r="F12" s="20"/>
    </row>
    <row r="13" customFormat="false" ht="15" hidden="false" customHeight="true" outlineLevel="0" collapsed="false">
      <c r="B13" s="23" t="s">
        <v>186</v>
      </c>
      <c r="C13" s="61"/>
      <c r="D13" s="23" t="s">
        <v>73</v>
      </c>
    </row>
    <row r="14" customFormat="false" ht="15" hidden="false" customHeight="true" outlineLevel="0" collapsed="false">
      <c r="B14" s="24" t="s">
        <v>187</v>
      </c>
      <c r="C14" s="61"/>
      <c r="D14" s="62" t="n">
        <f aca="false">Assumptions!$E$7+Assumptions!$E$10</f>
        <v>141819</v>
      </c>
    </row>
    <row r="15" customFormat="false" ht="15" hidden="false" customHeight="true" outlineLevel="0" collapsed="false">
      <c r="B15" s="24" t="s">
        <v>188</v>
      </c>
      <c r="C15" s="61"/>
      <c r="D15" s="62" t="n">
        <f aca="false">Assumptions!$E$6</f>
        <v>716924</v>
      </c>
    </row>
    <row r="16" customFormat="false" ht="15" hidden="false" customHeight="true" outlineLevel="0" collapsed="false">
      <c r="B16" s="24" t="s">
        <v>189</v>
      </c>
      <c r="C16" s="61"/>
      <c r="D16" s="63" t="n">
        <v>77670</v>
      </c>
    </row>
    <row r="18" customFormat="false" ht="15" hidden="false" customHeight="true" outlineLevel="0" collapsed="false">
      <c r="B18" s="20" t="s">
        <v>190</v>
      </c>
      <c r="C18" s="20"/>
      <c r="D18" s="20"/>
      <c r="E18" s="20"/>
      <c r="F18" s="20"/>
    </row>
    <row r="19" customFormat="false" ht="15" hidden="false" customHeight="true" outlineLevel="0" collapsed="false">
      <c r="B19" s="23" t="s">
        <v>191</v>
      </c>
      <c r="C19" s="23" t="s">
        <v>192</v>
      </c>
      <c r="D19" s="23" t="s">
        <v>193</v>
      </c>
      <c r="E19" s="23" t="s">
        <v>194</v>
      </c>
    </row>
    <row r="20" customFormat="false" ht="15" hidden="false" customHeight="true" outlineLevel="0" collapsed="false">
      <c r="B20" s="24" t="s">
        <v>178</v>
      </c>
      <c r="C20" s="64" t="n">
        <f aca="false">C10*D14</f>
        <v>2453468.7</v>
      </c>
      <c r="D20" s="64" t="n">
        <f aca="false">C20-Assumptions!$C$47+Assumptions!$C$48</f>
        <v>2487173.7</v>
      </c>
      <c r="E20" s="65" t="n">
        <f aca="false">D20/Assumptions!$C$49</f>
        <v>226.1067</v>
      </c>
    </row>
    <row r="21" customFormat="false" ht="15" hidden="false" customHeight="true" outlineLevel="0" collapsed="false">
      <c r="B21" s="66" t="s">
        <v>195</v>
      </c>
      <c r="C21" s="64" t="n">
        <f aca="false">D10*D15</f>
        <v>7025855.2</v>
      </c>
      <c r="D21" s="64" t="n">
        <f aca="false">C21-Assumptions!$C$47+Assumptions!$C$48</f>
        <v>7059560.2</v>
      </c>
      <c r="E21" s="65" t="n">
        <f aca="false">D21/Assumptions!$C$49</f>
        <v>641.7782</v>
      </c>
    </row>
    <row r="22" customFormat="false" ht="15" hidden="false" customHeight="true" outlineLevel="0" collapsed="false">
      <c r="B22" s="24" t="s">
        <v>196</v>
      </c>
      <c r="C22" s="67" t="s">
        <v>197</v>
      </c>
      <c r="D22" s="64" t="n">
        <f aca="false">E10*D16</f>
        <v>2058255</v>
      </c>
      <c r="E22" s="65" t="n">
        <f aca="false">D22/Assumptions!$C$49</f>
        <v>187.114090909091</v>
      </c>
    </row>
    <row r="23" customFormat="false" ht="15" hidden="false" customHeight="true" outlineLevel="0" collapsed="false">
      <c r="B23" s="68" t="s">
        <v>198</v>
      </c>
      <c r="C23" s="69"/>
      <c r="D23" s="69"/>
      <c r="E23" s="70" t="n">
        <f aca="false">AVERAGE(E20,E22)</f>
        <v>206.610395454545</v>
      </c>
    </row>
    <row r="25" customFormat="false" ht="15" hidden="false" customHeight="true" outlineLevel="0" collapsed="false">
      <c r="B25" s="71" t="s">
        <v>199</v>
      </c>
      <c r="C25" s="71"/>
      <c r="D25" s="71"/>
      <c r="E25" s="71"/>
      <c r="F25" s="71"/>
      <c r="G25" s="71"/>
      <c r="H25" s="71"/>
    </row>
    <row r="26" customFormat="false" ht="15" hidden="false" customHeight="true" outlineLevel="0" collapsed="false">
      <c r="B26" s="71"/>
      <c r="C26" s="71"/>
      <c r="D26" s="71"/>
      <c r="E26" s="71"/>
      <c r="F26" s="71"/>
      <c r="G26" s="71"/>
      <c r="H26" s="71"/>
    </row>
  </sheetData>
  <mergeCells count="6">
    <mergeCell ref="B2:H2"/>
    <mergeCell ref="B3:H3"/>
    <mergeCell ref="B5:F5"/>
    <mergeCell ref="B12:F12"/>
    <mergeCell ref="B18:F18"/>
    <mergeCell ref="B25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42"/>
    <col collapsed="false" customWidth="true" hidden="false" outlineLevel="0" max="8" min="3" style="17" width="13"/>
  </cols>
  <sheetData>
    <row r="2" customFormat="false" ht="24" hidden="false" customHeight="true" outlineLevel="0" collapsed="false">
      <c r="B2" s="36" t="s">
        <v>200</v>
      </c>
      <c r="C2" s="36"/>
      <c r="D2" s="36"/>
      <c r="E2" s="36"/>
      <c r="F2" s="36"/>
      <c r="G2" s="36"/>
      <c r="H2" s="36"/>
    </row>
    <row r="3" customFormat="false" ht="15" hidden="false" customHeight="true" outlineLevel="0" collapsed="false">
      <c r="B3" s="19" t="s">
        <v>201</v>
      </c>
      <c r="C3" s="19"/>
      <c r="D3" s="19"/>
      <c r="E3" s="19"/>
      <c r="F3" s="19"/>
      <c r="G3" s="19"/>
      <c r="H3" s="19"/>
    </row>
    <row r="5" customFormat="false" ht="15" hidden="false" customHeight="true" outlineLevel="0" collapsed="false">
      <c r="B5" s="20" t="s">
        <v>202</v>
      </c>
      <c r="C5" s="20"/>
      <c r="D5" s="20"/>
    </row>
    <row r="6" customFormat="false" ht="15" hidden="false" customHeight="true" outlineLevel="0" collapsed="false">
      <c r="B6" s="23" t="s">
        <v>98</v>
      </c>
      <c r="C6" s="23" t="s">
        <v>73</v>
      </c>
      <c r="D6" s="23" t="s">
        <v>99</v>
      </c>
    </row>
    <row r="7" customFormat="false" ht="15" hidden="false" customHeight="true" outlineLevel="0" collapsed="false">
      <c r="B7" s="24" t="s">
        <v>203</v>
      </c>
      <c r="C7" s="32" t="n">
        <v>411065</v>
      </c>
      <c r="D7" s="66" t="s">
        <v>204</v>
      </c>
    </row>
    <row r="8" customFormat="false" ht="15" hidden="false" customHeight="true" outlineLevel="0" collapsed="false">
      <c r="B8" s="24" t="s">
        <v>205</v>
      </c>
      <c r="C8" s="32" t="n">
        <v>82000</v>
      </c>
      <c r="D8" s="66" t="s">
        <v>206</v>
      </c>
    </row>
    <row r="9" customFormat="false" ht="15" hidden="false" customHeight="true" outlineLevel="0" collapsed="false">
      <c r="B9" s="24" t="s">
        <v>207</v>
      </c>
      <c r="C9" s="25" t="n">
        <v>0.12</v>
      </c>
      <c r="D9" s="66" t="s">
        <v>208</v>
      </c>
    </row>
    <row r="10" customFormat="false" ht="15" hidden="false" customHeight="true" outlineLevel="0" collapsed="false">
      <c r="B10" s="24" t="s">
        <v>209</v>
      </c>
      <c r="C10" s="25" t="n">
        <v>0.15</v>
      </c>
      <c r="D10" s="66" t="s">
        <v>210</v>
      </c>
    </row>
    <row r="11" customFormat="false" ht="15" hidden="false" customHeight="true" outlineLevel="0" collapsed="false">
      <c r="B11" s="24" t="s">
        <v>211</v>
      </c>
      <c r="C11" s="25" t="n">
        <v>0.03</v>
      </c>
      <c r="D11" s="66" t="s">
        <v>212</v>
      </c>
    </row>
    <row r="12" customFormat="false" ht="15" hidden="false" customHeight="true" outlineLevel="0" collapsed="false">
      <c r="B12" s="24" t="s">
        <v>213</v>
      </c>
      <c r="C12" s="72" t="n">
        <f aca="false">Assumptions!$C$42</f>
        <v>0.1049</v>
      </c>
      <c r="D12" s="66" t="s">
        <v>214</v>
      </c>
    </row>
    <row r="14" customFormat="false" ht="15" hidden="false" customHeight="true" outlineLevel="0" collapsed="false">
      <c r="B14" s="20" t="s">
        <v>215</v>
      </c>
      <c r="C14" s="20"/>
      <c r="D14" s="20"/>
      <c r="E14" s="20"/>
      <c r="F14" s="20"/>
      <c r="G14" s="20"/>
      <c r="H14" s="20"/>
    </row>
    <row r="15" customFormat="false" ht="15" hidden="false" customHeight="true" outlineLevel="0" collapsed="false">
      <c r="B15" s="20" t="s">
        <v>131</v>
      </c>
      <c r="C15" s="37" t="s">
        <v>216</v>
      </c>
      <c r="D15" s="37" t="s">
        <v>217</v>
      </c>
      <c r="E15" s="37" t="s">
        <v>218</v>
      </c>
      <c r="F15" s="37" t="s">
        <v>219</v>
      </c>
      <c r="G15" s="37" t="s">
        <v>220</v>
      </c>
    </row>
    <row r="16" customFormat="false" ht="15" hidden="false" customHeight="true" outlineLevel="0" collapsed="false">
      <c r="B16" s="21" t="s">
        <v>221</v>
      </c>
      <c r="C16" s="40" t="n">
        <f aca="false">C7</f>
        <v>411065</v>
      </c>
      <c r="D16" s="40" t="n">
        <f aca="false">C20</f>
        <v>480765</v>
      </c>
      <c r="E16" s="40" t="n">
        <f aca="false">D20</f>
        <v>558829</v>
      </c>
      <c r="F16" s="40" t="n">
        <f aca="false">E20</f>
        <v>646260.68</v>
      </c>
      <c r="G16" s="40" t="n">
        <f aca="false">F20</f>
        <v>744184.1616</v>
      </c>
    </row>
    <row r="17" customFormat="false" ht="15" hidden="false" customHeight="true" outlineLevel="0" collapsed="false">
      <c r="B17" s="21" t="s">
        <v>222</v>
      </c>
      <c r="C17" s="40" t="n">
        <f aca="false">C8</f>
        <v>82000</v>
      </c>
      <c r="D17" s="40" t="n">
        <f aca="false">C17*(1+C9)</f>
        <v>91840</v>
      </c>
      <c r="E17" s="40" t="n">
        <f aca="false">D17*(1+C9)</f>
        <v>102860.8</v>
      </c>
      <c r="F17" s="40" t="n">
        <f aca="false">E17*(1+C9)</f>
        <v>115204.096</v>
      </c>
      <c r="G17" s="40" t="n">
        <f aca="false">F17*(1+C9)</f>
        <v>129028.58752</v>
      </c>
    </row>
    <row r="18" customFormat="false" ht="15" hidden="false" customHeight="true" outlineLevel="0" collapsed="false">
      <c r="B18" s="21" t="s">
        <v>223</v>
      </c>
      <c r="C18" s="40" t="n">
        <f aca="false">-C16*$C$12</f>
        <v>-43120.7185</v>
      </c>
      <c r="D18" s="40" t="n">
        <f aca="false">-D16*$C$12</f>
        <v>-50432.2485</v>
      </c>
      <c r="E18" s="40" t="n">
        <f aca="false">-E16*$C$12</f>
        <v>-58621.1621</v>
      </c>
      <c r="F18" s="40" t="n">
        <f aca="false">-F16*$C$12</f>
        <v>-67792.745332</v>
      </c>
      <c r="G18" s="40" t="n">
        <f aca="false">-G16*$C$12</f>
        <v>-78064.91855184</v>
      </c>
    </row>
    <row r="19" customFormat="false" ht="15" hidden="false" customHeight="true" outlineLevel="0" collapsed="false">
      <c r="B19" s="38" t="s">
        <v>224</v>
      </c>
      <c r="C19" s="43" t="n">
        <f aca="false">C17+C18</f>
        <v>38879.2815</v>
      </c>
      <c r="D19" s="43" t="n">
        <f aca="false">D17+D18</f>
        <v>41407.7515</v>
      </c>
      <c r="E19" s="43" t="n">
        <f aca="false">E17+E18</f>
        <v>44239.6379</v>
      </c>
      <c r="F19" s="43" t="n">
        <f aca="false">F17+F18</f>
        <v>47411.350668</v>
      </c>
      <c r="G19" s="43" t="n">
        <f aca="false">G17+G18</f>
        <v>50963.6689681601</v>
      </c>
    </row>
    <row r="20" customFormat="false" ht="15" hidden="false" customHeight="true" outlineLevel="0" collapsed="false">
      <c r="B20" s="21" t="s">
        <v>225</v>
      </c>
      <c r="C20" s="40" t="n">
        <f aca="false">C16+C17*(1-$C$10)</f>
        <v>480765</v>
      </c>
      <c r="D20" s="40" t="n">
        <f aca="false">D16+D17*(1-$C$10)</f>
        <v>558829</v>
      </c>
      <c r="E20" s="40" t="n">
        <f aca="false">E16+E17*(1-$C$10)</f>
        <v>646260.68</v>
      </c>
      <c r="F20" s="40" t="n">
        <f aca="false">F16+F17*(1-$C$10)</f>
        <v>744184.1616</v>
      </c>
      <c r="G20" s="40" t="n">
        <f aca="false">G16+G17*(1-$C$10)</f>
        <v>853858.460992</v>
      </c>
    </row>
    <row r="21" customFormat="false" ht="15" hidden="false" customHeight="true" outlineLevel="0" collapsed="false">
      <c r="B21" s="21" t="s">
        <v>226</v>
      </c>
      <c r="C21" s="45" t="n">
        <f aca="false">1/(1+$C$12)^1</f>
        <v>0.905059281382931</v>
      </c>
      <c r="D21" s="45" t="n">
        <f aca="false">1/(1+$C$12)^2</f>
        <v>0.819132302817387</v>
      </c>
      <c r="E21" s="45" t="n">
        <f aca="false">1/(1+$C$12)^3</f>
        <v>0.741363293345449</v>
      </c>
      <c r="F21" s="45" t="n">
        <f aca="false">1/(1+$C$12)^4</f>
        <v>0.670977729518915</v>
      </c>
      <c r="G21" s="45" t="n">
        <f aca="false">1/(1+$C$12)^5</f>
        <v>0.60727462170234</v>
      </c>
    </row>
    <row r="22" customFormat="false" ht="15" hidden="false" customHeight="true" outlineLevel="0" collapsed="false">
      <c r="B22" s="38" t="s">
        <v>227</v>
      </c>
      <c r="C22" s="43" t="n">
        <f aca="false">C19*C21</f>
        <v>35188.0545750747</v>
      </c>
      <c r="D22" s="43" t="n">
        <f aca="false">D19*D21</f>
        <v>33918.4268406851</v>
      </c>
      <c r="E22" s="43" t="n">
        <f aca="false">E19*E21</f>
        <v>32797.6436499542</v>
      </c>
      <c r="F22" s="43" t="n">
        <f aca="false">F19*F21</f>
        <v>31811.9604246398</v>
      </c>
      <c r="G22" s="43" t="n">
        <f aca="false">G19*G21</f>
        <v>30948.9427932027</v>
      </c>
    </row>
    <row r="24" customFormat="false" ht="15" hidden="false" customHeight="true" outlineLevel="0" collapsed="false">
      <c r="B24" s="20" t="s">
        <v>228</v>
      </c>
      <c r="C24" s="20"/>
      <c r="D24" s="20"/>
      <c r="E24" s="20"/>
    </row>
    <row r="25" customFormat="false" ht="15" hidden="false" customHeight="true" outlineLevel="0" collapsed="false">
      <c r="B25" s="21" t="s">
        <v>229</v>
      </c>
      <c r="E25" s="40" t="n">
        <f aca="false">C7</f>
        <v>411065</v>
      </c>
    </row>
    <row r="26" customFormat="false" ht="15" hidden="false" customHeight="true" outlineLevel="0" collapsed="false">
      <c r="B26" s="21" t="s">
        <v>230</v>
      </c>
      <c r="E26" s="40" t="n">
        <f aca="false">SUM(C22:G22)</f>
        <v>164665.028283556</v>
      </c>
    </row>
    <row r="27" customFormat="false" ht="15" hidden="false" customHeight="true" outlineLevel="0" collapsed="false">
      <c r="B27" s="21" t="s">
        <v>231</v>
      </c>
      <c r="E27" s="40" t="n">
        <f aca="false">(G19*(1+C11)/($C$12-C11))*G21</f>
        <v>425599.61384511</v>
      </c>
    </row>
    <row r="28" customFormat="false" ht="15" hidden="false" customHeight="true" outlineLevel="0" collapsed="false">
      <c r="B28" s="47" t="s">
        <v>232</v>
      </c>
      <c r="E28" s="73" t="n">
        <f aca="false">E25+E26+E27</f>
        <v>1001329.64212867</v>
      </c>
    </row>
    <row r="29" customFormat="false" ht="15" hidden="false" customHeight="true" outlineLevel="0" collapsed="false">
      <c r="B29" s="51" t="s">
        <v>160</v>
      </c>
      <c r="C29" s="52"/>
      <c r="D29" s="52"/>
      <c r="E29" s="70" t="n">
        <f aca="false">E28/Assumptions!$C$49</f>
        <v>91.0299674662424</v>
      </c>
    </row>
    <row r="31" customFormat="false" ht="15" hidden="false" customHeight="true" outlineLevel="0" collapsed="false">
      <c r="B31" s="71" t="s">
        <v>233</v>
      </c>
      <c r="C31" s="71"/>
      <c r="D31" s="71"/>
      <c r="E31" s="71"/>
      <c r="F31" s="71"/>
      <c r="G31" s="71"/>
      <c r="H31" s="71"/>
    </row>
    <row r="32" customFormat="false" ht="15" hidden="false" customHeight="true" outlineLevel="0" collapsed="false">
      <c r="B32" s="71"/>
      <c r="C32" s="71"/>
      <c r="D32" s="71"/>
      <c r="E32" s="71"/>
      <c r="F32" s="71"/>
      <c r="G32" s="71"/>
      <c r="H32" s="71"/>
    </row>
  </sheetData>
  <mergeCells count="6">
    <mergeCell ref="B2:H2"/>
    <mergeCell ref="B3:H3"/>
    <mergeCell ref="B5:D5"/>
    <mergeCell ref="B14:H14"/>
    <mergeCell ref="B24:E24"/>
    <mergeCell ref="B31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14"/>
    <col collapsed="false" customWidth="true" hidden="false" outlineLevel="0" max="7" min="3" style="17" width="12"/>
  </cols>
  <sheetData>
    <row r="2" customFormat="false" ht="21.75" hidden="false" customHeight="true" outlineLevel="0" collapsed="false">
      <c r="B2" s="74" t="s">
        <v>234</v>
      </c>
      <c r="C2" s="74"/>
      <c r="D2" s="74"/>
      <c r="E2" s="74"/>
      <c r="F2" s="74"/>
      <c r="G2" s="74"/>
      <c r="H2" s="74"/>
      <c r="I2" s="74"/>
      <c r="J2" s="74"/>
    </row>
    <row r="3" customFormat="false" ht="15" hidden="false" customHeight="true" outlineLevel="0" collapsed="false">
      <c r="B3" s="19" t="s">
        <v>235</v>
      </c>
      <c r="C3" s="19"/>
      <c r="D3" s="19"/>
      <c r="E3" s="19"/>
      <c r="F3" s="19"/>
      <c r="G3" s="19"/>
      <c r="H3" s="19"/>
      <c r="I3" s="19"/>
      <c r="J3" s="19"/>
    </row>
    <row r="4" customFormat="false" ht="15" hidden="false" customHeight="false" outlineLevel="0" collapsed="false">
      <c r="B4" s="5" t="s">
        <v>236</v>
      </c>
      <c r="C4" s="75" t="n">
        <v>0.005</v>
      </c>
      <c r="D4" s="5" t="s">
        <v>237</v>
      </c>
      <c r="E4" s="75" t="n">
        <v>0.005</v>
      </c>
    </row>
    <row r="6" customFormat="false" ht="15" hidden="false" customHeight="true" outlineLevel="0" collapsed="false">
      <c r="B6" s="20" t="s">
        <v>238</v>
      </c>
      <c r="C6" s="76" t="n">
        <f aca="false">Assumptions!$C$38+(-2)*$E$4</f>
        <v>0.025</v>
      </c>
      <c r="D6" s="76" t="n">
        <f aca="false">Assumptions!$C$38+(-1)*$E$4</f>
        <v>0.03</v>
      </c>
      <c r="E6" s="76" t="n">
        <f aca="false">Assumptions!$C$38+(0)*$E$4</f>
        <v>0.035</v>
      </c>
      <c r="F6" s="76" t="n">
        <f aca="false">Assumptions!$C$38+(1)*$E$4</f>
        <v>0.04</v>
      </c>
      <c r="G6" s="76" t="n">
        <f aca="false">Assumptions!$C$38+(2)*$E$4</f>
        <v>0.045</v>
      </c>
    </row>
    <row r="7" customFormat="false" ht="15" hidden="false" customHeight="true" outlineLevel="0" collapsed="false">
      <c r="B7" s="77" t="n">
        <f aca="false">Assumptions!$C$44+(-2)*$C$4</f>
        <v>0.08866</v>
      </c>
      <c r="C7" s="78" t="n">
        <f aca="false">(SUMPRODUCT('DCF Model'!$D$15:$H$15,(1+$B7)^(-'DCF Model'!$D$16:$H$16))+'DCF Model'!$H$15*(1+C$6)/($B7-C$6)*(1+$B7)^(-'DCF Model'!$H$16)-Assumptions!$C$47+Assumptions!$C$48)/Assumptions!$C$49</f>
        <v>123.301048663799</v>
      </c>
      <c r="D7" s="78" t="n">
        <f aca="false">(SUMPRODUCT('DCF Model'!$D$15:$H$15,(1+$B7)^(-'DCF Model'!$D$16:$H$16))+'DCF Model'!$H$15*(1+D$6)/($B7-D$6)*(1+$B7)^(-'DCF Model'!$H$16)-Assumptions!$C$47+Assumptions!$C$48)/Assumptions!$C$49</f>
        <v>132.865587685128</v>
      </c>
      <c r="E7" s="78" t="n">
        <f aca="false">(SUMPRODUCT('DCF Model'!$D$15:$H$15,(1+$B7)^(-'DCF Model'!$D$16:$H$16))+'DCF Model'!$H$15*(1+E$6)/($B7-E$6)*(1+$B7)^(-'DCF Model'!$H$16)-Assumptions!$C$47+Assumptions!$C$48)/Assumptions!$C$49</f>
        <v>144.212560366787</v>
      </c>
      <c r="F7" s="78" t="n">
        <f aca="false">(SUMPRODUCT('DCF Model'!$D$15:$H$15,(1+$B7)^(-'DCF Model'!$D$16:$H$16))+'DCF Model'!$H$15*(1+F$6)/($B7-F$6)*(1+$B7)^(-'DCF Model'!$H$16)-Assumptions!$C$47+Assumptions!$C$48)/Assumptions!$C$49</f>
        <v>157.891422214426</v>
      </c>
      <c r="G7" s="78" t="n">
        <f aca="false">(SUMPRODUCT('DCF Model'!$D$15:$H$15,(1+$B7)^(-'DCF Model'!$D$16:$H$16))+'DCF Model'!$H$15*(1+G$6)/($B7-G$6)*(1+$B7)^(-'DCF Model'!$H$16)-Assumptions!$C$47+Assumptions!$C$48)/Assumptions!$C$49</f>
        <v>174.703326171007</v>
      </c>
    </row>
    <row r="8" customFormat="false" ht="15" hidden="false" customHeight="true" outlineLevel="0" collapsed="false">
      <c r="B8" s="77" t="n">
        <f aca="false">Assumptions!$C$44+(-1)*$C$4</f>
        <v>0.09366</v>
      </c>
      <c r="C8" s="78" t="n">
        <f aca="false">(SUMPRODUCT('DCF Model'!$D$15:$H$15,(1+$B8)^(-'DCF Model'!$D$16:$H$16))+'DCF Model'!$H$15*(1+C$6)/($B8-C$6)*(1+$B8)^(-'DCF Model'!$H$16)-Assumptions!$C$47+Assumptions!$C$48)/Assumptions!$C$49</f>
        <v>113.107755558728</v>
      </c>
      <c r="D8" s="78" t="n">
        <f aca="false">(SUMPRODUCT('DCF Model'!$D$15:$H$15,(1+$B8)^(-'DCF Model'!$D$16:$H$16))+'DCF Model'!$H$15*(1+D$6)/($B8-D$6)*(1+$B8)^(-'DCF Model'!$H$16)-Assumptions!$C$47+Assumptions!$C$48)/Assumptions!$C$49</f>
        <v>121.130852769603</v>
      </c>
      <c r="E8" s="78" t="n">
        <f aca="false">(SUMPRODUCT('DCF Model'!$D$15:$H$15,(1+$B8)^(-'DCF Model'!$D$16:$H$16))+'DCF Model'!$H$15*(1+E$6)/($B8-E$6)*(1+$B8)^(-'DCF Model'!$H$16)-Assumptions!$C$47+Assumptions!$C$48)/Assumptions!$C$49</f>
        <v>130.521678792423</v>
      </c>
      <c r="F8" s="78" t="n">
        <f aca="false">(SUMPRODUCT('DCF Model'!$D$15:$H$15,(1+$B8)^(-'DCF Model'!$D$16:$H$16))+'DCF Model'!$H$15*(1+F$6)/($B8-F$6)*(1+$B8)^(-'DCF Model'!$H$16)-Assumptions!$C$47+Assumptions!$C$48)/Assumptions!$C$49</f>
        <v>141.662565572385</v>
      </c>
      <c r="G8" s="78" t="n">
        <f aca="false">(SUMPRODUCT('DCF Model'!$D$15:$H$15,(1+$B8)^(-'DCF Model'!$D$16:$H$16))+'DCF Model'!$H$15*(1+G$6)/($B8-G$6)*(1+$B8)^(-'DCF Model'!$H$16)-Assumptions!$C$47+Assumptions!$C$48)/Assumptions!$C$49</f>
        <v>155.092989298495</v>
      </c>
    </row>
    <row r="9" customFormat="false" ht="15" hidden="false" customHeight="true" outlineLevel="0" collapsed="false">
      <c r="B9" s="77" t="n">
        <f aca="false">Assumptions!$C$44+(0)*$C$4</f>
        <v>0.09866</v>
      </c>
      <c r="C9" s="78" t="n">
        <f aca="false">(SUMPRODUCT('DCF Model'!$D$15:$H$15,(1+$B9)^(-'DCF Model'!$D$16:$H$16))+'DCF Model'!$H$15*(1+C$6)/($B9-C$6)*(1+$B9)^(-'DCF Model'!$H$16)-Assumptions!$C$47+Assumptions!$C$48)/Assumptions!$C$49</f>
        <v>104.32291658272</v>
      </c>
      <c r="D9" s="78" t="n">
        <f aca="false">(SUMPRODUCT('DCF Model'!$D$15:$H$15,(1+$B9)^(-'DCF Model'!$D$16:$H$16))+'DCF Model'!$H$15*(1+D$6)/($B9-D$6)*(1+$B9)^(-'DCF Model'!$H$16)-Assumptions!$C$47+Assumptions!$C$48)/Assumptions!$C$49</f>
        <v>111.131441564771</v>
      </c>
      <c r="E9" s="79" t="n">
        <f aca="false">(SUMPRODUCT('DCF Model'!$D$15:$H$15,(1+$B9)^(-'DCF Model'!$D$16:$H$16))+'DCF Model'!$H$15*(1+E$6)/($B9-E$6)*(1+$B9)^(-'DCF Model'!$H$16)-Assumptions!$C$47+Assumptions!$C$48)/Assumptions!$C$49</f>
        <v>119.00948036744</v>
      </c>
      <c r="F9" s="78" t="n">
        <f aca="false">(SUMPRODUCT('DCF Model'!$D$15:$H$15,(1+$B9)^(-'DCF Model'!$D$16:$H$16))+'DCF Model'!$H$15*(1+F$6)/($B9-F$6)*(1+$B9)^(-'DCF Model'!$H$16)-Assumptions!$C$47+Assumptions!$C$48)/Assumptions!$C$49</f>
        <v>128.230519306942</v>
      </c>
      <c r="G9" s="78" t="n">
        <f aca="false">(SUMPRODUCT('DCF Model'!$D$15:$H$15,(1+$B9)^(-'DCF Model'!$D$16:$H$16))+'DCF Model'!$H$15*(1+G$6)/($B9-G$6)*(1+$B9)^(-'DCF Model'!$H$16)-Assumptions!$C$47+Assumptions!$C$48)/Assumptions!$C$49</f>
        <v>139.169977728276</v>
      </c>
    </row>
    <row r="10" customFormat="false" ht="15" hidden="false" customHeight="true" outlineLevel="0" collapsed="false">
      <c r="B10" s="77" t="n">
        <f aca="false">Assumptions!$C$44+(1)*$C$4</f>
        <v>0.10366</v>
      </c>
      <c r="C10" s="78" t="n">
        <f aca="false">(SUMPRODUCT('DCF Model'!$D$15:$H$15,(1+$B10)^(-'DCF Model'!$D$16:$H$16))+'DCF Model'!$H$15*(1+C$6)/($B10-C$6)*(1+$B10)^(-'DCF Model'!$H$16)-Assumptions!$C$47+Assumptions!$C$48)/Assumptions!$C$49</f>
        <v>96.6773979992247</v>
      </c>
      <c r="D10" s="78" t="n">
        <f aca="false">(SUMPRODUCT('DCF Model'!$D$15:$H$15,(1+$B10)^(-'DCF Model'!$D$16:$H$16))+'DCF Model'!$H$15*(1+D$6)/($B10-D$6)*(1+$B10)^(-'DCF Model'!$H$16)-Assumptions!$C$47+Assumptions!$C$48)/Assumptions!$C$49</f>
        <v>102.513393302142</v>
      </c>
      <c r="E10" s="78" t="n">
        <f aca="false">(SUMPRODUCT('DCF Model'!$D$15:$H$15,(1+$B10)^(-'DCF Model'!$D$16:$H$16))+'DCF Model'!$H$15*(1+E$6)/($B10-E$6)*(1+$B10)^(-'DCF Model'!$H$16)-Assumptions!$C$47+Assumptions!$C$48)/Assumptions!$C$49</f>
        <v>109.19937335643</v>
      </c>
      <c r="F10" s="78" t="n">
        <f aca="false">(SUMPRODUCT('DCF Model'!$D$15:$H$15,(1+$B10)^(-'DCF Model'!$D$16:$H$16))+'DCF Model'!$H$15*(1+F$6)/($B10-F$6)*(1+$B10)^(-'DCF Model'!$H$16)-Assumptions!$C$47+Assumptions!$C$48)/Assumptions!$C$49</f>
        <v>116.935617321226</v>
      </c>
      <c r="G10" s="78" t="n">
        <f aca="false">(SUMPRODUCT('DCF Model'!$D$15:$H$15,(1+$B10)^(-'DCF Model'!$D$16:$H$16))+'DCF Model'!$H$15*(1+G$6)/($B10-G$6)*(1+$B10)^(-'DCF Model'!$H$16)-Assumptions!$C$47+Assumptions!$C$48)/Assumptions!$C$49</f>
        <v>125.990689101363</v>
      </c>
    </row>
    <row r="11" customFormat="false" ht="15" hidden="false" customHeight="true" outlineLevel="0" collapsed="false">
      <c r="B11" s="77" t="n">
        <f aca="false">Assumptions!$C$44+(2)*$C$4</f>
        <v>0.10866</v>
      </c>
      <c r="C11" s="78" t="n">
        <f aca="false">(SUMPRODUCT('DCF Model'!$D$15:$H$15,(1+$B11)^(-'DCF Model'!$D$16:$H$16))+'DCF Model'!$H$15*(1+C$6)/($B11-C$6)*(1+$B11)^(-'DCF Model'!$H$16)-Assumptions!$C$47+Assumptions!$C$48)/Assumptions!$C$49</f>
        <v>89.9664208645979</v>
      </c>
      <c r="D11" s="78" t="n">
        <f aca="false">(SUMPRODUCT('DCF Model'!$D$15:$H$15,(1+$B11)^(-'DCF Model'!$D$16:$H$16))+'DCF Model'!$H$15*(1+D$6)/($B11-D$6)*(1+$B11)^(-'DCF Model'!$H$16)-Assumptions!$C$47+Assumptions!$C$48)/Assumptions!$C$49</f>
        <v>95.0127605869151</v>
      </c>
      <c r="E11" s="78" t="n">
        <f aca="false">(SUMPRODUCT('DCF Model'!$D$15:$H$15,(1+$B11)^(-'DCF Model'!$D$16:$H$16))+'DCF Model'!$H$15*(1+E$6)/($B11-E$6)*(1+$B11)^(-'DCF Model'!$H$16)-Assumptions!$C$47+Assumptions!$C$48)/Assumptions!$C$49</f>
        <v>100.744185799636</v>
      </c>
      <c r="F11" s="78" t="n">
        <f aca="false">(SUMPRODUCT('DCF Model'!$D$15:$H$15,(1+$B11)^(-'DCF Model'!$D$16:$H$16))+'DCF Model'!$H$15*(1+F$6)/($B11-F$6)*(1+$B11)^(-'DCF Model'!$H$16)-Assumptions!$C$47+Assumptions!$C$48)/Assumptions!$C$49</f>
        <v>107.310365631164</v>
      </c>
      <c r="G11" s="78" t="n">
        <f aca="false">(SUMPRODUCT('DCF Model'!$D$15:$H$15,(1+$B11)^(-'DCF Model'!$D$16:$H$16))+'DCF Model'!$H$15*(1+G$6)/($B11-G$6)*(1+$B11)^(-'DCF Model'!$H$16)-Assumptions!$C$47+Assumptions!$C$48)/Assumptions!$C$49</f>
        <v>114.907990613732</v>
      </c>
    </row>
    <row r="12" customFormat="false" ht="15" hidden="false" customHeight="true" outlineLevel="0" collapsed="false">
      <c r="B12" s="80"/>
      <c r="C12" s="81"/>
      <c r="D12" s="81"/>
      <c r="E12" s="81"/>
      <c r="F12" s="81"/>
      <c r="G12" s="81"/>
    </row>
    <row r="13" customFormat="false" ht="15" hidden="false" customHeight="false" outlineLevel="0" collapsed="false">
      <c r="B13" s="16" t="s">
        <v>239</v>
      </c>
      <c r="E13" s="82" t="n">
        <f aca="false">E9-'DCF Model'!E30</f>
        <v>0</v>
      </c>
    </row>
    <row r="15" customFormat="false" ht="15" hidden="false" customHeight="false" outlineLevel="0" collapsed="false">
      <c r="B15" s="4" t="s">
        <v>161</v>
      </c>
    </row>
    <row r="16" customFormat="false" ht="15" hidden="false" customHeight="false" outlineLevel="0" collapsed="false">
      <c r="B16" s="4" t="s">
        <v>238</v>
      </c>
      <c r="C16" s="83" t="n">
        <f aca="false">C6</f>
        <v>0.025</v>
      </c>
      <c r="D16" s="83" t="n">
        <f aca="false">D6</f>
        <v>0.03</v>
      </c>
      <c r="E16" s="83" t="n">
        <f aca="false">E6</f>
        <v>0.035</v>
      </c>
      <c r="F16" s="83" t="n">
        <f aca="false">F6</f>
        <v>0.04</v>
      </c>
      <c r="G16" s="83" t="n">
        <f aca="false">G6</f>
        <v>0.045</v>
      </c>
    </row>
    <row r="17" customFormat="false" ht="15" hidden="false" customHeight="false" outlineLevel="0" collapsed="false">
      <c r="B17" s="83" t="n">
        <f aca="false">B7</f>
        <v>0.08866</v>
      </c>
      <c r="C17" s="83" t="n">
        <f aca="false">C7/Assumptions!$C$50-1</f>
        <v>-0.523253108054754</v>
      </c>
      <c r="D17" s="83" t="n">
        <f aca="false">D7/Assumptions!$C$50-1</f>
        <v>-0.486271555174851</v>
      </c>
      <c r="E17" s="83" t="n">
        <f aca="false">E7/Assumptions!$C$50-1</f>
        <v>-0.442398173580841</v>
      </c>
      <c r="F17" s="83" t="n">
        <f aca="false">F7/Assumptions!$C$50-1</f>
        <v>-0.389508478465661</v>
      </c>
      <c r="G17" s="83" t="n">
        <f aca="false">G7/Assumptions!$C$50-1</f>
        <v>-0.324504789966336</v>
      </c>
    </row>
    <row r="18" customFormat="false" ht="15" hidden="false" customHeight="false" outlineLevel="0" collapsed="false">
      <c r="B18" s="83" t="n">
        <f aca="false">B8</f>
        <v>0.09366</v>
      </c>
      <c r="C18" s="83" t="n">
        <f aca="false">C8/Assumptions!$C$50-1</f>
        <v>-0.562665755872372</v>
      </c>
      <c r="D18" s="83" t="n">
        <f aca="false">D8/Assumptions!$C$50-1</f>
        <v>-0.531644230098586</v>
      </c>
      <c r="E18" s="83" t="n">
        <f aca="false">E8/Assumptions!$C$50-1</f>
        <v>-0.495334343299606</v>
      </c>
      <c r="F18" s="83" t="n">
        <f aca="false">F8/Assumptions!$C$50-1</f>
        <v>-0.452257798506034</v>
      </c>
      <c r="G18" s="83" t="n">
        <f aca="false">G8/Assumptions!$C$50-1</f>
        <v>-0.400328696212755</v>
      </c>
    </row>
    <row r="19" customFormat="false" ht="15" hidden="false" customHeight="false" outlineLevel="0" collapsed="false">
      <c r="B19" s="83" t="n">
        <f aca="false">B9</f>
        <v>0.09866</v>
      </c>
      <c r="C19" s="83" t="n">
        <f aca="false">C9/Assumptions!$C$50-1</f>
        <v>-0.596632577107374</v>
      </c>
      <c r="D19" s="83" t="n">
        <f aca="false">D9/Assumptions!$C$50-1</f>
        <v>-0.57030722822267</v>
      </c>
      <c r="E19" s="83" t="n">
        <f aca="false">E9/Assumptions!$C$50-1</f>
        <v>-0.539846574769208</v>
      </c>
      <c r="F19" s="83" t="n">
        <f aca="false">F9/Assumptions!$C$50-1</f>
        <v>-0.504193174392212</v>
      </c>
      <c r="G19" s="83" t="n">
        <f aca="false">G9/Assumptions!$C$50-1</f>
        <v>-0.46189545788085</v>
      </c>
    </row>
    <row r="20" customFormat="false" ht="15" hidden="false" customHeight="false" outlineLevel="0" collapsed="false">
      <c r="B20" s="83" t="n">
        <f aca="false">B10</f>
        <v>0.10366</v>
      </c>
      <c r="C20" s="83" t="n">
        <f aca="false">C10/Assumptions!$C$50-1</f>
        <v>-0.62619418474568</v>
      </c>
      <c r="D20" s="83" t="n">
        <f aca="false">D10/Assumptions!$C$50-1</f>
        <v>-0.60362914858237</v>
      </c>
      <c r="E20" s="83" t="n">
        <f aca="false">E10/Assumptions!$C$50-1</f>
        <v>-0.577777623027375</v>
      </c>
      <c r="F20" s="83" t="n">
        <f aca="false">F10/Assumptions!$C$50-1</f>
        <v>-0.547865223209892</v>
      </c>
      <c r="G20" s="83" t="n">
        <f aca="false">G10/Assumptions!$C$50-1</f>
        <v>-0.512853539413977</v>
      </c>
    </row>
    <row r="21" customFormat="false" ht="15" hidden="false" customHeight="false" outlineLevel="0" collapsed="false">
      <c r="B21" s="83" t="n">
        <f aca="false">B11</f>
        <v>0.10866</v>
      </c>
      <c r="C21" s="83" t="n">
        <f aca="false">C11/Assumptions!$C$50-1</f>
        <v>-0.652142362198516</v>
      </c>
      <c r="D21" s="83" t="n">
        <f aca="false">D11/Assumptions!$C$50-1</f>
        <v>-0.632630551030758</v>
      </c>
      <c r="E21" s="83" t="n">
        <f aca="false">E11/Assumptions!$C$50-1</f>
        <v>-0.610469837993905</v>
      </c>
      <c r="F21" s="83" t="n">
        <f aca="false">F11/Assumptions!$C$50-1</f>
        <v>-0.585081523291329</v>
      </c>
      <c r="G21" s="83" t="n">
        <f aca="false">G11/Assumptions!$C$50-1</f>
        <v>-0.555705097576724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"/>
    <col collapsed="false" customWidth="true" hidden="false" outlineLevel="0" max="2" min="2" style="17" width="32"/>
    <col collapsed="false" customWidth="true" hidden="false" outlineLevel="0" max="3" min="3" style="17" width="20"/>
    <col collapsed="false" customWidth="true" hidden="false" outlineLevel="0" max="4" min="4" style="17" width="30"/>
  </cols>
  <sheetData>
    <row r="2" customFormat="false" ht="24" hidden="false" customHeight="true" outlineLevel="0" collapsed="false">
      <c r="B2" s="36" t="s">
        <v>240</v>
      </c>
      <c r="C2" s="36"/>
      <c r="D2" s="36"/>
      <c r="E2" s="36"/>
      <c r="F2" s="36"/>
    </row>
    <row r="3" customFormat="false" ht="15" hidden="false" customHeight="true" outlineLevel="0" collapsed="false">
      <c r="B3" s="19" t="s">
        <v>241</v>
      </c>
      <c r="C3" s="19"/>
      <c r="D3" s="19"/>
      <c r="E3" s="19"/>
      <c r="F3" s="19"/>
    </row>
    <row r="5" customFormat="false" ht="15" hidden="false" customHeight="true" outlineLevel="0" collapsed="false">
      <c r="B5" s="84" t="s">
        <v>191</v>
      </c>
      <c r="C5" s="84" t="s">
        <v>242</v>
      </c>
      <c r="D5" s="84" t="s">
        <v>243</v>
      </c>
      <c r="E5" s="4" t="s">
        <v>244</v>
      </c>
    </row>
    <row r="6" customFormat="false" ht="15" hidden="false" customHeight="true" outlineLevel="0" collapsed="false">
      <c r="B6" s="24" t="s">
        <v>245</v>
      </c>
      <c r="C6" s="85" t="n">
        <f aca="false">'DCF Model'!$E$30</f>
        <v>119.00948036744</v>
      </c>
      <c r="D6" s="66" t="s">
        <v>246</v>
      </c>
      <c r="E6" s="54" t="n">
        <f aca="false">C6/Assumptions!$C$50-1</f>
        <v>-0.539846574769208</v>
      </c>
    </row>
    <row r="7" customFormat="false" ht="15" hidden="false" customHeight="true" outlineLevel="0" collapsed="false">
      <c r="B7" s="24" t="s">
        <v>247</v>
      </c>
      <c r="C7" s="85" t="n">
        <f aca="false">Comps!$E$23</f>
        <v>206.610395454545</v>
      </c>
      <c r="D7" s="66" t="s">
        <v>248</v>
      </c>
      <c r="E7" s="54" t="n">
        <f aca="false">C7/Assumptions!$C$50-1</f>
        <v>-0.201135230040809</v>
      </c>
    </row>
    <row r="8" customFormat="false" ht="15" hidden="false" customHeight="true" outlineLevel="0" collapsed="false">
      <c r="B8" s="24" t="s">
        <v>249</v>
      </c>
      <c r="C8" s="85" t="n">
        <f aca="false">'Residual Income'!$E$29</f>
        <v>91.0299674662424</v>
      </c>
      <c r="D8" s="66" t="s">
        <v>250</v>
      </c>
      <c r="E8" s="54" t="n">
        <f aca="false">C8/Assumptions!$C$50-1</f>
        <v>-0.648030130045848</v>
      </c>
    </row>
    <row r="9" customFormat="false" ht="15" hidden="false" customHeight="true" outlineLevel="0" collapsed="false">
      <c r="B9" s="23" t="s">
        <v>251</v>
      </c>
      <c r="C9" s="86" t="n">
        <f aca="false">MIN(C6:C8)</f>
        <v>91.0299674662424</v>
      </c>
      <c r="E9" s="54" t="n">
        <f aca="false">C9/Assumptions!$C$50-1</f>
        <v>-0.648030130045848</v>
      </c>
    </row>
    <row r="10" customFormat="false" ht="15" hidden="false" customHeight="true" outlineLevel="0" collapsed="false">
      <c r="B10" s="23" t="s">
        <v>252</v>
      </c>
      <c r="C10" s="87" t="n">
        <f aca="false">MEDIAN(C6:C8)</f>
        <v>119.00948036744</v>
      </c>
      <c r="E10" s="54" t="n">
        <f aca="false">C10/Assumptions!$C$50-1</f>
        <v>-0.539846574769208</v>
      </c>
    </row>
    <row r="11" customFormat="false" ht="15" hidden="false" customHeight="true" outlineLevel="0" collapsed="false">
      <c r="B11" s="23" t="s">
        <v>253</v>
      </c>
      <c r="C11" s="86" t="n">
        <f aca="false">MAX(C6:C8)</f>
        <v>206.610395454545</v>
      </c>
      <c r="E11" s="54" t="n">
        <f aca="false">C11/Assumptions!$C$50-1</f>
        <v>-0.201135230040809</v>
      </c>
    </row>
    <row r="12" customFormat="false" ht="15" hidden="false" customHeight="false" outlineLevel="0" collapsed="false">
      <c r="B12" s="5" t="s">
        <v>254</v>
      </c>
      <c r="C12" s="88" t="n">
        <f aca="false">Assumptions!$C$50</f>
        <v>258.63</v>
      </c>
    </row>
    <row r="13" customFormat="false" ht="15" hidden="false" customHeight="true" outlineLevel="0" collapsed="false">
      <c r="B13" s="71" t="s">
        <v>255</v>
      </c>
      <c r="C13" s="71"/>
      <c r="D13" s="71"/>
      <c r="E13" s="71"/>
      <c r="F13" s="71"/>
    </row>
    <row r="14" customFormat="false" ht="15" hidden="false" customHeight="true" outlineLevel="0" collapsed="false">
      <c r="B14" s="71"/>
      <c r="C14" s="71"/>
      <c r="D14" s="71"/>
      <c r="E14" s="71"/>
      <c r="F14" s="71"/>
    </row>
    <row r="15" customFormat="false" ht="15" hidden="false" customHeight="true" outlineLevel="0" collapsed="false">
      <c r="B15" s="71"/>
      <c r="C15" s="71"/>
      <c r="D15" s="71"/>
      <c r="E15" s="71"/>
      <c r="F15" s="71"/>
    </row>
  </sheetData>
  <mergeCells count="3">
    <mergeCell ref="B2:F2"/>
    <mergeCell ref="B3:F3"/>
    <mergeCell ref="B13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2026-08-21T12:24:27Z</dcterms:created>
  <dc:creator>Jung Ryul Lee</dc:creator>
  <dc:description/>
  <dc:language>en-US</dc:language>
  <cp:lastModifiedBy>Jung Ryul Lee</cp:lastModifiedBy>
  <dcterms:modified xsi:type="dcterms:W3CDTF">2026-10-19T06:15:31Z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