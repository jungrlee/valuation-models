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Deal_Structure" sheetId="4" state="visible" r:id="rId6"/>
    <sheet name="Model" sheetId="5" state="visible" r:id="rId7"/>
    <sheet name="Scenarios" sheetId="6" state="visible" r:id="rId8"/>
    <sheet name="Valuation" sheetId="7" state="visible" r:id="rId9"/>
    <sheet name="Comps" sheetId="8" state="visible" r:id="rId10"/>
    <sheet name="FX_Hedge" sheetId="9" state="visible" r:id="rId11"/>
    <sheet name="FX_MonteCarlo" sheetId="10" state="visible" r:id="rId12"/>
    <sheet name="Sensitivity" sheetId="11" state="visible" r:id="rId13"/>
    <sheet name="Post_Mortem" sheetId="12" state="visible" r:id="rId14"/>
    <sheet name="Practice" sheetId="13" state="visible" r:id="rId15"/>
    <sheet name="Sources" sheetId="14" state="visible" r:id="rId16"/>
  </sheets>
  <definedNames>
    <definedName function="false" hidden="false" name="amort_yrs" vbProcedure="false">Inputs!$C$44</definedName>
    <definedName function="false" hidden="false" name="ann_date" vbProcedure="false">Inputs!$C$7</definedName>
    <definedName function="false" hidden="false" name="beta" vbProcedure="false">Inputs!$C$64</definedName>
    <definedName function="false" hidden="false" name="buyer_ebitda" vbProcedure="false">Inputs!$C$71</definedName>
    <definedName function="false" hidden="false" name="buyer_nd" vbProcedure="false">Inputs!$C$70</definedName>
    <definedName function="false" hidden="false" name="buyer_ni" vbProcedure="false">Inputs!$C$30</definedName>
    <definedName function="false" hidden="false" name="buyer_px" vbProcedure="false">Inputs!$C$32</definedName>
    <definedName function="false" hidden="false" name="buyer_sh" vbProcedure="false">Inputs!$C$31</definedName>
    <definedName function="false" hidden="false" name="c1_date" vbProcedure="false">Inputs!$C$8</definedName>
    <definedName function="false" hidden="false" name="c2_date" vbProcedure="false">Inputs!$C$9</definedName>
    <definedName function="false" hidden="false" name="capex_pct" vbProcedure="false">Inputs!$C$53</definedName>
    <definedName function="false" hidden="false" name="chk_fin" vbProcedure="false">Inputs!$C$78</definedName>
    <definedName function="false" hidden="false" name="chk_prob" vbProcedure="false">Inputs!$C$79</definedName>
    <definedName function="false" hidden="false" name="crp" vbProcedure="false">Inputs!$C$65</definedName>
    <definedName function="false" hidden="false" name="cr_add" vbProcedure="false">Deal_Structure!$C$42</definedName>
    <definedName function="false" hidden="false" name="cr_dlev" vbProcedure="false">Deal_Structure!$C$47</definedName>
    <definedName function="false" hidden="false" name="cr_ebitda" vbProcedure="false">Deal_Structure!$C$40</definedName>
    <definedName function="false" hidden="false" name="cr_lev" vbProcedure="false">Deal_Structure!$C$41</definedName>
    <definedName function="false" hidden="false" name="cr_nd" vbProcedure="false">Deal_Structure!$C$39</definedName>
    <definedName function="false" hidden="false" name="cr_pf_ebitda" vbProcedure="false">Deal_Structure!$C$45</definedName>
    <definedName function="false" hidden="false" name="cr_pf_lev" vbProcedure="false">Deal_Structure!$C$46</definedName>
    <definedName function="false" hidden="false" name="cr_pf_nd" vbProcedure="false">Deal_Structure!$C$44</definedName>
    <definedName function="false" hidden="false" name="cr_tebitda" vbProcedure="false">Deal_Structure!$C$43</definedName>
    <definedName function="false" hidden="false" name="da_pct" vbProcedure="false">Inputs!$C$52</definedName>
    <definedName function="false" hidden="false" name="dc_prem" vbProcedure="false">Inputs!$C$23</definedName>
    <definedName function="false" hidden="false" name="deal_mult" vbProcedure="false">Comps!$F$8</definedName>
    <definedName function="false" hidden="false" name="ds_pv1" vbProcedure="false">Deal_Structure!$C$19</definedName>
    <definedName function="false" hidden="false" name="ds_pv2" vbProcedure="false">Deal_Structure!$C$20</definedName>
    <definedName function="false" hidden="false" name="ds_pv_gain" vbProcedure="false">Deal_Structure!$C$22</definedName>
    <definedName function="false" hidden="false" name="ds_pv_mult" vbProcedure="false">Deal_Structure!$C$23</definedName>
    <definedName function="false" hidden="false" name="ds_pv_price" vbProcedure="false">Deal_Structure!$C$21</definedName>
    <definedName function="false" hidden="false" name="ds_r" vbProcedure="false">Deal_Structure!$C$18</definedName>
    <definedName function="false" hidden="false" name="ds_y1" vbProcedure="false">Deal_Structure!$C$16</definedName>
    <definedName function="false" hidden="false" name="ds_y2" vbProcedure="false">Deal_Structure!$C$17</definedName>
    <definedName function="false" hidden="false" name="erp" vbProcedure="false">Inputs!$C$63</definedName>
    <definedName function="false" hidden="false" name="ev_exp" vbProcedure="false">Valuation!$F$11</definedName>
    <definedName function="false" hidden="false" name="ev_whi" vbProcedure="false">Valuation!$C$21</definedName>
    <definedName function="false" hidden="false" name="ev_wlo" vbProcedure="false">Valuation!$E$21</definedName>
    <definedName function="false" hidden="false" name="fees_pct" vbProcedure="false">Inputs!$C$49</definedName>
    <definedName function="false" hidden="false" name="fx_ann" vbProcedure="false">Inputs!$C$15</definedName>
    <definedName function="false" hidden="false" name="fx_c1" vbProcedure="false">Inputs!$C$16</definedName>
    <definedName function="false" hidden="false" name="fx_c2" vbProcedure="false">Inputs!$C$17</definedName>
    <definedName function="false" hidden="false" name="fx_earn" vbProcedure="false">Inputs!$C$18</definedName>
    <definedName function="false" hidden="false" name="fx_vol" vbProcedure="false">Inputs!$C$74</definedName>
    <definedName function="false" hidden="false" name="h_fwd1" vbProcedure="false">FX_Hedge!$G$5</definedName>
    <definedName function="false" hidden="false" name="h_fwd2" vbProcedure="false">FX_Hedge!$G$6</definedName>
    <definedName function="false" hidden="false" name="h_fxcost" vbProcedure="false">FX_Hedge!$F$10</definedName>
    <definedName function="false" hidden="false" name="h_fxcost_pct" vbProcedure="false">FX_Hedge!$F$11</definedName>
    <definedName function="false" hidden="false" name="h_krw_actual" vbProcedure="false">FX_Hedge!$K$7</definedName>
    <definedName function="false" hidden="false" name="h_krw_hedged" vbProcedure="false">FX_Hedge!$J$7</definedName>
    <definedName function="false" hidden="false" name="h_krw_sign" vbProcedure="false">FX_Hedge!$I$7</definedName>
    <definedName function="false" hidden="false" name="h_saving" vbProcedure="false">FX_Hedge!$L$7</definedName>
    <definedName function="false" hidden="false" name="intang_pct" vbProcedure="false">Inputs!$C$43</definedName>
    <definedName function="false" hidden="false" name="irr_real" vbProcedure="false">Valuation!$D$35</definedName>
    <definedName function="false" hidden="false" name="kd" vbProcedure="false">Inputs!$C$39</definedName>
    <definedName function="false" hidden="false" name="kd_at" vbProcedure="false">Valuation!$C$6</definedName>
    <definedName function="false" hidden="false" name="kd_usd" vbProcedure="false">Inputs!$C$66</definedName>
    <definedName function="false" hidden="false" name="ke" vbProcedure="false">Valuation!$C$5</definedName>
    <definedName function="false" hidden="false" name="mc_actual" vbProcedure="false">FX_MonteCarlo!$C$19</definedName>
    <definedName function="false" hidden="false" name="mc_actual_pct" vbProcedure="false">FX_MonteCarlo!$C$20</definedName>
    <definedName function="false" hidden="false" name="mc_fx2_p95" vbProcedure="false">FX_MonteCarlo!$C$26</definedName>
    <definedName function="false" hidden="false" name="mc_hedged" vbProcedure="false">FX_MonteCarlo!$C$17</definedName>
    <definedName function="false" hidden="false" name="mc_mean" vbProcedure="false">FX_MonteCarlo!$C$12</definedName>
    <definedName function="false" hidden="false" name="mc_mu" vbProcedure="false">FX_MonteCarlo!$C$7</definedName>
    <definedName function="false" hidden="false" name="mc_p5" vbProcedure="false">FX_MonteCarlo!$C$13</definedName>
    <definedName function="false" hidden="false" name="mc_p50" vbProcedure="false">FX_MonteCarlo!$C$14</definedName>
    <definedName function="false" hidden="false" name="mc_p95" vbProcedure="false">FX_MonteCarlo!$C$15</definedName>
    <definedName function="false" hidden="false" name="mc_p99" vbProcedure="false">FX_MonteCarlo!$C$16</definedName>
    <definedName function="false" hidden="false" name="mc_pworse" vbProcedure="false">FX_MonteCarlo!$C$18</definedName>
    <definedName function="false" hidden="false" name="mc_s0" vbProcedure="false">FX_MonteCarlo!$C$5</definedName>
    <definedName function="false" hidden="false" name="mc_t1" vbProcedure="false">FX_MonteCarlo!$C$8</definedName>
    <definedName function="false" hidden="false" name="mc_t2" vbProcedure="false">FX_MonteCarlo!$C$9</definedName>
    <definedName function="false" hidden="false" name="mc_var" vbProcedure="false">FX_MonteCarlo!$C$21</definedName>
    <definedName function="false" hidden="false" name="mc_vol" vbProcedure="false">FX_MonteCarlo!$C$6</definedName>
    <definedName function="false" hidden="false" name="mom_real" vbProcedure="false">Valuation!$D$36</definedName>
    <definedName function="false" hidden="false" name="m_acc" vbProcedure="false">Model!$C$31</definedName>
    <definedName function="false" hidden="false" name="m_amort" vbProcedure="false">Model!$C$16</definedName>
    <definedName function="false" hidden="false" name="m_be_syn" vbProcedure="false">Model!$C$33</definedName>
    <definedName function="false" hidden="false" name="m_cash" vbProcedure="false">Model!$C$8</definedName>
    <definedName function="false" hidden="false" name="m_contrib" vbProcedure="false">Model!$C$22</definedName>
    <definedName function="false" hidden="false" name="m_cushion" vbProcedure="false">Model!$C$32</definedName>
    <definedName function="false" hidden="false" name="m_c_blend" vbProcedure="false">Model!$C$41</definedName>
    <definedName function="false" hidden="false" name="m_c_cash" vbProcedure="false">Model!$C$38</definedName>
    <definedName function="false" hidden="false" name="m_c_debt" vbProcedure="false">Model!$C$39</definedName>
    <definedName function="false" hidden="false" name="m_c_stock" vbProcedure="false">Model!$C$40</definedName>
    <definedName function="false" hidden="false" name="m_debt" vbProcedure="false">Model!$C$9</definedName>
    <definedName function="false" hidden="false" name="m_ebit" vbProcedure="false">Model!$C$14</definedName>
    <definedName function="false" hidden="false" name="m_eps" vbProcedure="false">Model!$C$29</definedName>
    <definedName function="false" hidden="false" name="m_ev_ebit" vbProcedure="false">Model!$C$46</definedName>
    <definedName function="false" hidden="false" name="m_ev_rev" vbProcedure="false">Model!$C$45</definedName>
    <definedName function="false" hidden="false" name="m_forg" vbProcedure="false">Model!$C$19</definedName>
    <definedName function="false" hidden="false" name="m_int" vbProcedure="false">Model!$C$18</definedName>
    <definedName function="false" hidden="false" name="m_newsh" vbProcedure="false">Model!$C$11</definedName>
    <definedName function="false" hidden="false" name="m_ni" vbProcedure="false">Model!$C$25</definedName>
    <definedName function="false" hidden="false" name="m_pe" vbProcedure="false">Model!$C$42</definedName>
    <definedName function="false" hidden="false" name="m_pf_eps" vbProcedure="false">Model!$C$30</definedName>
    <definedName function="false" hidden="false" name="m_pf_ni" vbProcedure="false">Model!$C$26</definedName>
    <definedName function="false" hidden="false" name="m_pf_sh" vbProcedure="false">Model!$C$28</definedName>
    <definedName function="false" hidden="false" name="m_pretax" vbProcedure="false">Model!$C$20</definedName>
    <definedName function="false" hidden="false" name="m_price" vbProcedure="false">Model!$C$7</definedName>
    <definedName function="false" hidden="false" name="m_price_usd" vbProcedure="false">Model!$C$6</definedName>
    <definedName function="false" hidden="false" name="m_sh" vbProcedure="false">Model!$C$27</definedName>
    <definedName function="false" hidden="false" name="m_stepdep" vbProcedure="false">Model!$C$17</definedName>
    <definedName function="false" hidden="false" name="m_stock" vbProcedure="false">Model!$C$10</definedName>
    <definedName function="false" hidden="false" name="m_syn" vbProcedure="false">Model!$C$15</definedName>
    <definedName function="false" hidden="false" name="m_tax" vbProcedure="false">Model!$C$21</definedName>
    <definedName function="false" hidden="false" name="m_yield" vbProcedure="false">Model!$C$36</definedName>
    <definedName function="false" hidden="false" name="m_yield_at" vbProcedure="false">Model!$C$37</definedName>
    <definedName function="false" hidden="false" name="net_assets_usd" vbProcedure="false">Inputs!$C$46</definedName>
    <definedName function="false" hidden="false" name="npv_base" vbProcedure="false">Valuation!$D$13</definedName>
    <definedName function="false" hidden="false" name="npv_bear" vbProcedure="false">Valuation!$E$13</definedName>
    <definedName function="false" hidden="false" name="npv_bull" vbProcedure="false">Valuation!$C$13</definedName>
    <definedName function="false" hidden="false" name="npv_exp" vbProcedure="false">Valuation!$F$13</definedName>
    <definedName function="false" hidden="false" name="npv_sel" vbProcedure="false">Valuation!$C$16</definedName>
    <definedName function="false" hidden="false" name="nwc_pct" vbProcedure="false">Inputs!$C$54</definedName>
    <definedName function="false" hidden="false" name="op_cost_actual" vbProcedure="false">FX_Hedge!$E$54</definedName>
    <definedName function="false" hidden="false" name="op_d1" vbProcedure="false">FX_Hedge!$F$44</definedName>
    <definedName function="false" hidden="false" name="op_d2" vbProcedure="false">FX_Hedge!$F$45</definedName>
    <definedName function="false" hidden="false" name="op_k" vbProcedure="false">FX_Hedge!$F$39</definedName>
    <definedName function="false" hidden="false" name="op_prem" vbProcedure="false">FX_Hedge!$F$46</definedName>
    <definedName function="false" hidden="false" name="op_prem_bn" vbProcedure="false">FX_Hedge!$F$47</definedName>
    <definedName function="false" hidden="false" name="op_prem_fv" vbProcedure="false">FX_Hedge!$F$48</definedName>
    <definedName function="false" hidden="false" name="op_prem_pct" vbProcedure="false">FX_Hedge!$F$49</definedName>
    <definedName function="false" hidden="false" name="op_rd" vbProcedure="false">FX_Hedge!$F$42</definedName>
    <definedName function="false" hidden="false" name="op_rf" vbProcedure="false">FX_Hedge!$F$43</definedName>
    <definedName function="false" hidden="false" name="op_t" vbProcedure="false">FX_Hedge!$F$40</definedName>
    <definedName function="false" hidden="false" name="op_vol" vbProcedure="false">FX_Hedge!$F$41</definedName>
    <definedName function="false" hidden="false" name="pct_cash" vbProcedure="false">Inputs!$C$36</definedName>
    <definedName function="false" hidden="false" name="pct_debt" vbProcedure="false">Inputs!$C$37</definedName>
    <definedName function="false" hidden="false" name="pct_stock" vbProcedure="false">Inputs!$C$38</definedName>
    <definedName function="false" hidden="false" name="ppa_amort" vbProcedure="false">Deal_Structure!$C$34</definedName>
    <definedName function="false" hidden="false" name="ppa_book" vbProcedure="false">Deal_Structure!$C$27</definedName>
    <definedName function="false" hidden="false" name="ppa_dep" vbProcedure="false">Deal_Structure!$C$33</definedName>
    <definedName function="false" hidden="false" name="ppa_excess" vbProcedure="false">Deal_Structure!$C$28</definedName>
    <definedName function="false" hidden="false" name="ppa_gw" vbProcedure="false">Deal_Structure!$C$31</definedName>
    <definedName function="false" hidden="false" name="ppa_gw_pct" vbProcedure="false">Deal_Structure!$C$32</definedName>
    <definedName function="false" hidden="false" name="ppa_intang" vbProcedure="false">Deal_Structure!$C$30</definedName>
    <definedName function="false" hidden="false" name="ppa_price" vbProcedure="false">Deal_Structure!$C$26</definedName>
    <definedName function="false" hidden="false" name="ppa_step" vbProcedure="false">Deal_Structure!$C$29</definedName>
    <definedName function="false" hidden="false" name="ppe_life" vbProcedure="false">Inputs!$C$48</definedName>
    <definedName function="false" hidden="false" name="ppe_step" vbProcedure="false">Inputs!$C$47</definedName>
    <definedName function="false" hidden="false" name="prec_hi" vbProcedure="false">Comps!$F$17</definedName>
    <definedName function="false" hidden="false" name="prec_lo" vbProcedure="false">Comps!$E$17</definedName>
    <definedName function="false" hidden="false" name="price_usd" vbProcedure="false">Inputs!$C$10</definedName>
    <definedName function="false" hidden="false" name="p_base" vbProcedure="false">Inputs!$C$58</definedName>
    <definedName function="false" hidden="false" name="p_bear" vbProcedure="false">Inputs!$C$59</definedName>
    <definedName function="false" hidden="false" name="p_bull" vbProcedure="false">Inputs!$C$57</definedName>
    <definedName function="false" hidden="false" name="rf_usd" vbProcedure="false">Inputs!$C$62</definedName>
    <definedName function="false" hidden="false" name="ri" vbProcedure="false">Inputs!$C$40</definedName>
    <definedName function="false" hidden="false" name="roic_y1" vbProcedure="false">Valuation!$C$26</definedName>
    <definedName function="false" hidden="false" name="roic_y6" vbProcedure="false">Valuation!$H$26</definedName>
    <definedName function="false" hidden="false" name="r_krw" vbProcedure="false">Inputs!$C$21</definedName>
    <definedName function="false" hidden="false" name="r_usd" vbProcedure="false">Inputs!$C$22</definedName>
    <definedName function="false" hidden="false" name="scen" vbProcedure="false">Inputs!$C$56</definedName>
    <definedName function="false" hidden="false" name="sc_ev1" vbProcedure="false">Scenarios!$I$23</definedName>
    <definedName function="false" hidden="false" name="sc_ev2" vbProcedure="false">Scenarios!$I$41</definedName>
    <definedName function="false" hidden="false" name="sc_ev3" vbProcedure="false">Scenarios!$I$59</definedName>
    <definedName function="false" hidden="false" name="sc_tfcf1" vbProcedure="false">Scenarios!$H$22</definedName>
    <definedName function="false" hidden="false" name="sc_tfcf2" vbProcedure="false">Scenarios!$H$40</definedName>
    <definedName function="false" hidden="false" name="sc_tfcf3" vbProcedure="false">Scenarios!$H$58</definedName>
    <definedName function="false" hidden="false" name="su_cash" vbProcedure="false">Deal_Structure!$C$9</definedName>
    <definedName function="false" hidden="false" name="su_debt" vbProcedure="false">Deal_Structure!$C$10</definedName>
    <definedName function="false" hidden="false" name="su_fees" vbProcedure="false">Deal_Structure!$C$7</definedName>
    <definedName function="false" hidden="false" name="su_price" vbProcedure="false">Deal_Structure!$C$6</definedName>
    <definedName function="false" hidden="false" name="su_sources" vbProcedure="false">Deal_Structure!$C$12</definedName>
    <definedName function="false" hidden="false" name="su_stock" vbProcedure="false">Deal_Structure!$C$11</definedName>
    <definedName function="false" hidden="false" name="su_uses" vbProcedure="false">Deal_Structure!$C$8</definedName>
    <definedName function="false" hidden="false" name="syn_usd" vbProcedure="false">Inputs!$C$45</definedName>
    <definedName function="false" hidden="false" name="t1_usd" vbProcedure="false">Inputs!$C$11</definedName>
    <definedName function="false" hidden="false" name="t2_usd" vbProcedure="false">Inputs!$C$12</definedName>
    <definedName function="false" hidden="false" name="tax" vbProcedure="false">Inputs!$C$33</definedName>
    <definedName function="false" hidden="false" name="tg" vbProcedure="false">Inputs!$C$55</definedName>
    <definedName function="false" hidden="false" name="tgt_ebit" vbProcedure="false">Inputs!$C$27</definedName>
    <definedName function="false" hidden="false" name="tgt_rev" vbProcedure="false">Inputs!$C$26</definedName>
    <definedName function="false" hidden="false" name="trd_hi" vbProcedure="false">Comps!$F$18</definedName>
    <definedName function="false" hidden="false" name="trd_lo" vbProcedure="false">Comps!$E$18</definedName>
    <definedName function="false" hidden="false" name="val_date" vbProcedure="false">Inputs!$C$75</definedName>
    <definedName function="false" hidden="false" name="val_krw" vbProcedure="false">Inputs!$C$76</definedName>
    <definedName function="false" hidden="false" name="wacc" vbProcedure="false">Valuation!$C$7</definedName>
    <definedName function="false" hidden="false" name="wd" vbProcedure="false">Inputs!$C$67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<sst xmlns="http://schemas.openxmlformats.org/spreadsheetml/2006/main" count="671" uniqueCount="553">
  <si>
    <t xml:space="preserve">SK hynix / Intel NAND (Solidigm): cross-border M&amp;A practice model</t>
  </si>
  <si>
    <t xml:space="preserve">Prepared by Jung Ryul for training purposes. Public information only. Not investment advice.</t>
  </si>
  <si>
    <t xml:space="preserve">The deal</t>
  </si>
  <si>
    <t xml:space="preserve">Signed 20 Oct 2020: SK hynix buys Intel's NAND and SSD business (excl. Optane) for US$9bn.</t>
  </si>
  <si>
    <t xml:space="preserve">Paid in two tranches: US$7bn at first closing (Dec 2021), ~US$1.9bn at final closing (Mar 2025).</t>
  </si>
  <si>
    <t xml:space="preserve">Cross-border: Korean buyer, US seller, Chinese fab (Dalian), USD price, KRW-reporting buyer.</t>
  </si>
  <si>
    <t xml:space="preserve">Key outputs (live)</t>
  </si>
  <si>
    <t xml:space="preserve">Purchase price at signing (KRW bn)</t>
  </si>
  <si>
    <t xml:space="preserve">EV / EBIT paid</t>
  </si>
  <si>
    <t xml:space="preserve">Year-1 EPS accretion (base case)</t>
  </si>
  <si>
    <t xml:space="preserve">Extra KRW cost from the won's fall</t>
  </si>
  <si>
    <t xml:space="preserve">Saving if hedged at signing (assumed rates)</t>
  </si>
  <si>
    <t xml:space="preserve">Probability-weighted NPV (US$ mn)</t>
  </si>
  <si>
    <t xml:space="preserve">95th-percentile KRW cost, unhedged (KRW bn)</t>
  </si>
  <si>
    <t xml:space="preserve">Solidigm cumulative net income 2022-H1 2026</t>
  </si>
  <si>
    <t xml:space="preserve">Input checks</t>
  </si>
  <si>
    <t xml:space="preserve">How to use</t>
  </si>
  <si>
    <t xml:space="preserve">Summary: one-page deal summary with football field and formula-driven verdicts.</t>
  </si>
  <si>
    <t xml:space="preserve">Inputs: change shaded cells (financing, synergies, FX, hedge rates, scenarios, WACC).</t>
  </si>
  <si>
    <t xml:space="preserve">Deal_Structure: sources and uses, value of paying later, purchase price allocation, credit metrics.</t>
  </si>
  <si>
    <t xml:space="preserve">Model: year-1 accretion/dilution and why (yield vs. cost of funding).</t>
  </si>
  <si>
    <t xml:space="preserve">Scenarios and Valuation: bull/base/downturn cash flows, DCF, NPV, ROIC vs. WACC, realised IRR.</t>
  </si>
  <si>
    <t xml:space="preserve">Comps: precedent NAND deals and listed peers (approximate inputs flagged).</t>
  </si>
  <si>
    <t xml:space="preserve">FX_Hedge and FX_MonteCarlo: cost of the won's fall, forward vs. option, 2,000 simulated paths.</t>
  </si>
  <si>
    <t xml:space="preserve">Sensitivity, Post_Mortem, Practice (17 assessment-centre questions).</t>
  </si>
  <si>
    <t xml:space="preserve">Colours: blue = input, black = formula, green = link to another sheet, shaded = key assumption.</t>
  </si>
  <si>
    <t xml:space="preserve">SK hynix / Intel NAND: one-page deal summary</t>
  </si>
  <si>
    <t xml:space="preserve">Signed 20 Oct 2020. Live summary of this workbook; inputs on Inputs. Training material, not investment advice.</t>
  </si>
  <si>
    <t xml:space="preserve">Transaction</t>
  </si>
  <si>
    <t xml:space="preserve">Returns</t>
  </si>
  <si>
    <t xml:space="preserve">Headline price (US$ mn)</t>
  </si>
  <si>
    <t xml:space="preserve">Year-1 EPS accretion (base financing)</t>
  </si>
  <si>
    <t xml:space="preserve">Price at signing (KRW bn)</t>
  </si>
  <si>
    <t xml:space="preserve">WACC (USD)</t>
  </si>
  <si>
    <t xml:space="preserve">EV / revenue (run-rate)</t>
  </si>
  <si>
    <t xml:space="preserve">ROIC year 1, selected scenario</t>
  </si>
  <si>
    <t xml:space="preserve">EV / EBIT (run-rate)</t>
  </si>
  <si>
    <t xml:space="preserve">NPV, selected scenario (US$ mn)</t>
  </si>
  <si>
    <t xml:space="preserve">PV of price (deferred tranche, US$ mn)</t>
  </si>
  <si>
    <t xml:space="preserve">NPV, probability-weighted (US$ mn)</t>
  </si>
  <si>
    <t xml:space="preserve">Goodwill as % of price</t>
  </si>
  <si>
    <t xml:space="preserve">Realised IRR to today (KRW, illustrative)</t>
  </si>
  <si>
    <t xml:space="preserve">Pro forma net debt / EBITDA</t>
  </si>
  <si>
    <t xml:space="preserve">Multiple of money (illustrative)</t>
  </si>
  <si>
    <t xml:space="preserve">FX risk (KRW bn)</t>
  </si>
  <si>
    <t xml:space="preserve">Verdict (formula-driven)</t>
  </si>
  <si>
    <t xml:space="preserve">Cost at signing spot</t>
  </si>
  <si>
    <t xml:space="preserve">Cost if hedged at signing</t>
  </si>
  <si>
    <t xml:space="preserve">Actual cost (unhedged)</t>
  </si>
  <si>
    <t xml:space="preserve">Simulated range, 5th-95th percentile</t>
  </si>
  <si>
    <t xml:space="preserve">Actual outcome percentile</t>
  </si>
  <si>
    <t xml:space="preserve">Option on tranche 2 at the actual rate</t>
  </si>
  <si>
    <t xml:space="preserve">Valuation range (US$ bn): football field</t>
  </si>
  <si>
    <t xml:space="preserve">Method</t>
  </si>
  <si>
    <t xml:space="preserve">Low</t>
  </si>
  <si>
    <t xml:space="preserve">High</t>
  </si>
  <si>
    <t xml:space="preserve">Chart helper: width</t>
  </si>
  <si>
    <t xml:space="preserve">Listed peers, EV / revenue</t>
  </si>
  <si>
    <t xml:space="preserve">Precedent transactions, EV / revenue</t>
  </si>
  <si>
    <t xml:space="preserve">DCF, selected scenario, WACC +/- 1%</t>
  </si>
  <si>
    <t xml:space="preserve">DCF, downturn to bull</t>
  </si>
  <si>
    <t xml:space="preserve">Price paid: PV to headline</t>
  </si>
  <si>
    <t xml:space="preserve">Key risks flagged at signing</t>
  </si>
  <si>
    <t xml:space="preserve">NAND price cycle: run-rate earnings were near a cyclical high (realised: KRW 7.3tn losses in 2022-23).</t>
  </si>
  <si>
    <t xml:space="preserve">Regulatory: China SAMR approval for the Dalian fab (granted Dec 2021); later US export-control exposure.</t>
  </si>
  <si>
    <t xml:space="preserve">Carve-out: Intel segment profits include cost allocations; Intel kept running the fab until the final closing.</t>
  </si>
  <si>
    <t xml:space="preserve">FX: a four-year deferred USD payment for a KRW-reporting buyer.</t>
  </si>
  <si>
    <t xml:space="preserve">Integration: two-stage closing, US/China workforce, a new US subsidiary (Solidigm).</t>
  </si>
  <si>
    <t xml:space="preserve">Inputs</t>
  </si>
  <si>
    <t xml:space="preserve">Blue = hard-coded input. Shaded = assumption you should flex. All other sheets are formulas on these cells.</t>
  </si>
  <si>
    <t xml:space="preserve">Input</t>
  </si>
  <si>
    <t xml:space="preserve">Value</t>
  </si>
  <si>
    <t xml:space="preserve">Unit</t>
  </si>
  <si>
    <t xml:space="preserve">Source / note</t>
  </si>
  <si>
    <t xml:space="preserve">Deal terms</t>
  </si>
  <si>
    <t xml:space="preserve">Signing / announcement</t>
  </si>
  <si>
    <t xml:space="preserve">date</t>
  </si>
  <si>
    <t xml:space="preserve">Intel 8-K Ex.99.1, 20 Oct 2020</t>
  </si>
  <si>
    <t xml:space="preserve">First closing (SSD business + Dalian fab)</t>
  </si>
  <si>
    <t xml:space="preserve">Closed after China SAMR clearance (22 Dec 2021)</t>
  </si>
  <si>
    <t xml:space="preserve">Final closing (NAND IP, R&amp;D, Dalian workforce)</t>
  </si>
  <si>
    <t xml:space="preserve">Intel: ~US$1.9bn received, net of adjustments</t>
  </si>
  <si>
    <t xml:space="preserve">Headline purchase price</t>
  </si>
  <si>
    <t xml:space="preserve">US$ mn</t>
  </si>
  <si>
    <t xml:space="preserve">US$7bn at first closing + US$2bn at final closing</t>
  </si>
  <si>
    <t xml:space="preserve">Tranche 1 paid</t>
  </si>
  <si>
    <t xml:space="preserve">First closing</t>
  </si>
  <si>
    <t xml:space="preserve">Tranche 2 paid</t>
  </si>
  <si>
    <t xml:space="preserve">~US$1.9bn net of adjustments (contracted US$2.0bn)</t>
  </si>
  <si>
    <t xml:space="preserve">FX (KRW per USD)</t>
  </si>
  <si>
    <t xml:space="preserve">USD/KRW at signing</t>
  </si>
  <si>
    <t xml:space="preserve">KRW</t>
  </si>
  <si>
    <t xml:space="preserve">Fed H.10 noon NY, 20 Oct 2020</t>
  </si>
  <si>
    <t xml:space="preserve">USD/KRW at first closing</t>
  </si>
  <si>
    <t xml:space="preserve">Fed H.10, 29 Dec 2021</t>
  </si>
  <si>
    <t xml:space="preserve">USD/KRW at final closing</t>
  </si>
  <si>
    <t xml:space="preserve">Fed H.10, 27 Mar 2025</t>
  </si>
  <si>
    <t xml:space="preserve">USD/KRW used to translate target earnings</t>
  </si>
  <si>
    <t xml:space="preserve">Base = signing rate. Flex to see translation effect</t>
  </si>
  <si>
    <t xml:space="preserve">Hedging (covered interest parity)</t>
  </si>
  <si>
    <t xml:space="preserve">KRW interest rate for the hedge tenor</t>
  </si>
  <si>
    <t xml:space="preserve">% p.a.</t>
  </si>
  <si>
    <t xml:space="preserve">ASSUMPTION ~5Y KTB, Oct 2020. Desks would use KRW CRS/IRS</t>
  </si>
  <si>
    <t xml:space="preserve">USD interest rate for the hedge tenor</t>
  </si>
  <si>
    <t xml:space="preserve">ASSUMPTION ~5Y UST, Oct 2020</t>
  </si>
  <si>
    <t xml:space="preserve">Deal-contingent premium on the forward</t>
  </si>
  <si>
    <t xml:space="preserve">% notional</t>
  </si>
  <si>
    <t xml:space="preserve">ASSUMPTION. Banks charge extra when the hedge lapses if the deal fails</t>
  </si>
  <si>
    <t xml:space="preserve">Target: Intel NAND business (run-rate)</t>
  </si>
  <si>
    <t xml:space="preserve">Revenue</t>
  </si>
  <si>
    <t xml:space="preserve">2 x H1 2020 (~US$2.8bn), Intel 8-K. Excludes Optane</t>
  </si>
  <si>
    <t xml:space="preserve">Operating income (EBIT)</t>
  </si>
  <si>
    <t xml:space="preserve">2 x H1 2020 contribution (~US$0.6bn), Intel 8-K. Segment allocation, not audited standalone</t>
  </si>
  <si>
    <t xml:space="preserve">Buyer: SK hynix (2020 base year)</t>
  </si>
  <si>
    <t xml:space="preserve">Net income</t>
  </si>
  <si>
    <t xml:space="preserve">KRW bn</t>
  </si>
  <si>
    <t xml:space="preserve">FY2020, ~KRW 4.76tn (Korea JoongAng Daily, 29 Jan 2021)</t>
  </si>
  <si>
    <t xml:space="preserve">Shares outstanding</t>
  </si>
  <si>
    <t xml:space="preserve">mn</t>
  </si>
  <si>
    <t xml:space="preserve">~728mn (issued shares; verify on DART)</t>
  </si>
  <si>
    <t xml:space="preserve">Share price for any new shares</t>
  </si>
  <si>
    <t xml:space="preserve">ASSUMPTION ~Oct 2020 level; used only if stock is issued</t>
  </si>
  <si>
    <t xml:space="preserve">Tax rate</t>
  </si>
  <si>
    <t xml:space="preserve">%</t>
  </si>
  <si>
    <t xml:space="preserve">Korea 2020 top rate 25% + 10% local surtax</t>
  </si>
  <si>
    <t xml:space="preserve">Financing (must sum to 100%)</t>
  </si>
  <si>
    <t xml:space="preserve">Cash on hand</t>
  </si>
  <si>
    <t xml:space="preserve">ASSUMPTION. SK hynix used cash and new borrowings</t>
  </si>
  <si>
    <t xml:space="preserve">New debt</t>
  </si>
  <si>
    <t xml:space="preserve">ASSUMPTION</t>
  </si>
  <si>
    <t xml:space="preserve">New shares</t>
  </si>
  <si>
    <t xml:space="preserve">ASSUMPTION (not used in the actual deal)</t>
  </si>
  <si>
    <t xml:space="preserve">Pre-tax cost of new debt</t>
  </si>
  <si>
    <t xml:space="preserve">ASSUMPTION ~AA KRW corporate bond, 2020</t>
  </si>
  <si>
    <t xml:space="preserve">Interest income forgone on cash</t>
  </si>
  <si>
    <t xml:space="preserve">ASSUMPTION ~KRW deposit rate, 2020</t>
  </si>
  <si>
    <t xml:space="preserve">Purchase price allocation and synergies</t>
  </si>
  <si>
    <t xml:space="preserve">Price allocated to amortisable intangibles</t>
  </si>
  <si>
    <t xml:space="preserve">% of price</t>
  </si>
  <si>
    <t xml:space="preserve">ASSUMPTION (technology, customer relationships)</t>
  </si>
  <si>
    <t xml:space="preserve">Amortisation period</t>
  </si>
  <si>
    <t xml:space="preserve">years</t>
  </si>
  <si>
    <t xml:space="preserve">Pre-tax run-rate synergies</t>
  </si>
  <si>
    <t xml:space="preserve">ASSUMPTION. Base case: none</t>
  </si>
  <si>
    <t xml:space="preserve">Book value of net assets acquired</t>
  </si>
  <si>
    <t xml:space="preserve">ASSUMPTION (Dalian fab, inventory, receivables); not disclosed</t>
  </si>
  <si>
    <t xml:space="preserve">Fair-value step-up of PP&amp;E (fab)</t>
  </si>
  <si>
    <t xml:space="preserve">ASSUMPTION. Extra depreciation hits EPS</t>
  </si>
  <si>
    <t xml:space="preserve">Remaining life of stepped-up PP&amp;E</t>
  </si>
  <si>
    <t xml:space="preserve">Transaction fees</t>
  </si>
  <si>
    <t xml:space="preserve">ASSUMPTION. One-off; excluded from run-rate EPS</t>
  </si>
  <si>
    <t xml:space="preserve">Target cash flows (DCF, US$)</t>
  </si>
  <si>
    <t xml:space="preserve">D&amp;A as % of revenue</t>
  </si>
  <si>
    <t xml:space="preserve">ASSUMPTION (fab-heavy)</t>
  </si>
  <si>
    <t xml:space="preserve">Capex as % of revenue</t>
  </si>
  <si>
    <t xml:space="preserve">ASSUMPTION (maintenance ~ D&amp;A)</t>
  </si>
  <si>
    <t xml:space="preserve">Working capital as % of revenue change</t>
  </si>
  <si>
    <t xml:space="preserve">Terminal growth</t>
  </si>
  <si>
    <t xml:space="preserve">Selected scenario (1 = bull, 2 = base, 3 = downturn)</t>
  </si>
  <si>
    <t xml:space="preserve">Drives Scenarios, Valuation and Summary</t>
  </si>
  <si>
    <t xml:space="preserve">Probability: bull</t>
  </si>
  <si>
    <t xml:space="preserve">ASSUMPTION for expected NPV</t>
  </si>
  <si>
    <t xml:space="preserve">Probability: base</t>
  </si>
  <si>
    <t xml:space="preserve">Probability: downturn</t>
  </si>
  <si>
    <t xml:space="preserve">Cost of capital for the target (USD)</t>
  </si>
  <si>
    <t xml:space="preserve">Risk-free rate (10Y UST, Oct 2020)</t>
  </si>
  <si>
    <t xml:space="preserve">ASSUMPTION ~0.8%</t>
  </si>
  <si>
    <t xml:space="preserve">Equity risk premium</t>
  </si>
  <si>
    <t xml:space="preserve">Equity beta (memory semis)</t>
  </si>
  <si>
    <t xml:space="preserve">Extra premium (China fab, cyclicality)</t>
  </si>
  <si>
    <t xml:space="preserve">Pre-tax cost of USD debt</t>
  </si>
  <si>
    <t xml:space="preserve">SK hynix 5Y USD bond coupon, Jan 2021 (KED Global)</t>
  </si>
  <si>
    <t xml:space="preserve">Target debt weight</t>
  </si>
  <si>
    <t xml:space="preserve">Buyer balance sheet, 2020 (approximate)</t>
  </si>
  <si>
    <t xml:space="preserve">Net debt</t>
  </si>
  <si>
    <t xml:space="preserve">APPROX: ~12.4% net-borrowing dependence x ~KRW 71tn assets (Jun 2020). Verify on DART</t>
  </si>
  <si>
    <t xml:space="preserve">EBITDA</t>
  </si>
  <si>
    <t xml:space="preserve">APPROX: operating profit KRW 5.0tn + D&amp;A ~KRW 10.6tn. Verify on DART</t>
  </si>
  <si>
    <t xml:space="preserve">FX risk and realised outcome</t>
  </si>
  <si>
    <t xml:space="preserve">USD/KRW volatility (annualised)</t>
  </si>
  <si>
    <t xml:space="preserve">Realised, 5 years to signing (Fed H.10 daily, own calculation)</t>
  </si>
  <si>
    <t xml:space="preserve">Valuation date for realised IRR</t>
  </si>
  <si>
    <t xml:space="preserve">Today</t>
  </si>
  <si>
    <t xml:space="preserve">Value of Solidigm today (100%)</t>
  </si>
  <si>
    <t xml:space="preserve">REPORTED pre-IPO talk (~KRW 50tn, Herald Business). Unconfirmed</t>
  </si>
  <si>
    <t xml:space="preserve">Check: financing sums to 100%</t>
  </si>
  <si>
    <t xml:space="preserve">Check: scenario probabilities sum to 100%</t>
  </si>
  <si>
    <t xml:space="preserve">Check: tranches vs headline price</t>
  </si>
  <si>
    <t xml:space="preserve">Negative = paid less than headline (closing adjustments)</t>
  </si>
  <si>
    <t xml:space="preserve">Deal structure: sources and uses, seller financing, purchase price allocation, credit</t>
  </si>
  <si>
    <t xml:space="preserve">US$ mn and KRW bn at the signing rate.</t>
  </si>
  <si>
    <t xml:space="preserve">Sources and uses</t>
  </si>
  <si>
    <t xml:space="preserve">Note</t>
  </si>
  <si>
    <t xml:space="preserve">Uses: purchase price</t>
  </si>
  <si>
    <t xml:space="preserve">Uses: transaction fees</t>
  </si>
  <si>
    <t xml:space="preserve">Expensed; not in run-rate EPS</t>
  </si>
  <si>
    <t xml:space="preserve">Total uses</t>
  </si>
  <si>
    <t xml:space="preserve">Sources: cash on hand</t>
  </si>
  <si>
    <t xml:space="preserve">Sources: new debt</t>
  </si>
  <si>
    <t xml:space="preserve">SK hynix raised US$2.5bn of USD bonds in Jan 2021</t>
  </si>
  <si>
    <t xml:space="preserve">Sources: new shares</t>
  </si>
  <si>
    <t xml:space="preserve">Total sources</t>
  </si>
  <si>
    <t xml:space="preserve">Check: sources = uses</t>
  </si>
  <si>
    <t xml:space="preserve">Paying later is seller financing: present value of the price</t>
  </si>
  <si>
    <t xml:space="preserve">Tranche 1, years after signing</t>
  </si>
  <si>
    <t xml:space="preserve">Tranche 2, years after signing</t>
  </si>
  <si>
    <t xml:space="preserve">Discount rate (SK hynix USD cost of debt)</t>
  </si>
  <si>
    <t xml:space="preserve">PV of tranche 1 (US$ mn)</t>
  </si>
  <si>
    <t xml:space="preserve">PV of tranche 2 (US$ mn)</t>
  </si>
  <si>
    <t xml:space="preserve">PV of the price at signing (US$ mn)</t>
  </si>
  <si>
    <t xml:space="preserve">Includes ~US$100mn of closing adjustments plus the time value of the deferred tranche</t>
  </si>
  <si>
    <t xml:space="preserve">Value of paying later vs. headline (US$ mn)</t>
  </si>
  <si>
    <t xml:space="preserve">Effective EV / EBIT on a PV basis</t>
  </si>
  <si>
    <t xml:space="preserve">Purchase price allocation (US$ mn)</t>
  </si>
  <si>
    <t xml:space="preserve">Purchase price</t>
  </si>
  <si>
    <t xml:space="preserve">Less: book value of net assets acquired</t>
  </si>
  <si>
    <t xml:space="preserve">Excess purchase price</t>
  </si>
  <si>
    <t xml:space="preserve">Less: PP&amp;E step-up to fair value</t>
  </si>
  <si>
    <t xml:space="preserve">Less: identifiable intangibles</t>
  </si>
  <si>
    <t xml:space="preserve">Goodwill (not amortised; tested for impairment)</t>
  </si>
  <si>
    <t xml:space="preserve">Simplified: ignores deferred tax on step-ups. Goodwill was later at risk in the 2022-23 downturn.</t>
  </si>
  <si>
    <t xml:space="preserve">Annual extra depreciation (step-up)</t>
  </si>
  <si>
    <t xml:space="preserve">Annual amortisation (intangibles)</t>
  </si>
  <si>
    <t xml:space="preserve">Check: goodwill not negative</t>
  </si>
  <si>
    <t xml:space="preserve">Credit metrics (KRW bn)</t>
  </si>
  <si>
    <t xml:space="preserve">Buyer net debt, standalone</t>
  </si>
  <si>
    <t xml:space="preserve">Buyer EBITDA, standalone</t>
  </si>
  <si>
    <t xml:space="preserve">Net debt / EBITDA, standalone</t>
  </si>
  <si>
    <t xml:space="preserve">Plus: cash used and new debt (both raise net debt)</t>
  </si>
  <si>
    <t xml:space="preserve">Plus: target EBITDA (EBIT + D&amp;A)</t>
  </si>
  <si>
    <t xml:space="preserve">Pro forma net debt</t>
  </si>
  <si>
    <t xml:space="preserve">Pro forma EBITDA</t>
  </si>
  <si>
    <t xml:space="preserve">SK hynix was rated Baa2 (Moody's) at the Jan 2021 bond deal; leverage under ~1.5x is comfortable for that</t>
  </si>
  <si>
    <t xml:space="preserve">Change in leverage</t>
  </si>
  <si>
    <t xml:space="preserve">Accretion / dilution, year 1 run-rate</t>
  </si>
  <si>
    <t xml:space="preserve">KRW bn unless stated. Earnings translated at fx_earn; price converted at the signing rate.</t>
  </si>
  <si>
    <t xml:space="preserve">Purchase price and funding</t>
  </si>
  <si>
    <t xml:space="preserve">Purchase price (US$ mn)</t>
  </si>
  <si>
    <t xml:space="preserve">Purchase price (KRW bn)</t>
  </si>
  <si>
    <t xml:space="preserve">At the signing rate</t>
  </si>
  <si>
    <t xml:space="preserve">  Funded with cash</t>
  </si>
  <si>
    <t xml:space="preserve">  Funded with new debt</t>
  </si>
  <si>
    <t xml:space="preserve">  Funded with new shares</t>
  </si>
  <si>
    <t xml:space="preserve">  New shares issued (mn)</t>
  </si>
  <si>
    <t xml:space="preserve">KRW bn x 1,000 / KRW per share = mn shares</t>
  </si>
  <si>
    <t xml:space="preserve">Target contribution</t>
  </si>
  <si>
    <t xml:space="preserve">Target EBIT</t>
  </si>
  <si>
    <t xml:space="preserve">Synergies (pre-tax)</t>
  </si>
  <si>
    <t xml:space="preserve">Less: amortisation of acquired intangibles</t>
  </si>
  <si>
    <t xml:space="preserve">Non-cash, but hits reported EPS</t>
  </si>
  <si>
    <t xml:space="preserve">Less: depreciation of PP&amp;E step-up</t>
  </si>
  <si>
    <t xml:space="preserve">From the purchase price allocation</t>
  </si>
  <si>
    <t xml:space="preserve">Less: interest on new debt</t>
  </si>
  <si>
    <t xml:space="preserve">Less: interest income forgone on cash</t>
  </si>
  <si>
    <t xml:space="preserve">Pre-tax contribution</t>
  </si>
  <si>
    <t xml:space="preserve">Less: tax</t>
  </si>
  <si>
    <t xml:space="preserve">After-tax contribution</t>
  </si>
  <si>
    <t xml:space="preserve">EPS impact</t>
  </si>
  <si>
    <t xml:space="preserve">Buyer standalone net income</t>
  </si>
  <si>
    <t xml:space="preserve">Pro forma net income</t>
  </si>
  <si>
    <t xml:space="preserve">Standalone shares (mn)</t>
  </si>
  <si>
    <t xml:space="preserve">Pro forma shares (mn)</t>
  </si>
  <si>
    <t xml:space="preserve">Standalone EPS (KRW)</t>
  </si>
  <si>
    <t xml:space="preserve">Pro forma EPS (KRW)</t>
  </si>
  <si>
    <t xml:space="preserve">Accretion / (dilution)</t>
  </si>
  <si>
    <t xml:space="preserve">Pre-tax cushion before EPS dilution</t>
  </si>
  <si>
    <t xml:space="preserve">How far pre-tax contribution can fall before the deal dilutes EPS</t>
  </si>
  <si>
    <t xml:space="preserve">Synergies needed to break even (US$ mn)</t>
  </si>
  <si>
    <t xml:space="preserve">Zero = accretive without synergies</t>
  </si>
  <si>
    <t xml:space="preserve">Why: earnings yield vs. cost of funding (after tax)</t>
  </si>
  <si>
    <t xml:space="preserve">Target pre-tax earnings yield (EBIT / price)</t>
  </si>
  <si>
    <t xml:space="preserve">Target after-tax yield, after PPA D&amp;A</t>
  </si>
  <si>
    <t xml:space="preserve">After-tax cost of cash</t>
  </si>
  <si>
    <t xml:space="preserve">After-tax cost of debt</t>
  </si>
  <si>
    <t xml:space="preserve">Cost of stock (buyer earnings yield = 1 / P/E)</t>
  </si>
  <si>
    <t xml:space="preserve">Blended after-tax cost of funding</t>
  </si>
  <si>
    <t xml:space="preserve">Accretive when target after-tax yield &gt; blended cost</t>
  </si>
  <si>
    <t xml:space="preserve">Buyer P/E at the assumed share price</t>
  </si>
  <si>
    <t xml:space="preserve">Valuation multiples paid</t>
  </si>
  <si>
    <t xml:space="preserve">EV / revenue</t>
  </si>
  <si>
    <t xml:space="preserve">Price treated as enterprise value (asset deal, no debt assumed)</t>
  </si>
  <si>
    <t xml:space="preserve">EV / EBIT</t>
  </si>
  <si>
    <t xml:space="preserve">Multi-year scenarios for the NAND business (US$ mn unless stated)</t>
  </si>
  <si>
    <t xml:space="preserve">Blue rows are scenario assumptions. The downturn case is calibrated loosely to Solidigm's 2022-23 losses; reality then added an AI boom (see reported row).</t>
  </si>
  <si>
    <t xml:space="preserve">Year</t>
  </si>
  <si>
    <t xml:space="preserve">Period t (years after signing, approx.)</t>
  </si>
  <si>
    <t xml:space="preserve">1. Bull: steady growth, firm margins</t>
  </si>
  <si>
    <t xml:space="preserve">Revenue growth</t>
  </si>
  <si>
    <t xml:space="preserve">EBIT margin</t>
  </si>
  <si>
    <t xml:space="preserve">EBIT</t>
  </si>
  <si>
    <t xml:space="preserve">NOPAT</t>
  </si>
  <si>
    <t xml:space="preserve">D&amp;A</t>
  </si>
  <si>
    <t xml:space="preserve">Capex</t>
  </si>
  <si>
    <t xml:space="preserve">Change in working capital</t>
  </si>
  <si>
    <t xml:space="preserve">Free cash flow</t>
  </si>
  <si>
    <t xml:space="preserve">NOPAT + D&amp;A - capex - change in working capital</t>
  </si>
  <si>
    <t xml:space="preserve">Discount factor</t>
  </si>
  <si>
    <t xml:space="preserve">PV of FCF</t>
  </si>
  <si>
    <t xml:space="preserve">After-tax contribution to SK hynix (KRW bn)</t>
  </si>
  <si>
    <t xml:space="preserve">Target EBIT less PPA D&amp;A and funding costs, after tax</t>
  </si>
  <si>
    <t xml:space="preserve">  as % of 2020 SK hynix net income</t>
  </si>
  <si>
    <t xml:space="preserve">ROIC (NOPAT / price)</t>
  </si>
  <si>
    <t xml:space="preserve">Terminal: mid-cycle EBIT margin (C) &gt; normalised FCF (H) &gt; PV (I)</t>
  </si>
  <si>
    <t xml:space="preserve">Cyclicals: value the terminal year at mid-cycle, not at the last forecast year's margin</t>
  </si>
  <si>
    <t xml:space="preserve">Enterprise value at signing (US$ mn)</t>
  </si>
  <si>
    <t xml:space="preserve">2. Base: modest growth, mid-cycle margins</t>
  </si>
  <si>
    <t xml:space="preserve">3. Downturn: 2022-23 style memory bust, slow recovery</t>
  </si>
  <si>
    <t xml:space="preserve">Selected scenario (Inputs: scen) and reported Solidigm results</t>
  </si>
  <si>
    <t xml:space="preserve">After-tax contribution (KRW bn)</t>
  </si>
  <si>
    <t xml:space="preserve">ROIC</t>
  </si>
  <si>
    <t xml:space="preserve">Reported Solidigm net income (KRW bn)</t>
  </si>
  <si>
    <t xml:space="preserve">2021 and 2024 not available; 2026 = H1 x 2 (annualised, unconfirmed)</t>
  </si>
  <si>
    <t xml:space="preserve">Value creation: DCF, NPV, ROIC vs. WACC, realised IRR</t>
  </si>
  <si>
    <t xml:space="preserve">US$ mn unless stated. Valuation date: signing (Oct 2020).</t>
  </si>
  <si>
    <t xml:space="preserve">Cost of capital (USD)</t>
  </si>
  <si>
    <t xml:space="preserve">Cost of equity = rf + beta x ERP + premium</t>
  </si>
  <si>
    <t xml:space="preserve">WACC</t>
  </si>
  <si>
    <t xml:space="preserve">DCF vs. price paid</t>
  </si>
  <si>
    <t xml:space="preserve">Bull</t>
  </si>
  <si>
    <t xml:space="preserve">Base</t>
  </si>
  <si>
    <t xml:space="preserve">Downturn</t>
  </si>
  <si>
    <t xml:space="preserve">Probability-weighted</t>
  </si>
  <si>
    <t xml:space="preserve">Enterprise value (DCF)</t>
  </si>
  <si>
    <t xml:space="preserve">PV of price paid</t>
  </si>
  <si>
    <t xml:space="preserve">NPV to SK hynix</t>
  </si>
  <si>
    <t xml:space="preserve">NPV as % of PV price</t>
  </si>
  <si>
    <t xml:space="preserve">Probability</t>
  </si>
  <si>
    <t xml:space="preserve">Selected scenario NPV</t>
  </si>
  <si>
    <t xml:space="preserve">WACC sensitivity, selected scenario (US$ mn)</t>
  </si>
  <si>
    <t xml:space="preserve">WACC -1%</t>
  </si>
  <si>
    <t xml:space="preserve">Base WACC</t>
  </si>
  <si>
    <t xml:space="preserve">WACC +1%</t>
  </si>
  <si>
    <t xml:space="preserve">WACC used</t>
  </si>
  <si>
    <t xml:space="preserve">Enterprise value</t>
  </si>
  <si>
    <t xml:space="preserve">NPV vs. PV price</t>
  </si>
  <si>
    <t xml:space="preserve">ROIC vs. WACC, selected scenario</t>
  </si>
  <si>
    <t xml:space="preserve">Spread (value created if &gt; 0)</t>
  </si>
  <si>
    <t xml:space="preserve">Realised outcome: IRR in KRW to today (illustrative)</t>
  </si>
  <si>
    <t xml:space="preserve">Cash flow</t>
  </si>
  <si>
    <t xml:space="preserve">Date</t>
  </si>
  <si>
    <t xml:space="preserve">Excludes Solidigm's interim profits/losses and SK hynix's funding costs. Today's value is reported pre-IPO talk, not a price.</t>
  </si>
  <si>
    <t xml:space="preserve">Value of Solidigm today</t>
  </si>
  <si>
    <t xml:space="preserve">Realised IRR (KRW, XIRR)</t>
  </si>
  <si>
    <t xml:space="preserve">Multiple of money (value / KRW paid)</t>
  </si>
  <si>
    <t xml:space="preserve">Realised IRR if Solidigm is worth less than reported (KRW bn)</t>
  </si>
  <si>
    <t xml:space="preserve">Value today</t>
  </si>
  <si>
    <t xml:space="preserve">Tranche 1 (KRW bn)</t>
  </si>
  <si>
    <t xml:space="preserve">Tranche 2 (KRW bn)</t>
  </si>
  <si>
    <t xml:space="preserve">Value today (KRW bn)</t>
  </si>
  <si>
    <t xml:space="preserve">Realised IRR</t>
  </si>
  <si>
    <t xml:space="preserve">Comparable transactions and trading multiples (EV / revenue)</t>
  </si>
  <si>
    <t xml:space="preserve">NAND M&amp;A is rare: only two large precedents. Several inputs are approximate and flagged; verify with CapIQ/Bloomberg before use.</t>
  </si>
  <si>
    <t xml:space="preserve">Precedent NAND transactions</t>
  </si>
  <si>
    <t xml:space="preserve">Deal</t>
  </si>
  <si>
    <t xml:space="preserve">Announced</t>
  </si>
  <si>
    <t xml:space="preserve">Value (US$ bn)</t>
  </si>
  <si>
    <t xml:space="preserve">Revenue (US$ bn)</t>
  </si>
  <si>
    <t xml:space="preserve">Multiple</t>
  </si>
  <si>
    <t xml:space="preserve">Basis / note</t>
  </si>
  <si>
    <t xml:space="preserve">Western Digital / SanDisk</t>
  </si>
  <si>
    <t xml:space="preserve">Oct 2015</t>
  </si>
  <si>
    <t xml:space="preserve">Equity value / FY2015 revenue (WD 8-K; Storage Newsletter). SanDisk held large net cash, so EV/revenue is lower</t>
  </si>
  <si>
    <t xml:space="preserve">Bain consortium / Toshiba Memory</t>
  </si>
  <si>
    <t xml:space="preserve">Sep 2017</t>
  </si>
  <si>
    <t xml:space="preserve">JPY 2tn price; revenue is an APPROXIMATE proxy (FY2016 Toshiba memory/SSD sales ~JPY 0.9tn). Verify</t>
  </si>
  <si>
    <t xml:space="preserve">SK hynix / Intel NAND (this deal)</t>
  </si>
  <si>
    <t xml:space="preserve">Oct 2020</t>
  </si>
  <si>
    <t xml:space="preserve">Run-rate revenue (2 x H1 2020)</t>
  </si>
  <si>
    <t xml:space="preserve">Listed memory peers around signing (approximate)</t>
  </si>
  <si>
    <t xml:space="preserve">Company</t>
  </si>
  <si>
    <t xml:space="preserve">EV (US$ bn)</t>
  </si>
  <si>
    <t xml:space="preserve">Micron Technology</t>
  </si>
  <si>
    <t xml:space="preserve">APPROX: market cap ~US$56bn less net cash; FY2020 revenue US$21.4bn. Verify</t>
  </si>
  <si>
    <t xml:space="preserve">Western Digital</t>
  </si>
  <si>
    <t xml:space="preserve">APPROX: market cap ~US$11bn plus net debt ~US$8bn; FY2020 revenue US$16.7bn. Verify</t>
  </si>
  <si>
    <t xml:space="preserve">Implied value of the NAND business (US$ bn, on run-rate revenue)</t>
  </si>
  <si>
    <t xml:space="preserve">Low multiple</t>
  </si>
  <si>
    <t xml:space="preserve">High multiple</t>
  </si>
  <si>
    <t xml:space="preserve">Low value</t>
  </si>
  <si>
    <t xml:space="preserve">High value</t>
  </si>
  <si>
    <t xml:space="preserve">Precedent transactions (excl. this deal)</t>
  </si>
  <si>
    <t xml:space="preserve">Listed peers</t>
  </si>
  <si>
    <t xml:space="preserve">Reading: SK hynix paid ~1.6x revenue, at or below the bottom of both ranges. Precedents were struck at different points in the memory cycle, which limits their comparability.</t>
  </si>
  <si>
    <t xml:space="preserve">What the won did to the price, and what a hedge would have done</t>
  </si>
  <si>
    <t xml:space="preserve">Forward = spot x ((1 + KRW rate) / (1 + USD rate)) ^ years. KRW bn unless stated.</t>
  </si>
  <si>
    <t xml:space="preserve">Tranche</t>
  </si>
  <si>
    <t xml:space="preserve">Paid on</t>
  </si>
  <si>
    <t xml:space="preserve">Years</t>
  </si>
  <si>
    <t xml:space="preserve">Spot at signing</t>
  </si>
  <si>
    <t xml:space="preserve">Forward at signing</t>
  </si>
  <si>
    <t xml:space="preserve">Spot when paid</t>
  </si>
  <si>
    <t xml:space="preserve">KRW at signing spot</t>
  </si>
  <si>
    <t xml:space="preserve">KRW if hedged</t>
  </si>
  <si>
    <t xml:space="preserve">KRW actually (unhedged)</t>
  </si>
  <si>
    <t xml:space="preserve">Hedge saving</t>
  </si>
  <si>
    <t xml:space="preserve">1. First closing</t>
  </si>
  <si>
    <t xml:space="preserve">2. Final closing</t>
  </si>
  <si>
    <t xml:space="preserve">Total</t>
  </si>
  <si>
    <t xml:space="preserve">Summary</t>
  </si>
  <si>
    <t xml:space="preserve">Extra KRW cost from the won's fall vs. signing</t>
  </si>
  <si>
    <t xml:space="preserve">  as % of the price at signing</t>
  </si>
  <si>
    <t xml:space="preserve">Effective USD/KRW paid (unhedged)</t>
  </si>
  <si>
    <t xml:space="preserve">Effective USD/KRW if hedged at signing</t>
  </si>
  <si>
    <t xml:space="preserve">Cost of hedging vs. signing spot (forward points)</t>
  </si>
  <si>
    <t xml:space="preserve">Forward premium, tranche 2 (won per $)</t>
  </si>
  <si>
    <t xml:space="preserve">Reading: in 2020 KRW rates were above USD rates, so a forward to buy dollars was priced above spot (a cost). The won then fell far more than the forward implied, so the unhedged buyer paid more.</t>
  </si>
  <si>
    <t xml:space="preserve">Caveats: hedge rates are assumptions (Inputs). A real deal-contingent forward on a 4-year, regulator-dependent tranche would cost more and might be partly hedged with USD debt instead.</t>
  </si>
  <si>
    <t xml:space="preserve">Tranche 2 in KRW bn, by USD/KRW on the payment date</t>
  </si>
  <si>
    <t xml:space="preserve">USD/KRW when paid</t>
  </si>
  <si>
    <t xml:space="preserve">Unhedged</t>
  </si>
  <si>
    <t xml:space="preserve">Hedged at signing</t>
  </si>
  <si>
    <t xml:space="preserve">Hedge gain / (loss)</t>
  </si>
  <si>
    <t xml:space="preserve">Hedge instruments for tranche 2 compared (KRW bn)</t>
  </si>
  <si>
    <t xml:space="preserve">Strike = forward at signing (USD/KRW)</t>
  </si>
  <si>
    <t xml:space="preserve">Years to payment</t>
  </si>
  <si>
    <t xml:space="preserve">Volatility</t>
  </si>
  <si>
    <t xml:space="preserve">KRW rate (continuous)</t>
  </si>
  <si>
    <t xml:space="preserve">USD rate (continuous)</t>
  </si>
  <si>
    <t xml:space="preserve">d1</t>
  </si>
  <si>
    <t xml:space="preserve">d2</t>
  </si>
  <si>
    <t xml:space="preserve">USD call / KRW put premium (KRW per USD, Garman-Kohlhagen)</t>
  </si>
  <si>
    <t xml:space="preserve">Premium on tranche 2, paid at signing (KRW bn)</t>
  </si>
  <si>
    <t xml:space="preserve">Premium carried to payment date (KRW bn)</t>
  </si>
  <si>
    <t xml:space="preserve">Premium as % of tranche 2 at signing spot</t>
  </si>
  <si>
    <t xml:space="preserve">Tranche-2 cost if USD/KRW at payment =</t>
  </si>
  <si>
    <t xml:space="preserve">1,100</t>
  </si>
  <si>
    <t xml:space="preserve">1,200</t>
  </si>
  <si>
    <t xml:space="preserve">Actual</t>
  </si>
  <si>
    <t xml:space="preserve">1,600</t>
  </si>
  <si>
    <t xml:space="preserve">Keeps the upside?</t>
  </si>
  <si>
    <t xml:space="preserve">Yes, but full downside</t>
  </si>
  <si>
    <t xml:space="preserve">No</t>
  </si>
  <si>
    <t xml:space="preserve">ATM-forward option (incl. premium)</t>
  </si>
  <si>
    <t xml:space="preserve">Yes, for a premium</t>
  </si>
  <si>
    <t xml:space="preserve">Natural hedge: SK hynix also issued US$2.5bn of USD bonds in Jan 2021 (3/5/10Y at 1.06%/1.52%/2.49%), and Solidigm earns USD revenue, which offsets part of the exposure.</t>
  </si>
  <si>
    <t xml:space="preserve">Monte Carlo: what could the deal cost in KRW? (2,000 simulated USD/KRW paths)</t>
  </si>
  <si>
    <t xml:space="preserve">Lognormal USD/KRW with forward drift (CIP) and the volatility on Inputs. Uniform draws are fixed values, so results are stable.</t>
  </si>
  <si>
    <t xml:space="preserve">Set-up</t>
  </si>
  <si>
    <t xml:space="preserve">#</t>
  </si>
  <si>
    <t xml:space="preserve">u1</t>
  </si>
  <si>
    <t xml:space="preserve">u2</t>
  </si>
  <si>
    <t xml:space="preserve">z1</t>
  </si>
  <si>
    <t xml:space="preserve">z2</t>
  </si>
  <si>
    <t xml:space="preserve">USD/KRW T1</t>
  </si>
  <si>
    <t xml:space="preserve">USD/KRW T2</t>
  </si>
  <si>
    <t xml:space="preserve">KRW cost (bn)</t>
  </si>
  <si>
    <t xml:space="preserve">Volatility (annualised)</t>
  </si>
  <si>
    <t xml:space="preserve">Drift = ln((1 + KRW rate) / (1 + USD rate))</t>
  </si>
  <si>
    <t xml:space="preserve">Years to tranche 1</t>
  </si>
  <si>
    <t xml:space="preserve">Years to tranche 2</t>
  </si>
  <si>
    <t xml:space="preserve">Distribution of total KRW cost (KRW bn)</t>
  </si>
  <si>
    <t xml:space="preserve">Mean</t>
  </si>
  <si>
    <t xml:space="preserve">5th percentile</t>
  </si>
  <si>
    <t xml:space="preserve">Median</t>
  </si>
  <si>
    <t xml:space="preserve">95th percentile</t>
  </si>
  <si>
    <t xml:space="preserve">99th percentile</t>
  </si>
  <si>
    <t xml:space="preserve">Cost if hedged at signing (FX_Hedge)</t>
  </si>
  <si>
    <t xml:space="preserve">Probability unhedged costs more than hedged</t>
  </si>
  <si>
    <t xml:space="preserve">Actual unhedged cost</t>
  </si>
  <si>
    <t xml:space="preserve">Percentile of the actual outcome</t>
  </si>
  <si>
    <t xml:space="preserve">95% worst case vs. hedged (KRW bn at risk)</t>
  </si>
  <si>
    <t xml:space="preserve">USD/KRW at the tranche-2 payment</t>
  </si>
  <si>
    <t xml:space="preserve">Actual (27 Mar 2025)</t>
  </si>
  <si>
    <t xml:space="preserve">Histogram of total KRW cost</t>
  </si>
  <si>
    <t xml:space="preserve">Bin from (KRW bn)</t>
  </si>
  <si>
    <t xml:space="preserve">Count</t>
  </si>
  <si>
    <t xml:space="preserve">Under these assumptions the actual cost landed in the upper tail; hedging at signing removed that tail at a known cost.</t>
  </si>
  <si>
    <t xml:space="preserve">Sensitivity of year-1 EPS accretion</t>
  </si>
  <si>
    <t xml:space="preserve">Each cell recomputes the Model with that row/column value; everything else from Inputs.</t>
  </si>
  <si>
    <t xml:space="preserve">A. Synergies (rows, US$ mn) x share funded by debt (columns; rest cash, no new shares)</t>
  </si>
  <si>
    <t xml:space="preserve">Synergies \ Debt %</t>
  </si>
  <si>
    <t xml:space="preserve">No new shares, so accretion = after-tax contribution / standalone net income.</t>
  </si>
  <si>
    <t xml:space="preserve">B. USD/KRW for target earnings (rows) x USD/KRW paid for the target (columns), base financing</t>
  </si>
  <si>
    <t xml:space="preserve">Earnings FX \ Price FX</t>
  </si>
  <si>
    <t xml:space="preserve">Diagonal = unhedged deal (price and earnings at the same rate). Down a column = price locked (hedged), earnings translated at a weaker won.</t>
  </si>
  <si>
    <t xml:space="preserve">C. Share funded by new shares (rows; rest debt) x buyer share price (columns, KRW)</t>
  </si>
  <si>
    <t xml:space="preserve">Stock % \ Share price</t>
  </si>
  <si>
    <t xml:space="preserve">Stock is the expensive currency when the buyer's P/E is low: its earnings yield exceeds the after-tax cost of debt.</t>
  </si>
  <si>
    <t xml:space="preserve">What actually happened: Solidigm results vs. the signing-date model</t>
  </si>
  <si>
    <t xml:space="preserve">KRW bn. Reported figures (blue) from press coverage of Solidigm filings; verify before quoting.</t>
  </si>
  <si>
    <t xml:space="preserve">Period</t>
  </si>
  <si>
    <t xml:space="preserve">Solidigm net income</t>
  </si>
  <si>
    <t xml:space="preserve">Model run-rate</t>
  </si>
  <si>
    <t xml:space="preserve">2022</t>
  </si>
  <si>
    <t xml:space="preserve">Herald Business, 2026: net loss KRW 3.3tn</t>
  </si>
  <si>
    <t xml:space="preserve">2023</t>
  </si>
  <si>
    <t xml:space="preserve">Herald Business: net loss KRW 4.0tn; equity negative at year-end</t>
  </si>
  <si>
    <t xml:space="preserve">2024</t>
  </si>
  <si>
    <t xml:space="preserve">Returned to profit; amount not given in source</t>
  </si>
  <si>
    <t xml:space="preserve">2025</t>
  </si>
  <si>
    <t xml:space="preserve">H1 KRW 132bn + H2 KRW 1.26tn (Herald Business)</t>
  </si>
  <si>
    <t xml:space="preserve">H1 2026</t>
  </si>
  <si>
    <t xml:space="preserve">Herald Business: H1 2026 net income KRW 5.84tn (post my knowledge cutoff; verify)</t>
  </si>
  <si>
    <t xml:space="preserve">Cumulative reported, 2022 to H1 2026 (2024 missing)</t>
  </si>
  <si>
    <t xml:space="preserve">Model run-rate = target EBIT after PPA D&amp;A and tax, before financing costs</t>
  </si>
  <si>
    <t xml:space="preserve">KRW actually paid for the business</t>
  </si>
  <si>
    <t xml:space="preserve">Lessons for the deal team</t>
  </si>
  <si>
    <t xml:space="preserve">1. Run-rate earnings from a cyclical peak (H1 2020 NAND) made the deal look highly accretive; the 2022-23 NAND downturn produced KRW 7.3tn of losses instead.</t>
  </si>
  <si>
    <t xml:space="preserve">2. Segment profits carved out of a seller (Intel NSG) include cost allocations that do not transfer cleanly.</t>
  </si>
  <si>
    <t xml:space="preserve">3. A four-year deferred USD payment left the buyer exposed to the won; the final tranche cost far more in KRW than at signing.</t>
  </si>
  <si>
    <t xml:space="preserve">4. The strategic case (enterprise SSDs) paid off later: the AI data-centre boom turned Solidigm into a large profit contributor.</t>
  </si>
  <si>
    <t xml:space="preserve">Assessment-centre practice</t>
  </si>
  <si>
    <t xml:space="preserve">Answer first, then check column D (hide it to self-test). Change Inputs and re-answer.</t>
  </si>
  <si>
    <t xml:space="preserve">Question</t>
  </si>
  <si>
    <t xml:space="preserve">Answer / where to look</t>
  </si>
  <si>
    <t xml:space="preserve">What multiples did SK hynix pay?</t>
  </si>
  <si>
    <t xml:space="preserve">Is the deal accretive in year 1 at base financing? By how much?</t>
  </si>
  <si>
    <t xml:space="preserve">Explain the accretion in one sentence.</t>
  </si>
  <si>
    <t xml:space="preserve">What if it were 100% funded with new shares at the assumed price?</t>
  </si>
  <si>
    <t xml:space="preserve">How much extra did the won's fall cost versus signing?</t>
  </si>
  <si>
    <t xml:space="preserve">What would hedging at signing have saved?</t>
  </si>
  <si>
    <t xml:space="preserve">Why was the forward rate above spot in 2020?</t>
  </si>
  <si>
    <t xml:space="preserve">KRW interest rates were above USD rates, so by covered interest parity the forward USD/KRW is higher than spot.</t>
  </si>
  <si>
    <t xml:space="preserve">Why might the buyer not hedge a 4-year tranche fully?</t>
  </si>
  <si>
    <t xml:space="preserve">Cost and credit lines for long-dated forwards, deal uncertainty (regulatory approval), and natural hedges (USD revenues).</t>
  </si>
  <si>
    <t xml:space="preserve">Name two risks you would flag at signing.</t>
  </si>
  <si>
    <t xml:space="preserve">China SAMR approval and Dalian geopolitics; NAND price cycle; seller cost allocations; deferred FX exposure.</t>
  </si>
  <si>
    <t xml:space="preserve">Why did the model not match 2022-23?</t>
  </si>
  <si>
    <t xml:space="preserve">Run-rate taken at a cyclical high; NAND prices collapsed in 2022-23. See Post_Mortem.</t>
  </si>
  <si>
    <t xml:space="preserve">Is the deal value-creating, not just accretive?</t>
  </si>
  <si>
    <t xml:space="preserve">Year-1 ROIC vs. WACC?</t>
  </si>
  <si>
    <t xml:space="preserve">How much is paying US$2bn four years later worth to the buyer?</t>
  </si>
  <si>
    <t xml:space="preserve">What is the 95th-percentile KRW cost, unhedged?</t>
  </si>
  <si>
    <t xml:space="preserve">Forward or option for tranche 2? Trade-off?</t>
  </si>
  <si>
    <t xml:space="preserve">Where does the price sit on the football field?</t>
  </si>
  <si>
    <t xml:space="preserve">At or below the low end of precedents and peers on EV/revenue; within the DCF range only if the cycle holds. See Summary.</t>
  </si>
  <si>
    <t xml:space="preserve">What happens to leverage?</t>
  </si>
  <si>
    <t xml:space="preserve">Sources</t>
  </si>
  <si>
    <t xml:space="preserve">Accessed 18 Oct 2026.</t>
  </si>
  <si>
    <t xml:space="preserve">Item</t>
  </si>
  <si>
    <t xml:space="preserve">Link</t>
  </si>
  <si>
    <t xml:space="preserve">Deal terms, NAND H1 2020 revenue and operating income</t>
  </si>
  <si>
    <t xml:space="preserve">https://www.sec.gov/Archives/edgar/data/50863/000119312520272580/d76122dex991.htm</t>
  </si>
  <si>
    <t xml:space="preserve">First closing, China SAMR clearance (Dec 2021)</t>
  </si>
  <si>
    <t xml:space="preserve">https://www.eetasia.com/?p=34510</t>
  </si>
  <si>
    <t xml:space="preserve">Final closing 27 Mar 2025, ~US$1.9bn net of adjustments</t>
  </si>
  <si>
    <t xml:space="preserve">https://evertiq.com/design/2025-04-01-sk-hynix-completes-its-acquisition-of-intels-nand-business/</t>
  </si>
  <si>
    <t xml:space="preserve">SK hynix FY2020 results</t>
  </si>
  <si>
    <t xml:space="preserve">https://www.koreajoongangdaily.com/business/sk-hynixs-2020-net-profit-exceeds-expectations-growing-twofold-on-year/11673498</t>
  </si>
  <si>
    <t xml:space="preserve">Solidigm results 2022-H1 2026</t>
  </si>
  <si>
    <t xml:space="preserve">https://biz.heraldcorp.com/article/10843248</t>
  </si>
  <si>
    <t xml:space="preserve">USD/KRW: Federal Reserve H.10 (via FRED / datasets/exchange-rates)</t>
  </si>
  <si>
    <t xml:space="preserve">https://fred.stlouisfed.org/series/DEXKOUS</t>
  </si>
  <si>
    <t xml:space="preserve">SK hynix US$2.5bn USD bonds, Jan 2021 (coupons, ratings)</t>
  </si>
  <si>
    <t xml:space="preserve">http://www.kedglobal.com/bond-issues/newsView/ked202101140004</t>
  </si>
  <si>
    <t xml:space="preserve">Western Digital / SanDisk terms (Oct 2015)</t>
  </si>
  <si>
    <t xml:space="preserve">https://www.sec.gov/Archives/edgar/data/0000106040/000119312515349064/d20974dex991.htm</t>
  </si>
  <si>
    <t xml:space="preserve">SanDisk FY2015 revenue</t>
  </si>
  <si>
    <t xml:space="preserve">https://www.storagenewsletter.com/?p=158764</t>
  </si>
  <si>
    <t xml:space="preserve">Bain consortium / Toshiba Memory (JPY 2tn)</t>
  </si>
  <si>
    <t xml:space="preserve">https://www.datacenterknowledge.com/data-center-chips/bain-led-group-to-buy-toshiba-chip-unit-in-18b-deal</t>
  </si>
  <si>
    <t xml:space="preserve">SK hynix net-borrowing dependence, Jun 2020 (credit rating news)</t>
  </si>
  <si>
    <t xml:space="preserve">https://dealsite.co.kr/articles/66991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</si>
</sst>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\x"/>
    <numFmt numFmtId="167" formatCode="0.0%;\(0.0%\);\-"/>
    <numFmt numFmtId="168" formatCode="0.00%;\(0.00%\);\-"/>
    <numFmt numFmtId="169" formatCode="0.0"/>
    <numFmt numFmtId="170" formatCode="0"/>
    <numFmt numFmtId="171" formatCode="yyyy\-mm\-dd"/>
    <numFmt numFmtId="172" formatCode="#,##0.00"/>
    <numFmt numFmtId="173" formatCode="#,##0.0"/>
    <numFmt numFmtId="174" formatCode="#,##0"/>
    <numFmt numFmtId="175" formatCode="0.00"/>
    <numFmt numFmtId="176" formatCode="\+0.00\x;\-0.00\x"/>
    <numFmt numFmtId="177" formatCode="0.000"/>
    <numFmt numFmtId="178" formatCode="0.0000"/>
    <numFmt numFmtId="17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1A1A1A"/>
      <name val="Arial"/>
      <family val="2"/>
    </font>
    <font>
      <sz val="8"/>
      <color rgb="FF404040"/>
      <name val="Arial"/>
      <family val="2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Calibri"/>
      <family val="2"/>
    </font>
    <font>
      <sz val="9"/>
      <color rgb="FF80808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5B8C5A"/>
      <rgbColor rgb="FF003300"/>
      <rgbColor rgb="FF1A1A1A"/>
      <rgbColor rgb="FF9B2226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Football field: value of the NAND business (US$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Summary!$B$23:$B$27</c:f>
              <c:strCache>
                <c:ptCount val="5"/>
                <c:pt idx="0">
                  <c:v>Listed peers, EV / revenue</c:v>
                </c:pt>
                <c:pt idx="1">
                  <c:v>Precedent transactions, EV / revenue</c:v>
                </c:pt>
                <c:pt idx="2">
                  <c:v>DCF, selected scenario, WACC +/- 1%</c:v>
                </c:pt>
                <c:pt idx="3">
                  <c:v>DCF, downturn to bull</c:v>
                </c:pt>
                <c:pt idx="4">
                  <c:v>Price paid: PV to headline</c:v>
                </c:pt>
              </c:strCache>
            </c:strRef>
          </c:cat>
          <c:val>
            <c:numRef>
              <c:f>Summary!$C$23:$C$27</c:f>
              <c:numCache>
                <c:formatCode>0.0</c:formatCode>
                <c:ptCount val="5"/>
                <c:pt idx="0">
                  <c:v>6.37125748502994</c:v>
                </c:pt>
                <c:pt idx="1">
                  <c:v>12.4444444444444</c:v>
                </c:pt>
                <c:pt idx="2">
                  <c:v>12.238422513984</c:v>
                </c:pt>
                <c:pt idx="3">
                  <c:v>3.00796690166165</c:v>
                </c:pt>
                <c:pt idx="4">
                  <c:v>8.65229668386763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Summary!$B$23:$B$27</c:f>
              <c:strCache>
                <c:ptCount val="5"/>
                <c:pt idx="0">
                  <c:v>Listed peers, EV / revenue</c:v>
                </c:pt>
                <c:pt idx="1">
                  <c:v>Precedent transactions, EV / revenue</c:v>
                </c:pt>
                <c:pt idx="2">
                  <c:v>DCF, selected scenario, WACC +/- 1%</c:v>
                </c:pt>
                <c:pt idx="3">
                  <c:v>DCF, downturn to bull</c:v>
                </c:pt>
                <c:pt idx="4">
                  <c:v>Price paid: PV to headline</c:v>
                </c:pt>
              </c:strCache>
            </c:strRef>
          </c:cat>
          <c:val>
            <c:numRef>
              <c:f>Summary!$F$23:$F$27</c:f>
              <c:numCache>
                <c:formatCode>0.0</c:formatCode>
                <c:ptCount val="5"/>
                <c:pt idx="0">
                  <c:v>7.75958363646539</c:v>
                </c:pt>
                <c:pt idx="1">
                  <c:v>6.69224620303757</c:v>
                </c:pt>
                <c:pt idx="2">
                  <c:v>6.25738147314048</c:v>
                </c:pt>
                <c:pt idx="3">
                  <c:v>29.6392592959293</c:v>
                </c:pt>
                <c:pt idx="4">
                  <c:v>0.347703316132369</c:v>
                </c:pt>
              </c:numCache>
            </c:numRef>
          </c:val>
        </c:ser>
        <c:gapWidth val="60"/>
        <c:overlap val="100"/>
        <c:axId val="4455388"/>
        <c:axId val="32271999"/>
      </c:barChart>
      <c:catAx>
        <c:axId val="445538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32271999"/>
        <c:crosses val="autoZero"/>
        <c:auto val="1"/>
        <c:lblAlgn val="ctr"/>
        <c:lblOffset val="100"/>
        <c:noMultiLvlLbl val="0"/>
      </c:catAx>
      <c:valAx>
        <c:axId val="32271999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4553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After-tax contribution by scenario vs. reported Solidigm net income (KRW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"Bull"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1f3a5f"/>
            </a:solidFill>
            <a:ln w="19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Scenarios!$D$19:$I$19</c:f>
              <c:numCache>
                <c:formatCode>#,##0;\(#,##0\);\-</c:formatCode>
                <c:ptCount val="6"/>
                <c:pt idx="0">
                  <c:v>794.623168928571</c:v>
                </c:pt>
                <c:pt idx="1">
                  <c:v>993.986550803571</c:v>
                </c:pt>
                <c:pt idx="2">
                  <c:v>1223.25443995982</c:v>
                </c:pt>
                <c:pt idx="3">
                  <c:v>1486.91251248951</c:v>
                </c:pt>
                <c:pt idx="4">
                  <c:v>1790.11929589865</c:v>
                </c:pt>
                <c:pt idx="5">
                  <c:v>2138.80709681916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a1a1a"/>
            </a:solidFill>
            <a:ln w="1908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Scenarios!$D$37:$I$37</c:f>
              <c:numCache>
                <c:formatCode>#,##0;\(#,##0\);\-</c:formatCode>
                <c:ptCount val="6"/>
                <c:pt idx="0">
                  <c:v>364.229410028571</c:v>
                </c:pt>
                <c:pt idx="1">
                  <c:v>251.892478328571</c:v>
                </c:pt>
                <c:pt idx="2">
                  <c:v>291.210404423572</c:v>
                </c:pt>
                <c:pt idx="3">
                  <c:v>332.494226823322</c:v>
                </c:pt>
                <c:pt idx="4">
                  <c:v>375.842240343059</c:v>
                </c:pt>
                <c:pt idx="5">
                  <c:v>421.357654538784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"Downturn"</c:f>
              <c:strCache>
                <c:ptCount val="1"/>
                <c:pt idx="0">
                  <c:v>Downturn</c:v>
                </c:pt>
              </c:strCache>
            </c:strRef>
          </c:tx>
          <c:spPr>
            <a:solidFill>
              <a:srgbClr val="9b2226"/>
            </a:solidFill>
            <a:ln w="19080">
              <a:solidFill>
                <a:srgbClr val="9b22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Scenarios!$D$55:$I$55</c:f>
              <c:numCache>
                <c:formatCode>#,##0;\(#,##0\);\-</c:formatCode>
                <c:ptCount val="6"/>
                <c:pt idx="0">
                  <c:v>228.315591428572</c:v>
                </c:pt>
                <c:pt idx="1">
                  <c:v>-2263.43774957143</c:v>
                </c:pt>
                <c:pt idx="2">
                  <c:v>-2349.88633487143</c:v>
                </c:pt>
                <c:pt idx="3">
                  <c:v>-700.879570273929</c:v>
                </c:pt>
                <c:pt idx="4">
                  <c:v>-351.411164198679</c:v>
                </c:pt>
                <c:pt idx="5">
                  <c:v>-131.745308951378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"Reported (Solidigm)"</c:f>
              <c:strCache>
                <c:ptCount val="1"/>
                <c:pt idx="0">
                  <c:v>Reported (Solidigm)</c:v>
                </c:pt>
              </c:strCache>
            </c:strRef>
          </c:tx>
          <c:spPr>
            <a:solidFill>
              <a:srgbClr val="5b8c5a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5b8c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Scenarios!$D$67:$I$67</c:f>
              <c:numCache>
                <c:formatCode>#,##0;\(#,##0\);\-</c:formatCode>
                <c:ptCount val="6"/>
                <c:pt idx="1">
                  <c:v>-3300</c:v>
                </c:pt>
                <c:pt idx="2">
                  <c:v>-4000</c:v>
                </c:pt>
                <c:pt idx="4">
                  <c:v>1392</c:v>
                </c:pt>
                <c:pt idx="5">
                  <c:v>11680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402771"/>
        <c:axId val="51132740"/>
      </c:lineChart>
      <c:catAx>
        <c:axId val="134027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1132740"/>
        <c:crosses val="autoZero"/>
        <c:auto val="1"/>
        <c:lblAlgn val="ctr"/>
        <c:lblOffset val="100"/>
        <c:noMultiLvlLbl val="0"/>
      </c:catAx>
      <c:valAx>
        <c:axId val="51132740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34027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Tranche 2 cost in KRW bn: unhedged vs hedged at signing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"Unhedged"</c:f>
              <c:strCache>
                <c:ptCount val="1"/>
                <c:pt idx="0">
                  <c:v>Unhedged</c:v>
                </c:pt>
              </c:strCache>
            </c:strRef>
          </c:tx>
          <c:spPr>
            <a:solidFill>
              <a:srgbClr val="9b2226"/>
            </a:solidFill>
            <a:ln w="15840">
              <a:solidFill>
                <a:srgbClr val="9b22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FX_Hedge!$B$22:$B$35</c:f>
              <c:strCache>
                <c:ptCount val="14"/>
                <c:pt idx="0">
                  <c:v>1,000</c:v>
                </c:pt>
                <c:pt idx="1">
                  <c:v>1,050</c:v>
                </c:pt>
                <c:pt idx="2">
                  <c:v>1,100</c:v>
                </c:pt>
                <c:pt idx="3">
                  <c:v>1,150</c:v>
                </c:pt>
                <c:pt idx="4">
                  <c:v>1,200</c:v>
                </c:pt>
                <c:pt idx="5">
                  <c:v>1,250</c:v>
                </c:pt>
                <c:pt idx="6">
                  <c:v>1,300</c:v>
                </c:pt>
                <c:pt idx="7">
                  <c:v>1,350</c:v>
                </c:pt>
                <c:pt idx="8">
                  <c:v>1,400</c:v>
                </c:pt>
                <c:pt idx="9">
                  <c:v>1,450</c:v>
                </c:pt>
                <c:pt idx="10">
                  <c:v>1,500</c:v>
                </c:pt>
                <c:pt idx="11">
                  <c:v>1,550</c:v>
                </c:pt>
                <c:pt idx="12">
                  <c:v>1,600</c:v>
                </c:pt>
                <c:pt idx="13">
                  <c:v>1,650</c:v>
                </c:pt>
              </c:strCache>
            </c:strRef>
          </c:cat>
          <c:val>
            <c:numRef>
              <c:f>FX_Hedge!$C$22:$C$35</c:f>
              <c:numCache>
                <c:formatCode>#,##0;\(#,##0\);\-</c:formatCode>
                <c:ptCount val="14"/>
                <c:pt idx="0">
                  <c:v>1900</c:v>
                </c:pt>
                <c:pt idx="1">
                  <c:v>1995</c:v>
                </c:pt>
                <c:pt idx="2">
                  <c:v>2090</c:v>
                </c:pt>
                <c:pt idx="3">
                  <c:v>2185</c:v>
                </c:pt>
                <c:pt idx="4">
                  <c:v>2280</c:v>
                </c:pt>
                <c:pt idx="5">
                  <c:v>2375</c:v>
                </c:pt>
                <c:pt idx="6">
                  <c:v>2470</c:v>
                </c:pt>
                <c:pt idx="7">
                  <c:v>2565</c:v>
                </c:pt>
                <c:pt idx="8">
                  <c:v>2660</c:v>
                </c:pt>
                <c:pt idx="9">
                  <c:v>2755</c:v>
                </c:pt>
                <c:pt idx="10">
                  <c:v>2850</c:v>
                </c:pt>
                <c:pt idx="11">
                  <c:v>2945</c:v>
                </c:pt>
                <c:pt idx="12">
                  <c:v>3040</c:v>
                </c:pt>
                <c:pt idx="13">
                  <c:v>3135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"Hedged at signing"</c:f>
              <c:strCache>
                <c:ptCount val="1"/>
                <c:pt idx="0">
                  <c:v>Hedged at signing</c:v>
                </c:pt>
              </c:strCache>
            </c:strRef>
          </c:tx>
          <c:spPr>
            <a:solidFill>
              <a:srgbClr val="1f3a5f"/>
            </a:solidFill>
            <a:ln w="1584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FX_Hedge!$B$22:$B$35</c:f>
              <c:strCache>
                <c:ptCount val="14"/>
                <c:pt idx="0">
                  <c:v>1,000</c:v>
                </c:pt>
                <c:pt idx="1">
                  <c:v>1,050</c:v>
                </c:pt>
                <c:pt idx="2">
                  <c:v>1,100</c:v>
                </c:pt>
                <c:pt idx="3">
                  <c:v>1,150</c:v>
                </c:pt>
                <c:pt idx="4">
                  <c:v>1,200</c:v>
                </c:pt>
                <c:pt idx="5">
                  <c:v>1,250</c:v>
                </c:pt>
                <c:pt idx="6">
                  <c:v>1,300</c:v>
                </c:pt>
                <c:pt idx="7">
                  <c:v>1,350</c:v>
                </c:pt>
                <c:pt idx="8">
                  <c:v>1,400</c:v>
                </c:pt>
                <c:pt idx="9">
                  <c:v>1,450</c:v>
                </c:pt>
                <c:pt idx="10">
                  <c:v>1,500</c:v>
                </c:pt>
                <c:pt idx="11">
                  <c:v>1,550</c:v>
                </c:pt>
                <c:pt idx="12">
                  <c:v>1,600</c:v>
                </c:pt>
                <c:pt idx="13">
                  <c:v>1,650</c:v>
                </c:pt>
              </c:strCache>
            </c:strRef>
          </c:cat>
          <c:val>
            <c:numRef>
              <c:f>FX_Hedge!$D$22:$D$35</c:f>
              <c:numCache>
                <c:formatCode>#,##0;\(#,##0\);\-</c:formatCode>
                <c:ptCount val="14"/>
                <c:pt idx="0">
                  <c:v>2255.76938359077</c:v>
                </c:pt>
                <c:pt idx="1">
                  <c:v>2255.76938359077</c:v>
                </c:pt>
                <c:pt idx="2">
                  <c:v>2255.76938359077</c:v>
                </c:pt>
                <c:pt idx="3">
                  <c:v>2255.76938359077</c:v>
                </c:pt>
                <c:pt idx="4">
                  <c:v>2255.76938359077</c:v>
                </c:pt>
                <c:pt idx="5">
                  <c:v>2255.76938359077</c:v>
                </c:pt>
                <c:pt idx="6">
                  <c:v>2255.76938359077</c:v>
                </c:pt>
                <c:pt idx="7">
                  <c:v>2255.76938359077</c:v>
                </c:pt>
                <c:pt idx="8">
                  <c:v>2255.76938359077</c:v>
                </c:pt>
                <c:pt idx="9">
                  <c:v>2255.76938359077</c:v>
                </c:pt>
                <c:pt idx="10">
                  <c:v>2255.76938359077</c:v>
                </c:pt>
                <c:pt idx="11">
                  <c:v>2255.76938359077</c:v>
                </c:pt>
                <c:pt idx="12">
                  <c:v>2255.76938359077</c:v>
                </c:pt>
                <c:pt idx="13">
                  <c:v>2255.76938359077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082032"/>
        <c:axId val="12398452"/>
      </c:lineChart>
      <c:catAx>
        <c:axId val="5508203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2398452"/>
        <c:crosses val="autoZero"/>
        <c:auto val="1"/>
        <c:lblAlgn val="ctr"/>
        <c:lblOffset val="100"/>
        <c:noMultiLvlLbl val="0"/>
      </c:catAx>
      <c:valAx>
        <c:axId val="12398452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5082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Simulated total KRW cost (KRW bn): count of 2,000 paths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"Paths"</c:f>
              <c:strCache>
                <c:ptCount val="1"/>
                <c:pt idx="0">
                  <c:v>Paths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FX_MonteCarlo!$B$32:$B$48</c:f>
              <c:strCache>
                <c:ptCount val="17"/>
                <c:pt idx="0">
                  <c:v>9,000</c:v>
                </c:pt>
                <c:pt idx="1">
                  <c:v>9,250</c:v>
                </c:pt>
                <c:pt idx="2">
                  <c:v>9,500</c:v>
                </c:pt>
                <c:pt idx="3">
                  <c:v>9,750</c:v>
                </c:pt>
                <c:pt idx="4">
                  <c:v>10,000</c:v>
                </c:pt>
                <c:pt idx="5">
                  <c:v>10,250</c:v>
                </c:pt>
                <c:pt idx="6">
                  <c:v>10,500</c:v>
                </c:pt>
                <c:pt idx="7">
                  <c:v>10,750</c:v>
                </c:pt>
                <c:pt idx="8">
                  <c:v>11,000</c:v>
                </c:pt>
                <c:pt idx="9">
                  <c:v>11,250</c:v>
                </c:pt>
                <c:pt idx="10">
                  <c:v>11,500</c:v>
                </c:pt>
                <c:pt idx="11">
                  <c:v>11,750</c:v>
                </c:pt>
                <c:pt idx="12">
                  <c:v>12,000</c:v>
                </c:pt>
                <c:pt idx="13">
                  <c:v>12,250</c:v>
                </c:pt>
                <c:pt idx="14">
                  <c:v>12,500</c:v>
                </c:pt>
                <c:pt idx="15">
                  <c:v>12,750</c:v>
                </c:pt>
                <c:pt idx="16">
                  <c:v>13,000</c:v>
                </c:pt>
              </c:strCache>
            </c:strRef>
          </c:cat>
          <c:val>
            <c:numRef>
              <c:f>FX_MonteCarlo!$C$32:$C$48</c:f>
              <c:numCache>
                <c:formatCode>0</c:formatCode>
                <c:ptCount val="17"/>
                <c:pt idx="0">
                  <c:v>115</c:v>
                </c:pt>
                <c:pt idx="1">
                  <c:v>138</c:v>
                </c:pt>
                <c:pt idx="2">
                  <c:v>172</c:v>
                </c:pt>
                <c:pt idx="3">
                  <c:v>173</c:v>
                </c:pt>
                <c:pt idx="4">
                  <c:v>208</c:v>
                </c:pt>
                <c:pt idx="5">
                  <c:v>182</c:v>
                </c:pt>
                <c:pt idx="6">
                  <c:v>185</c:v>
                </c:pt>
                <c:pt idx="7">
                  <c:v>159</c:v>
                </c:pt>
                <c:pt idx="8">
                  <c:v>123</c:v>
                </c:pt>
                <c:pt idx="9">
                  <c:v>96</c:v>
                </c:pt>
                <c:pt idx="10">
                  <c:v>76</c:v>
                </c:pt>
                <c:pt idx="11">
                  <c:v>56</c:v>
                </c:pt>
                <c:pt idx="12">
                  <c:v>43</c:v>
                </c:pt>
                <c:pt idx="13">
                  <c:v>26</c:v>
                </c:pt>
                <c:pt idx="14">
                  <c:v>24</c:v>
                </c:pt>
                <c:pt idx="15">
                  <c:v>11</c:v>
                </c:pt>
                <c:pt idx="16">
                  <c:v>17</c:v>
                </c:pt>
              </c:numCache>
            </c:numRef>
          </c:val>
        </c:ser>
        <c:gapWidth val="15"/>
        <c:overlap val="0"/>
        <c:axId val="2115518"/>
        <c:axId val="18182144"/>
      </c:barChart>
      <c:catAx>
        <c:axId val="211551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8182144"/>
        <c:crosses val="autoZero"/>
        <c:auto val="1"/>
        <c:lblAlgn val="ctr"/>
        <c:lblOffset val="100"/>
        <c:noMultiLvlLbl val="0"/>
      </c:catAx>
      <c:valAx>
        <c:axId val="18182144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2115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Solidigm net income (KRW bn) vs. the model's run-rate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"Reported net income"</c:f>
              <c:strCache>
                <c:ptCount val="1"/>
                <c:pt idx="0">
                  <c:v>Reported net income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Post_Mortem!$B$5:$B$9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H1 2026</c:v>
                </c:pt>
              </c:strCache>
            </c:strRef>
          </c:cat>
          <c:val>
            <c:numRef>
              <c:f>Post_Mortem!$C$5:$C$9</c:f>
              <c:numCache>
                <c:formatCode>#,##0;\(#,##0\);\-</c:formatCode>
                <c:ptCount val="5"/>
                <c:pt idx="0">
                  <c:v>-3300</c:v>
                </c:pt>
                <c:pt idx="1">
                  <c:v>-4000</c:v>
                </c:pt>
                <c:pt idx="3">
                  <c:v>1392</c:v>
                </c:pt>
                <c:pt idx="4">
                  <c:v>5840</c:v>
                </c:pt>
              </c:numCache>
            </c:numRef>
          </c:val>
        </c:ser>
        <c:gapWidth val="60"/>
        <c:overlap val="0"/>
        <c:axId val="1233432"/>
        <c:axId val="83570298"/>
      </c:barChart>
      <c:lineChart>
        <c:grouping val="standard"/>
        <c:varyColors val="0"/>
        <c:ser>
          <c:idx val="1"/>
          <c:order val="1"/>
          <c:tx>
            <c:strRef>
              <c:f>"Model run-rate (signing)"</c:f>
              <c:strCache>
                <c:ptCount val="1"/>
                <c:pt idx="0">
                  <c:v>Model run-rate (signing)</c:v>
                </c:pt>
              </c:strCache>
            </c:strRef>
          </c:tx>
          <c:spPr>
            <a:solidFill>
              <a:srgbClr val="9b2226"/>
            </a:solidFill>
            <a:ln w="22320">
              <a:solidFill>
                <a:srgbClr val="9b22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Post_Mortem!$B$5:$B$9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H1 2026</c:v>
                </c:pt>
              </c:strCache>
            </c:strRef>
          </c:cat>
          <c:val>
            <c:numRef>
              <c:f>Post_Mortem!$D$5:$D$9</c:f>
              <c:numCache>
                <c:formatCode>#,##0;\(#,##0\);\-</c:formatCode>
                <c:ptCount val="5"/>
                <c:pt idx="0">
                  <c:v>560.175133928571</c:v>
                </c:pt>
                <c:pt idx="1">
                  <c:v>560.175133928571</c:v>
                </c:pt>
                <c:pt idx="2">
                  <c:v>560.175133928571</c:v>
                </c:pt>
                <c:pt idx="3">
                  <c:v>560.175133928571</c:v>
                </c:pt>
                <c:pt idx="4">
                  <c:v>280.087566964286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33432"/>
        <c:axId val="83570298"/>
      </c:lineChart>
      <c:catAx>
        <c:axId val="1233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83570298"/>
        <c:crosses val="autoZero"/>
        <c:auto val="1"/>
        <c:lblAlgn val="ctr"/>
        <c:lblOffset val="100"/>
        <c:noMultiLvlLbl val="0"/>
      </c:catAx>
      <c:valAx>
        <c:axId val="83570298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2334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176040</xdr:rowOff>
    </xdr:from>
    <xdr:to>
      <xdr:col>5</xdr:col>
      <xdr:colOff>1122120</xdr:colOff>
      <xdr:row>42</xdr:row>
      <xdr:rowOff>17280</xdr:rowOff>
    </xdr:to>
    <xdr:graphicFrame>
      <xdr:nvGraphicFramePr>
        <xdr:cNvPr id="0" name="Chart 1"/>
        <xdr:cNvGraphicFramePr/>
      </xdr:nvGraphicFramePr>
      <xdr:xfrm>
        <a:off x="141120" y="5334120"/>
        <a:ext cx="647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68</xdr:row>
      <xdr:rowOff>176040</xdr:rowOff>
    </xdr:from>
    <xdr:to>
      <xdr:col>6</xdr:col>
      <xdr:colOff>268920</xdr:colOff>
      <xdr:row>84</xdr:row>
      <xdr:rowOff>6840</xdr:rowOff>
    </xdr:to>
    <xdr:graphicFrame>
      <xdr:nvGraphicFramePr>
        <xdr:cNvPr id="1" name="Chart 1"/>
        <xdr:cNvGraphicFramePr/>
      </xdr:nvGraphicFramePr>
      <xdr:xfrm>
        <a:off x="141120" y="13144680"/>
        <a:ext cx="61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175680</xdr:rowOff>
    </xdr:from>
    <xdr:to>
      <xdr:col>12</xdr:col>
      <xdr:colOff>42120</xdr:colOff>
      <xdr:row>32</xdr:row>
      <xdr:rowOff>114480</xdr:rowOff>
    </xdr:to>
    <xdr:graphicFrame>
      <xdr:nvGraphicFramePr>
        <xdr:cNvPr id="2" name="Chart 1"/>
        <xdr:cNvGraphicFramePr/>
      </xdr:nvGraphicFramePr>
      <xdr:xfrm>
        <a:off x="5356800" y="38098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50</xdr:row>
      <xdr:rowOff>176040</xdr:rowOff>
    </xdr:from>
    <xdr:to>
      <xdr:col>2</xdr:col>
      <xdr:colOff>677880</xdr:colOff>
      <xdr:row>65</xdr:row>
      <xdr:rowOff>17640</xdr:rowOff>
    </xdr:to>
    <xdr:graphicFrame>
      <xdr:nvGraphicFramePr>
        <xdr:cNvPr id="3" name="Chart 1"/>
        <xdr:cNvGraphicFramePr/>
      </xdr:nvGraphicFramePr>
      <xdr:xfrm>
        <a:off x="141120" y="9715680"/>
        <a:ext cx="377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82440</xdr:rowOff>
    </xdr:from>
    <xdr:to>
      <xdr:col>3</xdr:col>
      <xdr:colOff>888120</xdr:colOff>
      <xdr:row>32</xdr:row>
      <xdr:rowOff>114480</xdr:rowOff>
    </xdr:to>
    <xdr:graphicFrame>
      <xdr:nvGraphicFramePr>
        <xdr:cNvPr id="4" name="Chart 1"/>
        <xdr:cNvGraphicFramePr/>
      </xdr:nvGraphicFramePr>
      <xdr:xfrm>
        <a:off x="141120" y="36194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50863/000119312520272580/d76122dex991.htm" TargetMode="External"/><Relationship Id="rId2" Type="http://schemas.openxmlformats.org/officeDocument/2006/relationships/hyperlink" Target="https://www.eetasia.com/?p=34510" TargetMode="External"/><Relationship Id="rId3" Type="http://schemas.openxmlformats.org/officeDocument/2006/relationships/hyperlink" Target="https://evertiq.com/design/2025-04-01-sk-hynix-completes-its-acquisition-of-intels-nand-business/" TargetMode="External"/><Relationship Id="rId4" Type="http://schemas.openxmlformats.org/officeDocument/2006/relationships/hyperlink" Target="https://www.koreajoongangdaily.com/business/sk-hynixs-2020-net-profit-exceeds-expectations-growing-twofold-on-year/11673498" TargetMode="External"/><Relationship Id="rId5" Type="http://schemas.openxmlformats.org/officeDocument/2006/relationships/hyperlink" Target="https://biz.heraldcorp.com/article/10843248" TargetMode="External"/><Relationship Id="rId6" Type="http://schemas.openxmlformats.org/officeDocument/2006/relationships/hyperlink" Target="https://fred.stlouisfed.org/series/DEXKOUS" TargetMode="External"/><Relationship Id="rId7" Type="http://schemas.openxmlformats.org/officeDocument/2006/relationships/hyperlink" Target="http://www.kedglobal.com/bond-issues/newsView/ked202101140004" TargetMode="External"/><Relationship Id="rId8" Type="http://schemas.openxmlformats.org/officeDocument/2006/relationships/hyperlink" Target="https://www.sec.gov/Archives/edgar/data/0000106040/000119312515349064/d20974dex991.htm" TargetMode="External"/><Relationship Id="rId9" Type="http://schemas.openxmlformats.org/officeDocument/2006/relationships/hyperlink" Target="https://www.storagenewsletter.com/?p=158764" TargetMode="External"/><Relationship Id="rId10" Type="http://schemas.openxmlformats.org/officeDocument/2006/relationships/hyperlink" Target="https://www.datacenterknowledge.com/data-center-chips/bain-led-group-to-buy-toshiba-chip-unit-in-18b-deal" TargetMode="External"/><Relationship Id="rId11" Type="http://schemas.openxmlformats.org/officeDocument/2006/relationships/hyperlink" Target="https://dealsite.co.kr/articles/6699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6.15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  <c r="C2" s="4"/>
      <c r="D2" s="4"/>
    </row>
    <row r="4" customFormat="false" ht="15" hidden="false" customHeight="false" outlineLevel="0" collapsed="false">
      <c r="B4" s="5" t="s">
        <v>2</v>
      </c>
      <c r="C4" s="4"/>
      <c r="D4" s="4"/>
    </row>
    <row r="5" customFormat="false" ht="15" hidden="false" customHeight="false" outlineLevel="0" collapsed="false">
      <c r="B5" s="6" t="s">
        <v>3</v>
      </c>
    </row>
    <row r="6" customFormat="false" ht="15" hidden="false" customHeight="false" outlineLevel="0" collapsed="false">
      <c r="B6" s="6" t="s">
        <v>4</v>
      </c>
    </row>
    <row r="7" customFormat="false" ht="15" hidden="false" customHeight="false" outlineLevel="0" collapsed="false">
      <c r="B7" s="6" t="s">
        <v>5</v>
      </c>
    </row>
    <row r="9" customFormat="false" ht="15" hidden="false" customHeight="false" outlineLevel="0" collapsed="false">
      <c r="B9" s="5" t="s">
        <v>6</v>
      </c>
      <c r="C9" s="4"/>
      <c r="D9" s="4"/>
    </row>
    <row r="10" customFormat="false" ht="15" hidden="false" customHeight="false" outlineLevel="0" collapsed="false">
      <c r="B10" s="6" t="s">
        <v>7</v>
      </c>
      <c r="C10" s="7" t="n">
        <f aca="false">m_price</f>
        <v>10247.85</v>
      </c>
    </row>
    <row r="11" customFormat="false" ht="15" hidden="false" customHeight="false" outlineLevel="0" collapsed="false">
      <c r="B11" s="6" t="s">
        <v>8</v>
      </c>
      <c r="C11" s="8" t="n">
        <f aca="false">m_ev_ebit</f>
        <v>7.5</v>
      </c>
    </row>
    <row r="12" customFormat="false" ht="15" hidden="false" customHeight="false" outlineLevel="0" collapsed="false">
      <c r="B12" s="6" t="s">
        <v>9</v>
      </c>
      <c r="C12" s="9" t="n">
        <f aca="false">m_acc</f>
        <v>0.0958318185774312</v>
      </c>
    </row>
    <row r="13" customFormat="false" ht="15" hidden="false" customHeight="false" outlineLevel="0" collapsed="false">
      <c r="B13" s="6" t="s">
        <v>10</v>
      </c>
      <c r="C13" s="7" t="n">
        <f aca="false">h_fxcost</f>
        <v>945.994999999999</v>
      </c>
    </row>
    <row r="14" customFormat="false" ht="15" hidden="false" customHeight="false" outlineLevel="0" collapsed="false">
      <c r="B14" s="6" t="s">
        <v>11</v>
      </c>
      <c r="C14" s="7" t="n">
        <f aca="false">h_saving</f>
        <v>763.65202258993</v>
      </c>
    </row>
    <row r="15" customFormat="false" ht="15" hidden="false" customHeight="false" outlineLevel="0" collapsed="false">
      <c r="B15" s="6" t="s">
        <v>12</v>
      </c>
      <c r="C15" s="7" t="n">
        <f aca="false">npv_exp</f>
        <v>7630.27113971373</v>
      </c>
    </row>
    <row r="16" customFormat="false" ht="15" hidden="false" customHeight="false" outlineLevel="0" collapsed="false">
      <c r="B16" s="6" t="s">
        <v>13</v>
      </c>
      <c r="C16" s="7" t="n">
        <f aca="false">mc_p95</f>
        <v>12104.1592605518</v>
      </c>
    </row>
    <row r="17" customFormat="false" ht="15" hidden="false" customHeight="false" outlineLevel="0" collapsed="false">
      <c r="B17" s="6" t="s">
        <v>14</v>
      </c>
      <c r="C17" s="7" t="n">
        <f aca="false">Post_Mortem!C10</f>
        <v>-68</v>
      </c>
    </row>
    <row r="18" customFormat="false" ht="15" hidden="false" customHeight="false" outlineLevel="0" collapsed="false">
      <c r="B18" s="6" t="s">
        <v>15</v>
      </c>
      <c r="C18" s="10" t="str">
        <f aca="false">IF(AND(chk_fin="OK",chk_prob="OK"),"OK","CHECK")</f>
        <v>OK</v>
      </c>
    </row>
    <row r="20" customFormat="false" ht="15" hidden="false" customHeight="false" outlineLevel="0" collapsed="false">
      <c r="B20" s="5" t="s">
        <v>16</v>
      </c>
      <c r="C20" s="4"/>
      <c r="D20" s="4"/>
    </row>
    <row r="21" customFormat="false" ht="15" hidden="false" customHeight="false" outlineLevel="0" collapsed="false">
      <c r="B21" s="6" t="s">
        <v>17</v>
      </c>
    </row>
    <row r="22" customFormat="false" ht="15" hidden="false" customHeight="false" outlineLevel="0" collapsed="false">
      <c r="B22" s="6" t="s">
        <v>18</v>
      </c>
    </row>
    <row r="23" customFormat="false" ht="15" hidden="false" customHeight="false" outlineLevel="0" collapsed="false">
      <c r="B23" s="6" t="s">
        <v>19</v>
      </c>
    </row>
    <row r="24" customFormat="false" ht="15" hidden="false" customHeight="false" outlineLevel="0" collapsed="false">
      <c r="B24" s="6" t="s">
        <v>20</v>
      </c>
    </row>
    <row r="25" customFormat="false" ht="15" hidden="false" customHeight="false" outlineLevel="0" collapsed="false">
      <c r="B25" s="6" t="s">
        <v>21</v>
      </c>
    </row>
    <row r="26" customFormat="false" ht="15" hidden="false" customHeight="false" outlineLevel="0" collapsed="false">
      <c r="B26" s="6" t="s">
        <v>22</v>
      </c>
    </row>
    <row r="27" customFormat="false" ht="15" hidden="false" customHeight="false" outlineLevel="0" collapsed="false">
      <c r="B27" s="6" t="s">
        <v>23</v>
      </c>
    </row>
    <row r="28" customFormat="false" ht="15" hidden="false" customHeight="false" outlineLevel="0" collapsed="false">
      <c r="B28" s="6" t="s">
        <v>24</v>
      </c>
    </row>
    <row r="29" customFormat="false" ht="15" hidden="false" customHeight="false" outlineLevel="0" collapsed="false">
      <c r="B29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4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6.15" hidden="false" customHeight="false" outlineLevel="0" collapsed="false">
      <c r="B1" s="2" t="s">
        <v>26</v>
      </c>
    </row>
    <row r="2" customFormat="false" ht="15" hidden="false" customHeight="false" outlineLevel="0" collapsed="false">
      <c r="B2" s="3" t="s">
        <v>27</v>
      </c>
      <c r="C2" s="4"/>
      <c r="D2" s="4"/>
      <c r="E2" s="4"/>
      <c r="F2" s="4"/>
      <c r="G2" s="4"/>
    </row>
    <row r="4" customFormat="false" ht="15" hidden="false" customHeight="false" outlineLevel="0" collapsed="false">
      <c r="B4" s="5" t="s">
        <v>28</v>
      </c>
      <c r="C4" s="4"/>
      <c r="D4" s="4"/>
      <c r="F4" s="5" t="s">
        <v>29</v>
      </c>
      <c r="G4" s="4"/>
    </row>
    <row r="5" customFormat="false" ht="15" hidden="false" customHeight="false" outlineLevel="0" collapsed="false">
      <c r="B5" s="6" t="s">
        <v>30</v>
      </c>
      <c r="C5" s="7" t="n">
        <f aca="false">price_usd</f>
        <v>9000</v>
      </c>
      <c r="F5" s="6" t="s">
        <v>31</v>
      </c>
      <c r="G5" s="9" t="n">
        <f aca="false">m_acc</f>
        <v>0.0958318185774312</v>
      </c>
    </row>
    <row r="6" customFormat="false" ht="15" hidden="false" customHeight="false" outlineLevel="0" collapsed="false">
      <c r="B6" s="6" t="s">
        <v>32</v>
      </c>
      <c r="C6" s="7" t="n">
        <f aca="false">m_price</f>
        <v>10247.85</v>
      </c>
      <c r="F6" s="6" t="s">
        <v>33</v>
      </c>
      <c r="G6" s="11" t="n">
        <f aca="false">wacc</f>
        <v>0.069804</v>
      </c>
    </row>
    <row r="7" customFormat="false" ht="15" hidden="false" customHeight="false" outlineLevel="0" collapsed="false">
      <c r="B7" s="6" t="s">
        <v>34</v>
      </c>
      <c r="C7" s="8" t="n">
        <f aca="false">m_ev_rev</f>
        <v>1.60714285714286</v>
      </c>
      <c r="F7" s="6" t="s">
        <v>35</v>
      </c>
      <c r="G7" s="9" t="n">
        <f aca="false">roic_y1</f>
        <v>0.087696</v>
      </c>
    </row>
    <row r="8" customFormat="false" ht="15" hidden="false" customHeight="false" outlineLevel="0" collapsed="false">
      <c r="B8" s="6" t="s">
        <v>36</v>
      </c>
      <c r="C8" s="8" t="n">
        <f aca="false">m_ev_ebit</f>
        <v>7.5</v>
      </c>
      <c r="F8" s="6" t="s">
        <v>37</v>
      </c>
      <c r="G8" s="7" t="n">
        <f aca="false">npv_sel</f>
        <v>6085.24241366882</v>
      </c>
    </row>
    <row r="9" customFormat="false" ht="15" hidden="false" customHeight="false" outlineLevel="0" collapsed="false">
      <c r="B9" s="6" t="s">
        <v>38</v>
      </c>
      <c r="C9" s="7" t="n">
        <f aca="false">ds_pv_price</f>
        <v>8652.29668386763</v>
      </c>
      <c r="F9" s="6" t="s">
        <v>39</v>
      </c>
      <c r="G9" s="7" t="n">
        <f aca="false">npv_exp</f>
        <v>7630.27113971373</v>
      </c>
    </row>
    <row r="10" customFormat="false" ht="15" hidden="false" customHeight="false" outlineLevel="0" collapsed="false">
      <c r="B10" s="6" t="s">
        <v>40</v>
      </c>
      <c r="C10" s="9" t="n">
        <f aca="false">ppa_gw_pct</f>
        <v>0.0833333333333333</v>
      </c>
      <c r="F10" s="6" t="s">
        <v>41</v>
      </c>
      <c r="G10" s="9" t="n">
        <f aca="false">irr_real</f>
        <v>0.422782458054712</v>
      </c>
    </row>
    <row r="11" customFormat="false" ht="15" hidden="false" customHeight="false" outlineLevel="0" collapsed="false">
      <c r="B11" s="6" t="s">
        <v>42</v>
      </c>
      <c r="C11" s="8" t="n">
        <f aca="false">cr_pf_lev</f>
        <v>1.07712446086504</v>
      </c>
      <c r="F11" s="6" t="s">
        <v>43</v>
      </c>
      <c r="G11" s="8" t="n">
        <f aca="false">mom_real</f>
        <v>4.5126435246273</v>
      </c>
    </row>
    <row r="13" customFormat="false" ht="15" hidden="false" customHeight="false" outlineLevel="0" collapsed="false">
      <c r="B13" s="5" t="s">
        <v>44</v>
      </c>
      <c r="C13" s="4"/>
      <c r="D13" s="4"/>
      <c r="F13" s="5" t="s">
        <v>45</v>
      </c>
      <c r="G13" s="4"/>
    </row>
    <row r="14" customFormat="false" ht="15" hidden="false" customHeight="false" outlineLevel="0" collapsed="false">
      <c r="B14" s="6" t="s">
        <v>46</v>
      </c>
      <c r="C14" s="7" t="n">
        <f aca="false">h_krw_sign</f>
        <v>10133.985</v>
      </c>
      <c r="F14" s="6" t="str">
        <f aca="false">IF(m_acc&gt;0,"Accretive in year 1 at base financing ("&amp;TEXT(m_acc,"0.0%")&amp;")","Dilutive in year 1 ("&amp;TEXT(m_acc,"0.0%")&amp;")")</f>
        <v>Accretive in year 1 at base financing (9.6%)</v>
      </c>
    </row>
    <row r="15" customFormat="false" ht="15" hidden="false" customHeight="false" outlineLevel="0" collapsed="false">
      <c r="B15" s="6" t="s">
        <v>47</v>
      </c>
      <c r="C15" s="7" t="n">
        <f aca="false">h_krw_hedged</f>
        <v>10316.3279774101</v>
      </c>
      <c r="F15" s="6" t="str">
        <f aca="false">IF(npv_exp&gt;0,"Value-creating on a probability-weighted DCF (+US$"&amp;TEXT(npv_exp,"#,##0")&amp;"mn)","Value-destroying on a probability-weighted DCF (US$"&amp;TEXT(npv_exp,"#,##0")&amp;"mn)")</f>
        <v>Value-creating on a probability-weighted DCF (+US$7,630mn)</v>
      </c>
    </row>
    <row r="16" customFormat="false" ht="15" hidden="false" customHeight="false" outlineLevel="0" collapsed="false">
      <c r="B16" s="6" t="s">
        <v>48</v>
      </c>
      <c r="C16" s="7" t="n">
        <f aca="false">h_krw_actual</f>
        <v>11079.98</v>
      </c>
      <c r="F16" s="6" t="str">
        <f aca="false">IF(npv_bear&lt;0,"Downturn case destroys US$"&amp;TEXT(-npv_bear,"#,##0")&amp;"mn: the cycle is the key risk","Value-creating even in a downturn")</f>
        <v>Downturn case destroys US$5,644mn: the cycle is the key risk</v>
      </c>
    </row>
    <row r="17" customFormat="false" ht="15" hidden="false" customHeight="false" outlineLevel="0" collapsed="false">
      <c r="B17" s="6" t="s">
        <v>49</v>
      </c>
      <c r="C17" s="10" t="str">
        <f aca="false">TEXT(mc_p5,"#,##0")&amp;" - "&amp;TEXT(mc_p95,"#,##0")</f>
        <v>8,735 - 12,104</v>
      </c>
      <c r="F17" s="6" t="str">
        <f aca="false">"FX: unhedged cost ended at the "&amp;TEXT(mc_actual_pct,"0%")&amp;" percentile of simulated outcomes"</f>
        <v>FX: unhedged cost ended at the 78% percentile of simulated outcomes</v>
      </c>
    </row>
    <row r="18" customFormat="false" ht="15" hidden="false" customHeight="false" outlineLevel="0" collapsed="false">
      <c r="B18" s="6" t="s">
        <v>50</v>
      </c>
      <c r="C18" s="9" t="n">
        <f aca="false">mc_actual_pct</f>
        <v>0.783</v>
      </c>
      <c r="F18" s="6" t="str">
        <f aca="false">IF(cr_pf_lev&lt;1.5,"Leverage stays modest at "&amp;TEXT(cr_pf_lev,"0.0x"),"Leverage rises to "&amp;TEXT(cr_pf_lev,"0.0x")&amp;": rating pressure")</f>
        <v>Leverage stays modest at 1.1x</v>
      </c>
    </row>
    <row r="19" customFormat="false" ht="15" hidden="false" customHeight="false" outlineLevel="0" collapsed="false">
      <c r="B19" s="6" t="s">
        <v>51</v>
      </c>
      <c r="C19" s="7" t="n">
        <f aca="false">op_cost_actual</f>
        <v>2421.37521544899</v>
      </c>
    </row>
    <row r="21" customFormat="false" ht="15" hidden="false" customHeight="false" outlineLevel="0" collapsed="false">
      <c r="B21" s="5" t="s">
        <v>52</v>
      </c>
      <c r="C21" s="4"/>
      <c r="D21" s="4"/>
      <c r="E21" s="4"/>
      <c r="F21" s="4"/>
      <c r="G21" s="4"/>
    </row>
    <row r="22" customFormat="false" ht="15" hidden="false" customHeight="false" outlineLevel="0" collapsed="false">
      <c r="B22" s="12" t="s">
        <v>53</v>
      </c>
      <c r="C22" s="13" t="s">
        <v>54</v>
      </c>
      <c r="D22" s="13" t="s">
        <v>55</v>
      </c>
      <c r="E22" s="13"/>
      <c r="F22" s="13" t="s">
        <v>56</v>
      </c>
    </row>
    <row r="23" customFormat="false" ht="15" hidden="false" customHeight="false" outlineLevel="0" collapsed="false">
      <c r="B23" s="6" t="s">
        <v>57</v>
      </c>
      <c r="C23" s="14" t="n">
        <f aca="false">trd_lo</f>
        <v>6.37125748502994</v>
      </c>
      <c r="D23" s="14" t="n">
        <f aca="false">trd_hi</f>
        <v>14.1308411214953</v>
      </c>
      <c r="F23" s="15" t="n">
        <f aca="false">MAX(D23-C23,0.15)</f>
        <v>7.75958363646539</v>
      </c>
    </row>
    <row r="24" customFormat="false" ht="15" hidden="false" customHeight="false" outlineLevel="0" collapsed="false">
      <c r="B24" s="6" t="s">
        <v>58</v>
      </c>
      <c r="C24" s="14" t="n">
        <f aca="false">prec_lo</f>
        <v>12.4444444444444</v>
      </c>
      <c r="D24" s="14" t="n">
        <f aca="false">prec_hi</f>
        <v>19.136690647482</v>
      </c>
      <c r="F24" s="15" t="n">
        <f aca="false">MAX(D24-C24,0.15)</f>
        <v>6.69224620303757</v>
      </c>
    </row>
    <row r="25" customFormat="false" ht="15" hidden="false" customHeight="false" outlineLevel="0" collapsed="false">
      <c r="B25" s="6" t="s">
        <v>59</v>
      </c>
      <c r="C25" s="14" t="n">
        <f aca="false">ev_wlo/1000</f>
        <v>12.238422513984</v>
      </c>
      <c r="D25" s="14" t="n">
        <f aca="false">ev_whi/1000</f>
        <v>18.4958039871245</v>
      </c>
      <c r="F25" s="15" t="n">
        <f aca="false">MAX(D25-C25,0.15)</f>
        <v>6.25738147314048</v>
      </c>
    </row>
    <row r="26" customFormat="false" ht="15" hidden="false" customHeight="false" outlineLevel="0" collapsed="false">
      <c r="B26" s="6" t="s">
        <v>60</v>
      </c>
      <c r="C26" s="14" t="n">
        <f aca="false">MIN(sc_ev1,sc_ev2,sc_ev3)/1000</f>
        <v>3.00796690166165</v>
      </c>
      <c r="D26" s="14" t="n">
        <f aca="false">MAX(sc_ev1,sc_ev2,sc_ev3)/1000</f>
        <v>32.6472261975909</v>
      </c>
      <c r="F26" s="15" t="n">
        <f aca="false">MAX(D26-C26,0.15)</f>
        <v>29.6392592959293</v>
      </c>
    </row>
    <row r="27" customFormat="false" ht="15" hidden="false" customHeight="false" outlineLevel="0" collapsed="false">
      <c r="B27" s="6" t="s">
        <v>61</v>
      </c>
      <c r="C27" s="14" t="n">
        <f aca="false">ds_pv_price/1000</f>
        <v>8.65229668386763</v>
      </c>
      <c r="D27" s="14" t="n">
        <f aca="false">price_usd/1000</f>
        <v>9</v>
      </c>
      <c r="F27" s="15" t="n">
        <f aca="false">MAX(D27-C27,0.15)</f>
        <v>0.347703316132369</v>
      </c>
    </row>
    <row r="46" customFormat="false" ht="15" hidden="false" customHeight="false" outlineLevel="0" collapsed="false">
      <c r="B46" s="5" t="s">
        <v>62</v>
      </c>
      <c r="C46" s="4"/>
      <c r="D46" s="4"/>
      <c r="E46" s="4"/>
      <c r="F46" s="4"/>
      <c r="G46" s="4"/>
    </row>
    <row r="47" customFormat="false" ht="15" hidden="false" customHeight="false" outlineLevel="0" collapsed="false">
      <c r="B47" s="6" t="s">
        <v>63</v>
      </c>
    </row>
    <row r="48" customFormat="false" ht="15" hidden="false" customHeight="false" outlineLevel="0" collapsed="false">
      <c r="B48" s="6" t="s">
        <v>64</v>
      </c>
    </row>
    <row r="49" customFormat="false" ht="15" hidden="false" customHeight="false" outlineLevel="0" collapsed="false">
      <c r="B49" s="6" t="s">
        <v>65</v>
      </c>
    </row>
    <row r="50" customFormat="false" ht="15" hidden="false" customHeight="false" outlineLevel="0" collapsed="false">
      <c r="B50" s="6" t="s">
        <v>66</v>
      </c>
    </row>
    <row r="51" customFormat="false" ht="15" hidden="false" customHeight="false" outlineLevel="0" collapsed="false">
      <c r="B51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0"/>
  </cols>
  <sheetData>
    <row r="1" customFormat="false" ht="16.15" hidden="false" customHeight="false" outlineLevel="0" collapsed="false">
      <c r="B1" s="2" t="s">
        <v>68</v>
      </c>
    </row>
    <row r="2" customFormat="false" ht="15" hidden="false" customHeight="false" outlineLevel="0" collapsed="false">
      <c r="B2" s="3" t="s">
        <v>69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12" t="s">
        <v>70</v>
      </c>
      <c r="C4" s="13" t="s">
        <v>71</v>
      </c>
      <c r="D4" s="13" t="s">
        <v>72</v>
      </c>
      <c r="E4" s="13" t="s">
        <v>73</v>
      </c>
    </row>
    <row r="6" customFormat="false" ht="15" hidden="false" customHeight="false" outlineLevel="0" collapsed="false">
      <c r="B6" s="5" t="s">
        <v>74</v>
      </c>
      <c r="C6" s="4"/>
      <c r="D6" s="4"/>
      <c r="E6" s="4"/>
    </row>
    <row r="7" customFormat="false" ht="15" hidden="false" customHeight="false" outlineLevel="0" collapsed="false">
      <c r="B7" s="6" t="s">
        <v>75</v>
      </c>
      <c r="C7" s="16" t="n">
        <v>44124</v>
      </c>
      <c r="D7" s="17" t="s">
        <v>76</v>
      </c>
      <c r="E7" s="17" t="s">
        <v>77</v>
      </c>
    </row>
    <row r="8" customFormat="false" ht="15" hidden="false" customHeight="false" outlineLevel="0" collapsed="false">
      <c r="B8" s="6" t="s">
        <v>78</v>
      </c>
      <c r="C8" s="16" t="n">
        <v>44559</v>
      </c>
      <c r="D8" s="17" t="s">
        <v>76</v>
      </c>
      <c r="E8" s="17" t="s">
        <v>79</v>
      </c>
    </row>
    <row r="9" customFormat="false" ht="15" hidden="false" customHeight="false" outlineLevel="0" collapsed="false">
      <c r="B9" s="6" t="s">
        <v>80</v>
      </c>
      <c r="C9" s="16" t="n">
        <v>45743</v>
      </c>
      <c r="D9" s="17" t="s">
        <v>76</v>
      </c>
      <c r="E9" s="17" t="s">
        <v>81</v>
      </c>
    </row>
    <row r="10" customFormat="false" ht="15" hidden="false" customHeight="false" outlineLevel="0" collapsed="false">
      <c r="B10" s="6" t="s">
        <v>82</v>
      </c>
      <c r="C10" s="18" t="n">
        <v>9000</v>
      </c>
      <c r="D10" s="17" t="s">
        <v>83</v>
      </c>
      <c r="E10" s="17" t="s">
        <v>84</v>
      </c>
    </row>
    <row r="11" customFormat="false" ht="15" hidden="false" customHeight="false" outlineLevel="0" collapsed="false">
      <c r="B11" s="6" t="s">
        <v>85</v>
      </c>
      <c r="C11" s="18" t="n">
        <v>7000</v>
      </c>
      <c r="D11" s="17" t="s">
        <v>83</v>
      </c>
      <c r="E11" s="17" t="s">
        <v>86</v>
      </c>
    </row>
    <row r="12" customFormat="false" ht="15" hidden="false" customHeight="false" outlineLevel="0" collapsed="false">
      <c r="B12" s="6" t="s">
        <v>87</v>
      </c>
      <c r="C12" s="18" t="n">
        <v>1900</v>
      </c>
      <c r="D12" s="17" t="s">
        <v>83</v>
      </c>
      <c r="E12" s="17" t="s">
        <v>88</v>
      </c>
    </row>
    <row r="14" customFormat="false" ht="15" hidden="false" customHeight="false" outlineLevel="0" collapsed="false">
      <c r="B14" s="5" t="s">
        <v>89</v>
      </c>
      <c r="C14" s="4"/>
      <c r="D14" s="4"/>
      <c r="E14" s="4"/>
    </row>
    <row r="15" customFormat="false" ht="15" hidden="false" customHeight="false" outlineLevel="0" collapsed="false">
      <c r="B15" s="6" t="s">
        <v>90</v>
      </c>
      <c r="C15" s="19" t="n">
        <v>1138.65</v>
      </c>
      <c r="D15" s="17" t="s">
        <v>91</v>
      </c>
      <c r="E15" s="17" t="s">
        <v>92</v>
      </c>
    </row>
    <row r="16" customFormat="false" ht="15" hidden="false" customHeight="false" outlineLevel="0" collapsed="false">
      <c r="B16" s="6" t="s">
        <v>93</v>
      </c>
      <c r="C16" s="19" t="n">
        <v>1185.51</v>
      </c>
      <c r="D16" s="17" t="s">
        <v>91</v>
      </c>
      <c r="E16" s="17" t="s">
        <v>94</v>
      </c>
    </row>
    <row r="17" customFormat="false" ht="15" hidden="false" customHeight="false" outlineLevel="0" collapsed="false">
      <c r="B17" s="6" t="s">
        <v>95</v>
      </c>
      <c r="C17" s="19" t="n">
        <v>1463.9</v>
      </c>
      <c r="D17" s="17" t="s">
        <v>91</v>
      </c>
      <c r="E17" s="17" t="s">
        <v>96</v>
      </c>
    </row>
    <row r="18" customFormat="false" ht="15" hidden="false" customHeight="false" outlineLevel="0" collapsed="false">
      <c r="B18" s="6" t="s">
        <v>97</v>
      </c>
      <c r="C18" s="20" t="n">
        <v>1138.65</v>
      </c>
      <c r="D18" s="17" t="s">
        <v>91</v>
      </c>
      <c r="E18" s="17" t="s">
        <v>98</v>
      </c>
    </row>
    <row r="20" customFormat="false" ht="15" hidden="false" customHeight="false" outlineLevel="0" collapsed="false">
      <c r="B20" s="5" t="s">
        <v>99</v>
      </c>
      <c r="C20" s="4"/>
      <c r="D20" s="4"/>
      <c r="E20" s="4"/>
    </row>
    <row r="21" customFormat="false" ht="15" hidden="false" customHeight="false" outlineLevel="0" collapsed="false">
      <c r="B21" s="6" t="s">
        <v>100</v>
      </c>
      <c r="C21" s="21" t="n">
        <v>0.013</v>
      </c>
      <c r="D21" s="17" t="s">
        <v>101</v>
      </c>
      <c r="E21" s="17" t="s">
        <v>102</v>
      </c>
    </row>
    <row r="22" customFormat="false" ht="15" hidden="false" customHeight="false" outlineLevel="0" collapsed="false">
      <c r="B22" s="6" t="s">
        <v>103</v>
      </c>
      <c r="C22" s="21" t="n">
        <v>0.0035</v>
      </c>
      <c r="D22" s="17" t="s">
        <v>101</v>
      </c>
      <c r="E22" s="17" t="s">
        <v>104</v>
      </c>
    </row>
    <row r="23" customFormat="false" ht="15" hidden="false" customHeight="false" outlineLevel="0" collapsed="false">
      <c r="B23" s="6" t="s">
        <v>105</v>
      </c>
      <c r="C23" s="21" t="n">
        <v>0</v>
      </c>
      <c r="D23" s="17" t="s">
        <v>106</v>
      </c>
      <c r="E23" s="17" t="s">
        <v>107</v>
      </c>
    </row>
    <row r="25" customFormat="false" ht="15" hidden="false" customHeight="false" outlineLevel="0" collapsed="false">
      <c r="B25" s="5" t="s">
        <v>108</v>
      </c>
      <c r="C25" s="4"/>
      <c r="D25" s="4"/>
      <c r="E25" s="4"/>
    </row>
    <row r="26" customFormat="false" ht="15" hidden="false" customHeight="false" outlineLevel="0" collapsed="false">
      <c r="B26" s="6" t="s">
        <v>109</v>
      </c>
      <c r="C26" s="22" t="n">
        <v>5600</v>
      </c>
      <c r="D26" s="17" t="s">
        <v>83</v>
      </c>
      <c r="E26" s="17" t="s">
        <v>110</v>
      </c>
    </row>
    <row r="27" customFormat="false" ht="15" hidden="false" customHeight="false" outlineLevel="0" collapsed="false">
      <c r="B27" s="6" t="s">
        <v>111</v>
      </c>
      <c r="C27" s="22" t="n">
        <v>1200</v>
      </c>
      <c r="D27" s="17" t="s">
        <v>83</v>
      </c>
      <c r="E27" s="17" t="s">
        <v>112</v>
      </c>
    </row>
    <row r="29" customFormat="false" ht="15" hidden="false" customHeight="false" outlineLevel="0" collapsed="false">
      <c r="B29" s="5" t="s">
        <v>113</v>
      </c>
      <c r="C29" s="4"/>
      <c r="D29" s="4"/>
      <c r="E29" s="4"/>
    </row>
    <row r="30" customFormat="false" ht="15" hidden="false" customHeight="false" outlineLevel="0" collapsed="false">
      <c r="B30" s="6" t="s">
        <v>114</v>
      </c>
      <c r="C30" s="18" t="n">
        <v>4760</v>
      </c>
      <c r="D30" s="17" t="s">
        <v>115</v>
      </c>
      <c r="E30" s="17" t="s">
        <v>116</v>
      </c>
    </row>
    <row r="31" customFormat="false" ht="15" hidden="false" customHeight="false" outlineLevel="0" collapsed="false">
      <c r="B31" s="6" t="s">
        <v>117</v>
      </c>
      <c r="C31" s="23" t="n">
        <v>728</v>
      </c>
      <c r="D31" s="17" t="s">
        <v>118</v>
      </c>
      <c r="E31" s="17" t="s">
        <v>119</v>
      </c>
    </row>
    <row r="32" customFormat="false" ht="15" hidden="false" customHeight="false" outlineLevel="0" collapsed="false">
      <c r="B32" s="6" t="s">
        <v>120</v>
      </c>
      <c r="C32" s="24" t="n">
        <v>83000</v>
      </c>
      <c r="D32" s="17" t="s">
        <v>91</v>
      </c>
      <c r="E32" s="17" t="s">
        <v>121</v>
      </c>
    </row>
    <row r="33" customFormat="false" ht="15" hidden="false" customHeight="false" outlineLevel="0" collapsed="false">
      <c r="B33" s="6" t="s">
        <v>122</v>
      </c>
      <c r="C33" s="25" t="n">
        <v>0.275</v>
      </c>
      <c r="D33" s="17" t="s">
        <v>123</v>
      </c>
      <c r="E33" s="17" t="s">
        <v>124</v>
      </c>
    </row>
    <row r="35" customFormat="false" ht="15" hidden="false" customHeight="false" outlineLevel="0" collapsed="false">
      <c r="B35" s="5" t="s">
        <v>125</v>
      </c>
      <c r="C35" s="4"/>
      <c r="D35" s="4"/>
      <c r="E35" s="4"/>
    </row>
    <row r="36" customFormat="false" ht="15" hidden="false" customHeight="false" outlineLevel="0" collapsed="false">
      <c r="B36" s="6" t="s">
        <v>126</v>
      </c>
      <c r="C36" s="26" t="n">
        <v>0.5</v>
      </c>
      <c r="D36" s="17" t="s">
        <v>123</v>
      </c>
      <c r="E36" s="17" t="s">
        <v>127</v>
      </c>
    </row>
    <row r="37" customFormat="false" ht="15" hidden="false" customHeight="false" outlineLevel="0" collapsed="false">
      <c r="B37" s="6" t="s">
        <v>128</v>
      </c>
      <c r="C37" s="26" t="n">
        <v>0.5</v>
      </c>
      <c r="D37" s="17" t="s">
        <v>123</v>
      </c>
      <c r="E37" s="17" t="s">
        <v>129</v>
      </c>
    </row>
    <row r="38" customFormat="false" ht="15" hidden="false" customHeight="false" outlineLevel="0" collapsed="false">
      <c r="B38" s="6" t="s">
        <v>130</v>
      </c>
      <c r="C38" s="26" t="n">
        <v>0</v>
      </c>
      <c r="D38" s="17" t="s">
        <v>123</v>
      </c>
      <c r="E38" s="17" t="s">
        <v>131</v>
      </c>
    </row>
    <row r="39" customFormat="false" ht="15" hidden="false" customHeight="false" outlineLevel="0" collapsed="false">
      <c r="B39" s="6" t="s">
        <v>132</v>
      </c>
      <c r="C39" s="21" t="n">
        <v>0.018</v>
      </c>
      <c r="D39" s="17" t="s">
        <v>101</v>
      </c>
      <c r="E39" s="17" t="s">
        <v>133</v>
      </c>
    </row>
    <row r="40" customFormat="false" ht="15" hidden="false" customHeight="false" outlineLevel="0" collapsed="false">
      <c r="B40" s="6" t="s">
        <v>134</v>
      </c>
      <c r="C40" s="21" t="n">
        <v>0.01</v>
      </c>
      <c r="D40" s="17" t="s">
        <v>101</v>
      </c>
      <c r="E40" s="17" t="s">
        <v>135</v>
      </c>
    </row>
    <row r="42" customFormat="false" ht="15" hidden="false" customHeight="false" outlineLevel="0" collapsed="false">
      <c r="B42" s="5" t="s">
        <v>136</v>
      </c>
      <c r="C42" s="4"/>
      <c r="D42" s="4"/>
      <c r="E42" s="4"/>
    </row>
    <row r="43" customFormat="false" ht="15" hidden="false" customHeight="false" outlineLevel="0" collapsed="false">
      <c r="B43" s="6" t="s">
        <v>137</v>
      </c>
      <c r="C43" s="26" t="n">
        <v>0.25</v>
      </c>
      <c r="D43" s="17" t="s">
        <v>138</v>
      </c>
      <c r="E43" s="17" t="s">
        <v>139</v>
      </c>
    </row>
    <row r="44" customFormat="false" ht="15" hidden="false" customHeight="false" outlineLevel="0" collapsed="false">
      <c r="B44" s="6" t="s">
        <v>140</v>
      </c>
      <c r="C44" s="27" t="n">
        <v>7</v>
      </c>
      <c r="D44" s="17" t="s">
        <v>141</v>
      </c>
      <c r="E44" s="17" t="s">
        <v>129</v>
      </c>
    </row>
    <row r="45" customFormat="false" ht="15" hidden="false" customHeight="false" outlineLevel="0" collapsed="false">
      <c r="B45" s="6" t="s">
        <v>142</v>
      </c>
      <c r="C45" s="22" t="n">
        <v>0</v>
      </c>
      <c r="D45" s="17" t="s">
        <v>83</v>
      </c>
      <c r="E45" s="17" t="s">
        <v>143</v>
      </c>
    </row>
    <row r="46" customFormat="false" ht="15" hidden="false" customHeight="false" outlineLevel="0" collapsed="false">
      <c r="B46" s="6" t="s">
        <v>144</v>
      </c>
      <c r="C46" s="22" t="n">
        <v>5000</v>
      </c>
      <c r="D46" s="17" t="s">
        <v>83</v>
      </c>
      <c r="E46" s="17" t="s">
        <v>145</v>
      </c>
    </row>
    <row r="47" customFormat="false" ht="15" hidden="false" customHeight="false" outlineLevel="0" collapsed="false">
      <c r="B47" s="6" t="s">
        <v>146</v>
      </c>
      <c r="C47" s="22" t="n">
        <v>1000</v>
      </c>
      <c r="D47" s="17" t="s">
        <v>83</v>
      </c>
      <c r="E47" s="17" t="s">
        <v>147</v>
      </c>
    </row>
    <row r="48" customFormat="false" ht="15" hidden="false" customHeight="false" outlineLevel="0" collapsed="false">
      <c r="B48" s="6" t="s">
        <v>148</v>
      </c>
      <c r="C48" s="27" t="n">
        <v>5</v>
      </c>
      <c r="D48" s="17" t="s">
        <v>141</v>
      </c>
      <c r="E48" s="17" t="s">
        <v>129</v>
      </c>
    </row>
    <row r="49" customFormat="false" ht="15" hidden="false" customHeight="false" outlineLevel="0" collapsed="false">
      <c r="B49" s="6" t="s">
        <v>149</v>
      </c>
      <c r="C49" s="21" t="n">
        <v>0.005</v>
      </c>
      <c r="D49" s="17" t="s">
        <v>138</v>
      </c>
      <c r="E49" s="17" t="s">
        <v>150</v>
      </c>
    </row>
    <row r="51" customFormat="false" ht="15" hidden="false" customHeight="false" outlineLevel="0" collapsed="false">
      <c r="B51" s="5" t="s">
        <v>151</v>
      </c>
      <c r="C51" s="4"/>
      <c r="D51" s="4"/>
      <c r="E51" s="4"/>
    </row>
    <row r="52" customFormat="false" ht="15" hidden="false" customHeight="false" outlineLevel="0" collapsed="false">
      <c r="B52" s="6" t="s">
        <v>152</v>
      </c>
      <c r="C52" s="26" t="n">
        <v>0.12</v>
      </c>
      <c r="D52" s="17" t="s">
        <v>123</v>
      </c>
      <c r="E52" s="17" t="s">
        <v>153</v>
      </c>
    </row>
    <row r="53" customFormat="false" ht="15" hidden="false" customHeight="false" outlineLevel="0" collapsed="false">
      <c r="B53" s="6" t="s">
        <v>154</v>
      </c>
      <c r="C53" s="26" t="n">
        <v>0.12</v>
      </c>
      <c r="D53" s="17" t="s">
        <v>123</v>
      </c>
      <c r="E53" s="17" t="s">
        <v>155</v>
      </c>
    </row>
    <row r="54" customFormat="false" ht="15" hidden="false" customHeight="false" outlineLevel="0" collapsed="false">
      <c r="B54" s="6" t="s">
        <v>156</v>
      </c>
      <c r="C54" s="26" t="n">
        <v>0.1</v>
      </c>
      <c r="D54" s="17" t="s">
        <v>123</v>
      </c>
      <c r="E54" s="17" t="s">
        <v>129</v>
      </c>
    </row>
    <row r="55" customFormat="false" ht="15" hidden="false" customHeight="false" outlineLevel="0" collapsed="false">
      <c r="B55" s="6" t="s">
        <v>157</v>
      </c>
      <c r="C55" s="26" t="n">
        <v>0.02</v>
      </c>
      <c r="D55" s="17" t="s">
        <v>101</v>
      </c>
      <c r="E55" s="17" t="s">
        <v>129</v>
      </c>
    </row>
    <row r="56" customFormat="false" ht="15" hidden="false" customHeight="false" outlineLevel="0" collapsed="false">
      <c r="B56" s="6" t="s">
        <v>158</v>
      </c>
      <c r="C56" s="27" t="n">
        <v>2</v>
      </c>
      <c r="D56" s="17"/>
      <c r="E56" s="17" t="s">
        <v>159</v>
      </c>
    </row>
    <row r="57" customFormat="false" ht="15" hidden="false" customHeight="false" outlineLevel="0" collapsed="false">
      <c r="B57" s="6" t="s">
        <v>160</v>
      </c>
      <c r="C57" s="26" t="n">
        <v>0.25</v>
      </c>
      <c r="D57" s="17" t="s">
        <v>123</v>
      </c>
      <c r="E57" s="17" t="s">
        <v>161</v>
      </c>
    </row>
    <row r="58" customFormat="false" ht="15" hidden="false" customHeight="false" outlineLevel="0" collapsed="false">
      <c r="B58" s="6" t="s">
        <v>162</v>
      </c>
      <c r="C58" s="26" t="n">
        <v>0.5</v>
      </c>
      <c r="D58" s="17" t="s">
        <v>123</v>
      </c>
      <c r="E58" s="17" t="s">
        <v>129</v>
      </c>
    </row>
    <row r="59" customFormat="false" ht="15" hidden="false" customHeight="false" outlineLevel="0" collapsed="false">
      <c r="B59" s="6" t="s">
        <v>163</v>
      </c>
      <c r="C59" s="26" t="n">
        <v>0.25</v>
      </c>
      <c r="D59" s="17" t="s">
        <v>123</v>
      </c>
      <c r="E59" s="17" t="s">
        <v>129</v>
      </c>
    </row>
    <row r="61" customFormat="false" ht="15" hidden="false" customHeight="false" outlineLevel="0" collapsed="false">
      <c r="B61" s="5" t="s">
        <v>164</v>
      </c>
      <c r="C61" s="4"/>
      <c r="D61" s="4"/>
      <c r="E61" s="4"/>
    </row>
    <row r="62" customFormat="false" ht="15" hidden="false" customHeight="false" outlineLevel="0" collapsed="false">
      <c r="B62" s="6" t="s">
        <v>165</v>
      </c>
      <c r="C62" s="21" t="n">
        <v>0.008</v>
      </c>
      <c r="D62" s="17" t="s">
        <v>101</v>
      </c>
      <c r="E62" s="17" t="s">
        <v>166</v>
      </c>
    </row>
    <row r="63" customFormat="false" ht="15" hidden="false" customHeight="false" outlineLevel="0" collapsed="false">
      <c r="B63" s="6" t="s">
        <v>167</v>
      </c>
      <c r="C63" s="21" t="n">
        <v>0.055</v>
      </c>
      <c r="D63" s="17" t="s">
        <v>101</v>
      </c>
      <c r="E63" s="17" t="s">
        <v>129</v>
      </c>
    </row>
    <row r="64" customFormat="false" ht="15" hidden="false" customHeight="false" outlineLevel="0" collapsed="false">
      <c r="B64" s="6" t="s">
        <v>168</v>
      </c>
      <c r="C64" s="28" t="n">
        <v>1.3</v>
      </c>
      <c r="D64" s="17"/>
      <c r="E64" s="17" t="s">
        <v>129</v>
      </c>
    </row>
    <row r="65" customFormat="false" ht="15" hidden="false" customHeight="false" outlineLevel="0" collapsed="false">
      <c r="B65" s="6" t="s">
        <v>169</v>
      </c>
      <c r="C65" s="21" t="n">
        <v>0.005</v>
      </c>
      <c r="D65" s="17" t="s">
        <v>101</v>
      </c>
      <c r="E65" s="17" t="s">
        <v>129</v>
      </c>
    </row>
    <row r="66" customFormat="false" ht="15" hidden="false" customHeight="false" outlineLevel="0" collapsed="false">
      <c r="B66" s="6" t="s">
        <v>170</v>
      </c>
      <c r="C66" s="29" t="n">
        <v>0.0152</v>
      </c>
      <c r="D66" s="17" t="s">
        <v>101</v>
      </c>
      <c r="E66" s="17" t="s">
        <v>171</v>
      </c>
    </row>
    <row r="67" customFormat="false" ht="15" hidden="false" customHeight="false" outlineLevel="0" collapsed="false">
      <c r="B67" s="6" t="s">
        <v>172</v>
      </c>
      <c r="C67" s="26" t="n">
        <v>0.2</v>
      </c>
      <c r="D67" s="17" t="s">
        <v>123</v>
      </c>
      <c r="E67" s="17" t="s">
        <v>129</v>
      </c>
    </row>
    <row r="69" customFormat="false" ht="15" hidden="false" customHeight="false" outlineLevel="0" collapsed="false">
      <c r="B69" s="5" t="s">
        <v>173</v>
      </c>
      <c r="C69" s="4"/>
      <c r="D69" s="4"/>
      <c r="E69" s="4"/>
    </row>
    <row r="70" customFormat="false" ht="15" hidden="false" customHeight="false" outlineLevel="0" collapsed="false">
      <c r="B70" s="6" t="s">
        <v>174</v>
      </c>
      <c r="C70" s="22" t="n">
        <v>8800</v>
      </c>
      <c r="D70" s="17" t="s">
        <v>115</v>
      </c>
      <c r="E70" s="17" t="s">
        <v>175</v>
      </c>
    </row>
    <row r="71" customFormat="false" ht="15" hidden="false" customHeight="false" outlineLevel="0" collapsed="false">
      <c r="B71" s="6" t="s">
        <v>176</v>
      </c>
      <c r="C71" s="22" t="n">
        <v>15600</v>
      </c>
      <c r="D71" s="17" t="s">
        <v>115</v>
      </c>
      <c r="E71" s="17" t="s">
        <v>177</v>
      </c>
    </row>
    <row r="73" customFormat="false" ht="15" hidden="false" customHeight="false" outlineLevel="0" collapsed="false">
      <c r="B73" s="5" t="s">
        <v>178</v>
      </c>
      <c r="C73" s="4"/>
      <c r="D73" s="4"/>
      <c r="E73" s="4"/>
    </row>
    <row r="74" customFormat="false" ht="15" hidden="false" customHeight="false" outlineLevel="0" collapsed="false">
      <c r="B74" s="6" t="s">
        <v>179</v>
      </c>
      <c r="C74" s="29" t="n">
        <v>0.0875</v>
      </c>
      <c r="D74" s="17" t="s">
        <v>123</v>
      </c>
      <c r="E74" s="17" t="s">
        <v>180</v>
      </c>
    </row>
    <row r="75" customFormat="false" ht="15" hidden="false" customHeight="false" outlineLevel="0" collapsed="false">
      <c r="B75" s="6" t="s">
        <v>181</v>
      </c>
      <c r="C75" s="16" t="n">
        <v>46313</v>
      </c>
      <c r="D75" s="17" t="s">
        <v>76</v>
      </c>
      <c r="E75" s="17" t="s">
        <v>182</v>
      </c>
    </row>
    <row r="76" customFormat="false" ht="15" hidden="false" customHeight="false" outlineLevel="0" collapsed="false">
      <c r="B76" s="6" t="s">
        <v>183</v>
      </c>
      <c r="C76" s="22" t="n">
        <v>50000</v>
      </c>
      <c r="D76" s="17" t="s">
        <v>115</v>
      </c>
      <c r="E76" s="17" t="s">
        <v>184</v>
      </c>
    </row>
    <row r="78" customFormat="false" ht="15" hidden="false" customHeight="false" outlineLevel="0" collapsed="false">
      <c r="B78" s="30" t="s">
        <v>185</v>
      </c>
      <c r="C78" s="6" t="str">
        <f aca="false">IF(ABS(pct_cash+pct_debt+pct_stock-1)&lt;0.0001,"OK","CHECK")</f>
        <v>OK</v>
      </c>
    </row>
    <row r="79" customFormat="false" ht="15" hidden="false" customHeight="false" outlineLevel="0" collapsed="false">
      <c r="B79" s="30" t="s">
        <v>186</v>
      </c>
      <c r="C79" s="6" t="str">
        <f aca="false">IF(ABS(p_bull+p_base+p_bear-1)&lt;0.0001,"OK","CHECK")</f>
        <v>OK</v>
      </c>
    </row>
    <row r="80" customFormat="false" ht="15" hidden="false" customHeight="false" outlineLevel="0" collapsed="false">
      <c r="B80" s="30" t="s">
        <v>187</v>
      </c>
      <c r="C80" s="31" t="n">
        <f aca="false">t1_usd+t2_usd-price_usd</f>
        <v>-100</v>
      </c>
      <c r="E80" s="17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4" min="3" style="1" width="13"/>
    <col collapsed="false" customWidth="true" hidden="false" outlineLevel="0" max="5" min="5" style="1" width="62"/>
  </cols>
  <sheetData>
    <row r="1" customFormat="false" ht="16.15" hidden="false" customHeight="false" outlineLevel="0" collapsed="false">
      <c r="B1" s="2" t="s">
        <v>189</v>
      </c>
    </row>
    <row r="2" customFormat="false" ht="15" hidden="false" customHeight="false" outlineLevel="0" collapsed="false">
      <c r="B2" s="3" t="s">
        <v>190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191</v>
      </c>
      <c r="C4" s="4"/>
      <c r="D4" s="4"/>
      <c r="E4" s="4"/>
    </row>
    <row r="5" customFormat="false" ht="15" hidden="false" customHeight="false" outlineLevel="0" collapsed="false">
      <c r="B5" s="12"/>
      <c r="C5" s="13" t="s">
        <v>83</v>
      </c>
      <c r="D5" s="13" t="s">
        <v>115</v>
      </c>
      <c r="E5" s="13" t="s">
        <v>192</v>
      </c>
    </row>
    <row r="6" customFormat="false" ht="15" hidden="false" customHeight="false" outlineLevel="0" collapsed="false">
      <c r="B6" s="6" t="s">
        <v>193</v>
      </c>
      <c r="C6" s="31" t="n">
        <f aca="false">price_usd</f>
        <v>9000</v>
      </c>
      <c r="D6" s="31" t="n">
        <f aca="false">C6*fx_ann/1000</f>
        <v>10247.85</v>
      </c>
      <c r="E6" s="17"/>
    </row>
    <row r="7" customFormat="false" ht="15" hidden="false" customHeight="false" outlineLevel="0" collapsed="false">
      <c r="B7" s="6" t="s">
        <v>194</v>
      </c>
      <c r="C7" s="31" t="n">
        <f aca="false">price_usd*fees_pct</f>
        <v>45</v>
      </c>
      <c r="D7" s="31" t="n">
        <f aca="false">C7*fx_ann/1000</f>
        <v>51.23925</v>
      </c>
      <c r="E7" s="17" t="s">
        <v>195</v>
      </c>
    </row>
    <row r="8" customFormat="false" ht="15" hidden="false" customHeight="false" outlineLevel="0" collapsed="false">
      <c r="B8" s="32" t="s">
        <v>196</v>
      </c>
      <c r="C8" s="33" t="n">
        <f aca="false">su_price+su_fees</f>
        <v>9045</v>
      </c>
      <c r="D8" s="33" t="n">
        <f aca="false">C8*fx_ann/1000</f>
        <v>10299.08925</v>
      </c>
      <c r="E8" s="17"/>
    </row>
    <row r="9" customFormat="false" ht="15" hidden="false" customHeight="false" outlineLevel="0" collapsed="false">
      <c r="B9" s="6" t="s">
        <v>197</v>
      </c>
      <c r="C9" s="31" t="n">
        <f aca="false">su_uses*pct_cash</f>
        <v>4522.5</v>
      </c>
      <c r="D9" s="31" t="n">
        <f aca="false">C9*fx_ann/1000</f>
        <v>5149.544625</v>
      </c>
      <c r="E9" s="17"/>
    </row>
    <row r="10" customFormat="false" ht="15" hidden="false" customHeight="false" outlineLevel="0" collapsed="false">
      <c r="B10" s="6" t="s">
        <v>198</v>
      </c>
      <c r="C10" s="31" t="n">
        <f aca="false">su_uses*pct_debt</f>
        <v>4522.5</v>
      </c>
      <c r="D10" s="31" t="n">
        <f aca="false">C10*fx_ann/1000</f>
        <v>5149.544625</v>
      </c>
      <c r="E10" s="17" t="s">
        <v>199</v>
      </c>
    </row>
    <row r="11" customFormat="false" ht="15" hidden="false" customHeight="false" outlineLevel="0" collapsed="false">
      <c r="B11" s="6" t="s">
        <v>200</v>
      </c>
      <c r="C11" s="31" t="n">
        <f aca="false">su_uses*pct_stock</f>
        <v>0</v>
      </c>
      <c r="D11" s="31" t="n">
        <f aca="false">C11*fx_ann/1000</f>
        <v>0</v>
      </c>
      <c r="E11" s="17"/>
    </row>
    <row r="12" customFormat="false" ht="15" hidden="false" customHeight="false" outlineLevel="0" collapsed="false">
      <c r="B12" s="32" t="s">
        <v>201</v>
      </c>
      <c r="C12" s="33" t="n">
        <f aca="false">su_cash+su_debt+su_stock</f>
        <v>9045</v>
      </c>
      <c r="D12" s="33" t="n">
        <f aca="false">C12*fx_ann/1000</f>
        <v>10299.08925</v>
      </c>
      <c r="E12" s="17"/>
    </row>
    <row r="13" customFormat="false" ht="15" hidden="false" customHeight="false" outlineLevel="0" collapsed="false">
      <c r="B13" s="30" t="s">
        <v>202</v>
      </c>
      <c r="C13" s="6" t="str">
        <f aca="false">IF(ABS(su_sources-su_uses)&lt;0.01,"OK","CHECK")</f>
        <v>OK</v>
      </c>
    </row>
    <row r="15" customFormat="false" ht="15" hidden="false" customHeight="false" outlineLevel="0" collapsed="false">
      <c r="B15" s="5" t="s">
        <v>203</v>
      </c>
      <c r="C15" s="4"/>
      <c r="D15" s="4"/>
      <c r="E15" s="4"/>
    </row>
    <row r="16" customFormat="false" ht="15" hidden="false" customHeight="false" outlineLevel="0" collapsed="false">
      <c r="B16" s="6" t="s">
        <v>204</v>
      </c>
      <c r="C16" s="34" t="n">
        <f aca="false">(c1_date-ann_date)/365</f>
        <v>1.19178082191781</v>
      </c>
    </row>
    <row r="17" customFormat="false" ht="15" hidden="false" customHeight="false" outlineLevel="0" collapsed="false">
      <c r="B17" s="6" t="s">
        <v>205</v>
      </c>
      <c r="C17" s="34" t="n">
        <f aca="false">(c2_date-ann_date)/365</f>
        <v>4.43561643835616</v>
      </c>
    </row>
    <row r="18" customFormat="false" ht="15" hidden="false" customHeight="false" outlineLevel="0" collapsed="false">
      <c r="B18" s="6" t="s">
        <v>206</v>
      </c>
      <c r="C18" s="35" t="n">
        <f aca="false">kd_usd</f>
        <v>0.0152</v>
      </c>
    </row>
    <row r="19" customFormat="false" ht="15" hidden="false" customHeight="false" outlineLevel="0" collapsed="false">
      <c r="B19" s="6" t="s">
        <v>207</v>
      </c>
      <c r="C19" s="31" t="n">
        <f aca="false">t1_usd/(1+ds_r)^ds_y1</f>
        <v>6875.27316389914</v>
      </c>
    </row>
    <row r="20" customFormat="false" ht="15" hidden="false" customHeight="false" outlineLevel="0" collapsed="false">
      <c r="B20" s="6" t="s">
        <v>208</v>
      </c>
      <c r="C20" s="31" t="n">
        <f aca="false">t2_usd/(1+ds_r)^ds_y2</f>
        <v>1777.0235199685</v>
      </c>
    </row>
    <row r="21" customFormat="false" ht="15" hidden="false" customHeight="false" outlineLevel="0" collapsed="false">
      <c r="B21" s="6" t="s">
        <v>209</v>
      </c>
      <c r="C21" s="31" t="n">
        <f aca="false">ds_pv1+ds_pv2</f>
        <v>8652.29668386763</v>
      </c>
      <c r="E21" s="17" t="s">
        <v>210</v>
      </c>
    </row>
    <row r="22" customFormat="false" ht="15" hidden="false" customHeight="false" outlineLevel="0" collapsed="false">
      <c r="B22" s="6" t="s">
        <v>211</v>
      </c>
      <c r="C22" s="31" t="n">
        <f aca="false">price_usd-ds_pv_price</f>
        <v>347.703316132369</v>
      </c>
    </row>
    <row r="23" customFormat="false" ht="15" hidden="false" customHeight="false" outlineLevel="0" collapsed="false">
      <c r="B23" s="6" t="s">
        <v>212</v>
      </c>
      <c r="C23" s="36" t="n">
        <f aca="false">ds_pv_price/tgt_ebit</f>
        <v>7.21024723655636</v>
      </c>
    </row>
    <row r="25" customFormat="false" ht="15" hidden="false" customHeight="false" outlineLevel="0" collapsed="false">
      <c r="B25" s="5" t="s">
        <v>213</v>
      </c>
      <c r="C25" s="4"/>
      <c r="D25" s="4"/>
      <c r="E25" s="4"/>
    </row>
    <row r="26" customFormat="false" ht="15" hidden="false" customHeight="false" outlineLevel="0" collapsed="false">
      <c r="B26" s="6" t="s">
        <v>214</v>
      </c>
      <c r="C26" s="31" t="n">
        <f aca="false">price_usd</f>
        <v>9000</v>
      </c>
    </row>
    <row r="27" customFormat="false" ht="15" hidden="false" customHeight="false" outlineLevel="0" collapsed="false">
      <c r="B27" s="6" t="s">
        <v>215</v>
      </c>
      <c r="C27" s="31" t="n">
        <f aca="false">-net_assets_usd</f>
        <v>-5000</v>
      </c>
    </row>
    <row r="28" customFormat="false" ht="15" hidden="false" customHeight="false" outlineLevel="0" collapsed="false">
      <c r="B28" s="6" t="s">
        <v>216</v>
      </c>
      <c r="C28" s="31" t="n">
        <f aca="false">ppa_price+ppa_book</f>
        <v>4000</v>
      </c>
    </row>
    <row r="29" customFormat="false" ht="15" hidden="false" customHeight="false" outlineLevel="0" collapsed="false">
      <c r="B29" s="6" t="s">
        <v>217</v>
      </c>
      <c r="C29" s="31" t="n">
        <f aca="false">-ppe_step</f>
        <v>-1000</v>
      </c>
    </row>
    <row r="30" customFormat="false" ht="15" hidden="false" customHeight="false" outlineLevel="0" collapsed="false">
      <c r="B30" s="6" t="s">
        <v>218</v>
      </c>
      <c r="C30" s="31" t="n">
        <f aca="false">-price_usd*intang_pct</f>
        <v>-2250</v>
      </c>
    </row>
    <row r="31" customFormat="false" ht="15" hidden="false" customHeight="false" outlineLevel="0" collapsed="false">
      <c r="B31" s="30" t="s">
        <v>219</v>
      </c>
      <c r="C31" s="31" t="n">
        <f aca="false">ppa_excess+ppa_step+ppa_intang</f>
        <v>750</v>
      </c>
      <c r="E31" s="17" t="s">
        <v>220</v>
      </c>
    </row>
    <row r="32" customFormat="false" ht="15" hidden="false" customHeight="false" outlineLevel="0" collapsed="false">
      <c r="B32" s="6" t="s">
        <v>40</v>
      </c>
      <c r="C32" s="37" t="n">
        <f aca="false">ppa_gw/ppa_price</f>
        <v>0.0833333333333333</v>
      </c>
    </row>
    <row r="33" customFormat="false" ht="15" hidden="false" customHeight="false" outlineLevel="0" collapsed="false">
      <c r="B33" s="6" t="s">
        <v>221</v>
      </c>
      <c r="C33" s="31" t="n">
        <f aca="false">ppe_step/ppe_life</f>
        <v>200</v>
      </c>
    </row>
    <row r="34" customFormat="false" ht="15" hidden="false" customHeight="false" outlineLevel="0" collapsed="false">
      <c r="B34" s="6" t="s">
        <v>222</v>
      </c>
      <c r="C34" s="31" t="n">
        <f aca="false">price_usd*intang_pct/amort_yrs</f>
        <v>321.428571428571</v>
      </c>
    </row>
    <row r="36" customFormat="false" ht="15" hidden="false" customHeight="false" outlineLevel="0" collapsed="false">
      <c r="B36" s="30" t="s">
        <v>223</v>
      </c>
      <c r="C36" s="6" t="str">
        <f aca="false">IF(ppa_gw&gt;=0,"OK","CHECK: bargain purchase")</f>
        <v>OK</v>
      </c>
    </row>
    <row r="38" customFormat="false" ht="15" hidden="false" customHeight="false" outlineLevel="0" collapsed="false">
      <c r="B38" s="5" t="s">
        <v>224</v>
      </c>
      <c r="C38" s="4"/>
      <c r="D38" s="4"/>
      <c r="E38" s="4"/>
    </row>
    <row r="39" customFormat="false" ht="15" hidden="false" customHeight="false" outlineLevel="0" collapsed="false">
      <c r="B39" s="6" t="s">
        <v>225</v>
      </c>
      <c r="C39" s="31" t="n">
        <f aca="false">buyer_nd</f>
        <v>8800</v>
      </c>
    </row>
    <row r="40" customFormat="false" ht="15" hidden="false" customHeight="false" outlineLevel="0" collapsed="false">
      <c r="B40" s="6" t="s">
        <v>226</v>
      </c>
      <c r="C40" s="31" t="n">
        <f aca="false">buyer_ebitda</f>
        <v>15600</v>
      </c>
    </row>
    <row r="41" customFormat="false" ht="15" hidden="false" customHeight="false" outlineLevel="0" collapsed="false">
      <c r="B41" s="6" t="s">
        <v>227</v>
      </c>
      <c r="C41" s="36" t="n">
        <f aca="false">cr_nd/cr_ebitda</f>
        <v>0.564102564102564</v>
      </c>
    </row>
    <row r="42" customFormat="false" ht="15" hidden="false" customHeight="false" outlineLevel="0" collapsed="false">
      <c r="B42" s="6" t="s">
        <v>228</v>
      </c>
      <c r="C42" s="31" t="n">
        <f aca="false">(su_cash+su_debt)*fx_ann/1000</f>
        <v>10299.08925</v>
      </c>
    </row>
    <row r="43" customFormat="false" ht="15" hidden="false" customHeight="false" outlineLevel="0" collapsed="false">
      <c r="B43" s="6" t="s">
        <v>229</v>
      </c>
      <c r="C43" s="31" t="n">
        <f aca="false">(tgt_ebit+tgt_rev*da_pct)*fx_earn/1000</f>
        <v>2131.5528</v>
      </c>
    </row>
    <row r="44" customFormat="false" ht="15" hidden="false" customHeight="false" outlineLevel="0" collapsed="false">
      <c r="B44" s="6" t="s">
        <v>230</v>
      </c>
      <c r="C44" s="31" t="n">
        <f aca="false">cr_nd+cr_add</f>
        <v>19099.08925</v>
      </c>
    </row>
    <row r="45" customFormat="false" ht="15" hidden="false" customHeight="false" outlineLevel="0" collapsed="false">
      <c r="B45" s="6" t="s">
        <v>231</v>
      </c>
      <c r="C45" s="31" t="n">
        <f aca="false">cr_ebitda+cr_tebitda</f>
        <v>17731.5528</v>
      </c>
    </row>
    <row r="46" customFormat="false" ht="15" hidden="false" customHeight="false" outlineLevel="0" collapsed="false">
      <c r="B46" s="30" t="s">
        <v>42</v>
      </c>
      <c r="C46" s="36" t="n">
        <f aca="false">cr_pf_nd/cr_pf_ebitda</f>
        <v>1.07712446086504</v>
      </c>
      <c r="E46" s="17" t="s">
        <v>232</v>
      </c>
    </row>
    <row r="47" customFormat="false" ht="15" hidden="false" customHeight="false" outlineLevel="0" collapsed="false">
      <c r="B47" s="6" t="s">
        <v>233</v>
      </c>
      <c r="C47" s="38" t="n">
        <f aca="false">cr_pf_lev-cr_lev</f>
        <v>0.513021896762476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60"/>
  </cols>
  <sheetData>
    <row r="1" customFormat="false" ht="16.15" hidden="false" customHeight="false" outlineLevel="0" collapsed="false">
      <c r="B1" s="2" t="s">
        <v>234</v>
      </c>
    </row>
    <row r="2" customFormat="false" ht="15" hidden="false" customHeight="false" outlineLevel="0" collapsed="false">
      <c r="B2" s="3" t="s">
        <v>235</v>
      </c>
      <c r="C2" s="4"/>
      <c r="D2" s="4"/>
      <c r="E2" s="4"/>
      <c r="F2" s="4"/>
      <c r="G2" s="4"/>
      <c r="H2" s="4"/>
      <c r="I2" s="4"/>
      <c r="J2" s="4"/>
    </row>
    <row r="5" customFormat="false" ht="15" hidden="false" customHeight="false" outlineLevel="0" collapsed="false">
      <c r="B5" s="5" t="s">
        <v>236</v>
      </c>
      <c r="C5" s="4"/>
      <c r="D5" s="4"/>
      <c r="E5" s="4"/>
    </row>
    <row r="6" customFormat="false" ht="15" hidden="false" customHeight="false" outlineLevel="0" collapsed="false">
      <c r="B6" s="6" t="s">
        <v>237</v>
      </c>
      <c r="C6" s="31" t="n">
        <f aca="false">price_usd</f>
        <v>9000</v>
      </c>
    </row>
    <row r="7" customFormat="false" ht="15" hidden="false" customHeight="false" outlineLevel="0" collapsed="false">
      <c r="B7" s="30" t="s">
        <v>238</v>
      </c>
      <c r="C7" s="39" t="n">
        <f aca="false">price_usd*fx_ann/1000</f>
        <v>10247.85</v>
      </c>
      <c r="E7" s="17" t="s">
        <v>239</v>
      </c>
    </row>
    <row r="8" customFormat="false" ht="15" hidden="false" customHeight="false" outlineLevel="0" collapsed="false">
      <c r="B8" s="6" t="s">
        <v>240</v>
      </c>
      <c r="C8" s="31" t="n">
        <f aca="false">m_price*pct_cash</f>
        <v>5123.925</v>
      </c>
    </row>
    <row r="9" customFormat="false" ht="15" hidden="false" customHeight="false" outlineLevel="0" collapsed="false">
      <c r="B9" s="6" t="s">
        <v>241</v>
      </c>
      <c r="C9" s="31" t="n">
        <f aca="false">m_price*pct_debt</f>
        <v>5123.925</v>
      </c>
    </row>
    <row r="10" customFormat="false" ht="15" hidden="false" customHeight="false" outlineLevel="0" collapsed="false">
      <c r="B10" s="6" t="s">
        <v>242</v>
      </c>
      <c r="C10" s="31" t="n">
        <f aca="false">m_price*pct_stock</f>
        <v>0</v>
      </c>
    </row>
    <row r="11" customFormat="false" ht="15" hidden="false" customHeight="false" outlineLevel="0" collapsed="false">
      <c r="B11" s="6" t="s">
        <v>243</v>
      </c>
      <c r="C11" s="40" t="n">
        <f aca="false">m_stock*1000/buyer_px</f>
        <v>0</v>
      </c>
      <c r="E11" s="17" t="s">
        <v>244</v>
      </c>
    </row>
    <row r="13" customFormat="false" ht="15" hidden="false" customHeight="false" outlineLevel="0" collapsed="false">
      <c r="B13" s="5" t="s">
        <v>245</v>
      </c>
      <c r="C13" s="4"/>
      <c r="D13" s="4"/>
      <c r="E13" s="4"/>
    </row>
    <row r="14" customFormat="false" ht="15" hidden="false" customHeight="false" outlineLevel="0" collapsed="false">
      <c r="B14" s="6" t="s">
        <v>246</v>
      </c>
      <c r="C14" s="31" t="n">
        <f aca="false">tgt_ebit*fx_earn/1000</f>
        <v>1366.38</v>
      </c>
    </row>
    <row r="15" customFormat="false" ht="15" hidden="false" customHeight="false" outlineLevel="0" collapsed="false">
      <c r="B15" s="6" t="s">
        <v>247</v>
      </c>
      <c r="C15" s="31" t="n">
        <f aca="false">syn_usd*fx_earn/1000</f>
        <v>0</v>
      </c>
    </row>
    <row r="16" customFormat="false" ht="15" hidden="false" customHeight="false" outlineLevel="0" collapsed="false">
      <c r="B16" s="6" t="s">
        <v>248</v>
      </c>
      <c r="C16" s="31" t="n">
        <f aca="false">-m_price*intang_pct/amort_yrs</f>
        <v>-365.994642857143</v>
      </c>
      <c r="E16" s="17" t="s">
        <v>249</v>
      </c>
    </row>
    <row r="17" customFormat="false" ht="15" hidden="false" customHeight="false" outlineLevel="0" collapsed="false">
      <c r="B17" s="6" t="s">
        <v>250</v>
      </c>
      <c r="C17" s="31" t="n">
        <f aca="false">-ppe_step*fx_ann/1000/ppe_life</f>
        <v>-227.73</v>
      </c>
      <c r="E17" s="17" t="s">
        <v>251</v>
      </c>
    </row>
    <row r="18" customFormat="false" ht="15" hidden="false" customHeight="false" outlineLevel="0" collapsed="false">
      <c r="B18" s="6" t="s">
        <v>252</v>
      </c>
      <c r="C18" s="31" t="n">
        <f aca="false">-m_debt*kd</f>
        <v>-92.23065</v>
      </c>
    </row>
    <row r="19" customFormat="false" ht="15" hidden="false" customHeight="false" outlineLevel="0" collapsed="false">
      <c r="B19" s="6" t="s">
        <v>253</v>
      </c>
      <c r="C19" s="31" t="n">
        <f aca="false">-m_cash*ri</f>
        <v>-51.23925</v>
      </c>
    </row>
    <row r="20" customFormat="false" ht="15" hidden="false" customHeight="false" outlineLevel="0" collapsed="false">
      <c r="B20" s="32" t="s">
        <v>254</v>
      </c>
      <c r="C20" s="41" t="n">
        <f aca="false">SUM(m_ebit,m_syn,m_amort,m_stepdep,m_int,m_forg)</f>
        <v>629.185457142857</v>
      </c>
    </row>
    <row r="21" customFormat="false" ht="15" hidden="false" customHeight="false" outlineLevel="0" collapsed="false">
      <c r="B21" s="6" t="s">
        <v>255</v>
      </c>
      <c r="C21" s="31" t="n">
        <f aca="false">-m_pretax*tax</f>
        <v>-173.026000714286</v>
      </c>
    </row>
    <row r="22" customFormat="false" ht="15" hidden="false" customHeight="false" outlineLevel="0" collapsed="false">
      <c r="B22" s="32" t="s">
        <v>256</v>
      </c>
      <c r="C22" s="41" t="n">
        <f aca="false">m_pretax+m_tax</f>
        <v>456.159456428572</v>
      </c>
    </row>
    <row r="24" customFormat="false" ht="15" hidden="false" customHeight="false" outlineLevel="0" collapsed="false">
      <c r="B24" s="5" t="s">
        <v>257</v>
      </c>
      <c r="C24" s="4"/>
      <c r="D24" s="4"/>
      <c r="E24" s="4"/>
    </row>
    <row r="25" customFormat="false" ht="15" hidden="false" customHeight="false" outlineLevel="0" collapsed="false">
      <c r="B25" s="6" t="s">
        <v>258</v>
      </c>
      <c r="C25" s="31" t="n">
        <f aca="false">buyer_ni</f>
        <v>4760</v>
      </c>
    </row>
    <row r="26" customFormat="false" ht="15" hidden="false" customHeight="false" outlineLevel="0" collapsed="false">
      <c r="B26" s="6" t="s">
        <v>259</v>
      </c>
      <c r="C26" s="31" t="n">
        <f aca="false">m_ni+m_contrib</f>
        <v>5216.15945642857</v>
      </c>
    </row>
    <row r="27" customFormat="false" ht="15" hidden="false" customHeight="false" outlineLevel="0" collapsed="false">
      <c r="B27" s="6" t="s">
        <v>260</v>
      </c>
      <c r="C27" s="40" t="n">
        <f aca="false">buyer_sh</f>
        <v>728</v>
      </c>
    </row>
    <row r="28" customFormat="false" ht="15" hidden="false" customHeight="false" outlineLevel="0" collapsed="false">
      <c r="B28" s="6" t="s">
        <v>261</v>
      </c>
      <c r="C28" s="40" t="n">
        <f aca="false">m_sh+m_newsh</f>
        <v>728</v>
      </c>
    </row>
    <row r="29" customFormat="false" ht="15" hidden="false" customHeight="false" outlineLevel="0" collapsed="false">
      <c r="B29" s="6" t="s">
        <v>262</v>
      </c>
      <c r="C29" s="42" t="n">
        <f aca="false">m_ni*1000/m_sh</f>
        <v>6538.46153846154</v>
      </c>
    </row>
    <row r="30" customFormat="false" ht="15" hidden="false" customHeight="false" outlineLevel="0" collapsed="false">
      <c r="B30" s="32" t="s">
        <v>263</v>
      </c>
      <c r="C30" s="43" t="n">
        <f aca="false">m_pf_ni*1000/m_pf_sh</f>
        <v>7165.0541983909</v>
      </c>
    </row>
    <row r="31" customFormat="false" ht="15" hidden="false" customHeight="false" outlineLevel="0" collapsed="false">
      <c r="B31" s="30" t="s">
        <v>264</v>
      </c>
      <c r="C31" s="44" t="n">
        <f aca="false">m_pf_eps/m_eps-1</f>
        <v>0.0958318185774312</v>
      </c>
    </row>
    <row r="32" customFormat="false" ht="15" hidden="false" customHeight="false" outlineLevel="0" collapsed="false">
      <c r="B32" s="6" t="s">
        <v>265</v>
      </c>
      <c r="C32" s="31" t="n">
        <f aca="false">m_pretax-(m_ni*m_pf_sh/m_sh-m_ni)/(1-tax)</f>
        <v>629.185457142857</v>
      </c>
      <c r="E32" s="17" t="s">
        <v>266</v>
      </c>
    </row>
    <row r="33" customFormat="false" ht="15" hidden="false" customHeight="false" outlineLevel="0" collapsed="false">
      <c r="B33" s="6" t="s">
        <v>267</v>
      </c>
      <c r="C33" s="31" t="n">
        <f aca="false">MAX(0,-m_cushion)*1000/fx_earn</f>
        <v>0</v>
      </c>
      <c r="E33" s="17" t="s">
        <v>268</v>
      </c>
    </row>
    <row r="35" customFormat="false" ht="15" hidden="false" customHeight="false" outlineLevel="0" collapsed="false">
      <c r="B35" s="5" t="s">
        <v>269</v>
      </c>
      <c r="C35" s="4"/>
      <c r="D35" s="4"/>
      <c r="E35" s="4"/>
    </row>
    <row r="36" customFormat="false" ht="15" hidden="false" customHeight="false" outlineLevel="0" collapsed="false">
      <c r="B36" s="6" t="s">
        <v>270</v>
      </c>
      <c r="C36" s="37" t="n">
        <f aca="false">m_ebit/m_price</f>
        <v>0.133333333333333</v>
      </c>
    </row>
    <row r="37" customFormat="false" ht="15" hidden="false" customHeight="false" outlineLevel="0" collapsed="false">
      <c r="B37" s="6" t="s">
        <v>271</v>
      </c>
      <c r="C37" s="37" t="n">
        <f aca="false">(m_ebit+m_amort+m_stepdep)*(1-tax)/m_price</f>
        <v>0.0546626984126984</v>
      </c>
    </row>
    <row r="38" customFormat="false" ht="15" hidden="false" customHeight="false" outlineLevel="0" collapsed="false">
      <c r="B38" s="6" t="s">
        <v>272</v>
      </c>
      <c r="C38" s="35" t="n">
        <f aca="false">ri*(1-tax)</f>
        <v>0.00725</v>
      </c>
    </row>
    <row r="39" customFormat="false" ht="15" hidden="false" customHeight="false" outlineLevel="0" collapsed="false">
      <c r="B39" s="6" t="s">
        <v>273</v>
      </c>
      <c r="C39" s="35" t="n">
        <f aca="false">kd*(1-tax)</f>
        <v>0.01305</v>
      </c>
    </row>
    <row r="40" customFormat="false" ht="15" hidden="false" customHeight="false" outlineLevel="0" collapsed="false">
      <c r="B40" s="6" t="s">
        <v>274</v>
      </c>
      <c r="C40" s="35" t="n">
        <f aca="false">m_eps/buyer_px</f>
        <v>0.0787766450417053</v>
      </c>
    </row>
    <row r="41" customFormat="false" ht="15" hidden="false" customHeight="false" outlineLevel="0" collapsed="false">
      <c r="B41" s="30" t="s">
        <v>275</v>
      </c>
      <c r="C41" s="45" t="n">
        <f aca="false">pct_cash*m_c_cash+pct_debt*m_c_debt+pct_stock*m_c_stock</f>
        <v>0.01015</v>
      </c>
      <c r="E41" s="17" t="s">
        <v>276</v>
      </c>
    </row>
    <row r="42" customFormat="false" ht="15" hidden="false" customHeight="false" outlineLevel="0" collapsed="false">
      <c r="B42" s="6" t="s">
        <v>277</v>
      </c>
      <c r="C42" s="36" t="n">
        <f aca="false">buyer_px/m_eps</f>
        <v>12.6941176470588</v>
      </c>
    </row>
    <row r="44" customFormat="false" ht="15" hidden="false" customHeight="false" outlineLevel="0" collapsed="false">
      <c r="B44" s="5" t="s">
        <v>278</v>
      </c>
      <c r="C44" s="4"/>
      <c r="D44" s="4"/>
      <c r="E44" s="4"/>
    </row>
    <row r="45" customFormat="false" ht="15" hidden="false" customHeight="false" outlineLevel="0" collapsed="false">
      <c r="B45" s="6" t="s">
        <v>279</v>
      </c>
      <c r="C45" s="36" t="n">
        <f aca="false">price_usd/tgt_rev</f>
        <v>1.60714285714286</v>
      </c>
      <c r="E45" s="17" t="s">
        <v>280</v>
      </c>
    </row>
    <row r="46" customFormat="false" ht="15" hidden="false" customHeight="false" outlineLevel="0" collapsed="false">
      <c r="B46" s="6" t="s">
        <v>281</v>
      </c>
      <c r="C46" s="36" t="n">
        <f aca="false">price_usd/tgt_ebit</f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9" min="4" style="1" width="11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282</v>
      </c>
    </row>
    <row r="2" customFormat="false" ht="15" hidden="false" customHeight="false" outlineLevel="0" collapsed="false">
      <c r="B2" s="3" t="s">
        <v>283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46" t="s">
        <v>284</v>
      </c>
      <c r="D4" s="47" t="n">
        <v>2021</v>
      </c>
      <c r="E4" s="47" t="n">
        <v>2022</v>
      </c>
      <c r="F4" s="47" t="n">
        <v>2023</v>
      </c>
      <c r="G4" s="47" t="n">
        <v>2024</v>
      </c>
      <c r="H4" s="47" t="n">
        <v>2025</v>
      </c>
      <c r="I4" s="47" t="n">
        <v>2026</v>
      </c>
    </row>
    <row r="5" customFormat="false" ht="15" hidden="false" customHeight="false" outlineLevel="0" collapsed="false">
      <c r="B5" s="6" t="s">
        <v>285</v>
      </c>
      <c r="D5" s="48" t="n">
        <v>1</v>
      </c>
      <c r="E5" s="48" t="n">
        <v>2</v>
      </c>
      <c r="F5" s="48" t="n">
        <v>3</v>
      </c>
      <c r="G5" s="48" t="n">
        <v>4</v>
      </c>
      <c r="H5" s="48" t="n">
        <v>5</v>
      </c>
      <c r="I5" s="48" t="n">
        <v>6</v>
      </c>
    </row>
    <row r="7" customFormat="false" ht="15" hidden="false" customHeight="false" outlineLevel="0" collapsed="false">
      <c r="B7" s="5" t="s">
        <v>286</v>
      </c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B8" s="6" t="s">
        <v>287</v>
      </c>
      <c r="D8" s="25" t="n">
        <v>0.15</v>
      </c>
      <c r="E8" s="25" t="n">
        <v>0.15</v>
      </c>
      <c r="F8" s="25" t="n">
        <v>0.15</v>
      </c>
      <c r="G8" s="25" t="n">
        <v>0.15</v>
      </c>
      <c r="H8" s="25" t="n">
        <v>0.15</v>
      </c>
      <c r="I8" s="25" t="n">
        <v>0.15</v>
      </c>
    </row>
    <row r="9" customFormat="false" ht="15" hidden="false" customHeight="false" outlineLevel="0" collapsed="false">
      <c r="B9" s="6" t="s">
        <v>288</v>
      </c>
      <c r="D9" s="25" t="n">
        <v>0.25</v>
      </c>
      <c r="E9" s="25" t="n">
        <v>0.25</v>
      </c>
      <c r="F9" s="25" t="n">
        <v>0.25</v>
      </c>
      <c r="G9" s="25" t="n">
        <v>0.25</v>
      </c>
      <c r="H9" s="25" t="n">
        <v>0.25</v>
      </c>
      <c r="I9" s="25" t="n">
        <v>0.25</v>
      </c>
    </row>
    <row r="10" customFormat="false" ht="15" hidden="false" customHeight="false" outlineLevel="0" collapsed="false">
      <c r="B10" s="6" t="s">
        <v>109</v>
      </c>
      <c r="D10" s="31" t="n">
        <f aca="false">tgt_rev*(1+D8)</f>
        <v>6440</v>
      </c>
      <c r="E10" s="31" t="n">
        <f aca="false">D10*(1+E8)</f>
        <v>7406</v>
      </c>
      <c r="F10" s="31" t="n">
        <f aca="false">E10*(1+F8)</f>
        <v>8516.9</v>
      </c>
      <c r="G10" s="31" t="n">
        <f aca="false">F10*(1+G8)</f>
        <v>9794.435</v>
      </c>
      <c r="H10" s="31" t="n">
        <f aca="false">G10*(1+H8)</f>
        <v>11263.60025</v>
      </c>
      <c r="I10" s="31" t="n">
        <f aca="false">H10*(1+I8)</f>
        <v>12953.1402875</v>
      </c>
    </row>
    <row r="11" customFormat="false" ht="15" hidden="false" customHeight="false" outlineLevel="0" collapsed="false">
      <c r="B11" s="6" t="s">
        <v>289</v>
      </c>
      <c r="D11" s="31" t="n">
        <f aca="false">D10*D9</f>
        <v>1610</v>
      </c>
      <c r="E11" s="31" t="n">
        <f aca="false">E10*E9</f>
        <v>1851.5</v>
      </c>
      <c r="F11" s="31" t="n">
        <f aca="false">F10*F9</f>
        <v>2129.225</v>
      </c>
      <c r="G11" s="31" t="n">
        <f aca="false">G10*G9</f>
        <v>2448.60875</v>
      </c>
      <c r="H11" s="31" t="n">
        <f aca="false">H10*H9</f>
        <v>2815.9000625</v>
      </c>
      <c r="I11" s="31" t="n">
        <f aca="false">I10*I9</f>
        <v>3238.285071875</v>
      </c>
    </row>
    <row r="12" customFormat="false" ht="15" hidden="false" customHeight="false" outlineLevel="0" collapsed="false">
      <c r="B12" s="6" t="s">
        <v>290</v>
      </c>
      <c r="D12" s="31" t="n">
        <f aca="false">D11*(1-tax)</f>
        <v>1167.25</v>
      </c>
      <c r="E12" s="31" t="n">
        <f aca="false">E11*(1-tax)</f>
        <v>1342.3375</v>
      </c>
      <c r="F12" s="31" t="n">
        <f aca="false">F11*(1-tax)</f>
        <v>1543.688125</v>
      </c>
      <c r="G12" s="31" t="n">
        <f aca="false">G11*(1-tax)</f>
        <v>1775.24134375</v>
      </c>
      <c r="H12" s="31" t="n">
        <f aca="false">H11*(1-tax)</f>
        <v>2041.5275453125</v>
      </c>
      <c r="I12" s="31" t="n">
        <f aca="false">I11*(1-tax)</f>
        <v>2347.75667710937</v>
      </c>
    </row>
    <row r="13" customFormat="false" ht="15" hidden="false" customHeight="false" outlineLevel="0" collapsed="false">
      <c r="B13" s="6" t="s">
        <v>291</v>
      </c>
      <c r="D13" s="31" t="n">
        <f aca="false">D10*da_pct</f>
        <v>772.8</v>
      </c>
      <c r="E13" s="31" t="n">
        <f aca="false">E10*da_pct</f>
        <v>888.72</v>
      </c>
      <c r="F13" s="31" t="n">
        <f aca="false">F10*da_pct</f>
        <v>1022.028</v>
      </c>
      <c r="G13" s="31" t="n">
        <f aca="false">G10*da_pct</f>
        <v>1175.3322</v>
      </c>
      <c r="H13" s="31" t="n">
        <f aca="false">H10*da_pct</f>
        <v>1351.63203</v>
      </c>
      <c r="I13" s="31" t="n">
        <f aca="false">I10*da_pct</f>
        <v>1554.3768345</v>
      </c>
    </row>
    <row r="14" customFormat="false" ht="15" hidden="false" customHeight="false" outlineLevel="0" collapsed="false">
      <c r="B14" s="6" t="s">
        <v>292</v>
      </c>
      <c r="D14" s="31" t="n">
        <f aca="false">-D10*capex_pct</f>
        <v>-772.8</v>
      </c>
      <c r="E14" s="31" t="n">
        <f aca="false">-E10*capex_pct</f>
        <v>-888.72</v>
      </c>
      <c r="F14" s="31" t="n">
        <f aca="false">-F10*capex_pct</f>
        <v>-1022.028</v>
      </c>
      <c r="G14" s="31" t="n">
        <f aca="false">-G10*capex_pct</f>
        <v>-1175.3322</v>
      </c>
      <c r="H14" s="31" t="n">
        <f aca="false">-H10*capex_pct</f>
        <v>-1351.63203</v>
      </c>
      <c r="I14" s="31" t="n">
        <f aca="false">-I10*capex_pct</f>
        <v>-1554.3768345</v>
      </c>
    </row>
    <row r="15" customFormat="false" ht="15" hidden="false" customHeight="false" outlineLevel="0" collapsed="false">
      <c r="B15" s="6" t="s">
        <v>293</v>
      </c>
      <c r="D15" s="31" t="n">
        <f aca="false">-(D10-tgt_rev)*nwc_pct</f>
        <v>-83.9999999999999</v>
      </c>
      <c r="E15" s="31" t="n">
        <f aca="false">-(E10-D10)*nwc_pct</f>
        <v>-96.5999999999999</v>
      </c>
      <c r="F15" s="31" t="n">
        <f aca="false">-(F10-E10)*nwc_pct</f>
        <v>-111.09</v>
      </c>
      <c r="G15" s="31" t="n">
        <f aca="false">-(G10-F10)*nwc_pct</f>
        <v>-127.7535</v>
      </c>
      <c r="H15" s="31" t="n">
        <f aca="false">-(H10-G10)*nwc_pct</f>
        <v>-146.916525</v>
      </c>
      <c r="I15" s="31" t="n">
        <f aca="false">-(I10-H10)*nwc_pct</f>
        <v>-168.95400375</v>
      </c>
    </row>
    <row r="16" customFormat="false" ht="15" hidden="false" customHeight="false" outlineLevel="0" collapsed="false">
      <c r="B16" s="30" t="s">
        <v>294</v>
      </c>
      <c r="D16" s="49" t="n">
        <f aca="false">SUM(D12:D15)</f>
        <v>1083.25</v>
      </c>
      <c r="E16" s="49" t="n">
        <f aca="false">SUM(E12:E15)</f>
        <v>1245.7375</v>
      </c>
      <c r="F16" s="49" t="n">
        <f aca="false">SUM(F12:F15)</f>
        <v>1432.598125</v>
      </c>
      <c r="G16" s="49" t="n">
        <f aca="false">SUM(G12:G15)</f>
        <v>1647.48784375</v>
      </c>
      <c r="H16" s="49" t="n">
        <f aca="false">SUM(H12:H15)</f>
        <v>1894.6110203125</v>
      </c>
      <c r="I16" s="49" t="n">
        <f aca="false">SUM(I12:I15)</f>
        <v>2178.80267335937</v>
      </c>
      <c r="J16" s="17" t="s">
        <v>295</v>
      </c>
    </row>
    <row r="17" customFormat="false" ht="15" hidden="false" customHeight="false" outlineLevel="0" collapsed="false">
      <c r="B17" s="6" t="s">
        <v>296</v>
      </c>
      <c r="D17" s="50" t="n">
        <f aca="false">1/(1+wacc)^D$5</f>
        <v>0.934750664607723</v>
      </c>
      <c r="E17" s="50" t="n">
        <f aca="false">1/(1+wacc)^E$5</f>
        <v>0.873758804984579</v>
      </c>
      <c r="F17" s="50" t="n">
        <f aca="false">1/(1+wacc)^F$5</f>
        <v>0.816746623666185</v>
      </c>
      <c r="G17" s="50" t="n">
        <f aca="false">1/(1+wacc)^G$5</f>
        <v>0.76345444928808</v>
      </c>
      <c r="H17" s="50" t="n">
        <f aca="false">1/(1+wacc)^H$5</f>
        <v>0.713639553869755</v>
      </c>
      <c r="I17" s="50" t="n">
        <f aca="false">1/(1+wacc)^I$5</f>
        <v>0.667075047270112</v>
      </c>
    </row>
    <row r="18" customFormat="false" ht="15" hidden="false" customHeight="false" outlineLevel="0" collapsed="false">
      <c r="B18" s="6" t="s">
        <v>297</v>
      </c>
      <c r="D18" s="31" t="n">
        <f aca="false">D16*D17</f>
        <v>1012.56865743632</v>
      </c>
      <c r="E18" s="31" t="n">
        <f aca="false">E16*E17</f>
        <v>1088.47410932448</v>
      </c>
      <c r="F18" s="31" t="n">
        <f aca="false">F16*F17</f>
        <v>1170.06968166426</v>
      </c>
      <c r="G18" s="31" t="n">
        <f aca="false">G16*G17</f>
        <v>1257.78192445896</v>
      </c>
      <c r="H18" s="31" t="n">
        <f aca="false">H16*H17</f>
        <v>1352.06936329253</v>
      </c>
      <c r="I18" s="31" t="n">
        <f aca="false">I16*I17</f>
        <v>1453.42489632345</v>
      </c>
    </row>
    <row r="19" customFormat="false" ht="15" hidden="false" customHeight="false" outlineLevel="0" collapsed="false">
      <c r="B19" s="30" t="s">
        <v>298</v>
      </c>
      <c r="D19" s="7" t="n">
        <f aca="false">(D11*fx_earn/1000+m_amort+m_stepdep+m_int+m_forg)*(1-tax)</f>
        <v>794.623168928571</v>
      </c>
      <c r="E19" s="7" t="n">
        <f aca="false">(E11*fx_earn/1000+m_amort+m_stepdep+m_int+m_forg)*(1-tax)</f>
        <v>993.986550803571</v>
      </c>
      <c r="F19" s="7" t="n">
        <f aca="false">(F11*fx_earn/1000+m_amort+m_stepdep+m_int+m_forg)*(1-tax)</f>
        <v>1223.25443995982</v>
      </c>
      <c r="G19" s="7" t="n">
        <f aca="false">(G11*fx_earn/1000+m_amort+m_stepdep+m_int+m_forg)*(1-tax)</f>
        <v>1486.91251248951</v>
      </c>
      <c r="H19" s="7" t="n">
        <f aca="false">(H11*fx_earn/1000+m_amort+m_stepdep+m_int+m_forg)*(1-tax)</f>
        <v>1790.11929589865</v>
      </c>
      <c r="I19" s="7" t="n">
        <f aca="false">(I11*fx_earn/1000+m_amort+m_stepdep+m_int+m_forg)*(1-tax)</f>
        <v>2138.80709681916</v>
      </c>
      <c r="J19" s="17" t="s">
        <v>299</v>
      </c>
    </row>
    <row r="20" customFormat="false" ht="15" hidden="false" customHeight="false" outlineLevel="0" collapsed="false">
      <c r="B20" s="6" t="s">
        <v>300</v>
      </c>
      <c r="D20" s="37" t="n">
        <f aca="false">D19/buyer_ni</f>
        <v>0.166937640531212</v>
      </c>
      <c r="E20" s="37" t="n">
        <f aca="false">E19/buyer_ni</f>
        <v>0.20882070395033</v>
      </c>
      <c r="F20" s="37" t="n">
        <f aca="false">F19/buyer_ni</f>
        <v>0.256986226882315</v>
      </c>
      <c r="G20" s="37" t="n">
        <f aca="false">G19/buyer_ni</f>
        <v>0.312376578254098</v>
      </c>
      <c r="H20" s="37" t="n">
        <f aca="false">H19/buyer_ni</f>
        <v>0.376075482331649</v>
      </c>
      <c r="I20" s="37" t="n">
        <f aca="false">I19/buyer_ni</f>
        <v>0.449329222020832</v>
      </c>
    </row>
    <row r="21" customFormat="false" ht="15" hidden="false" customHeight="false" outlineLevel="0" collapsed="false">
      <c r="B21" s="6" t="s">
        <v>301</v>
      </c>
      <c r="D21" s="37" t="n">
        <f aca="false">D12/price_usd</f>
        <v>0.129694444444444</v>
      </c>
      <c r="E21" s="37" t="n">
        <f aca="false">E12/price_usd</f>
        <v>0.149148611111111</v>
      </c>
      <c r="F21" s="37" t="n">
        <f aca="false">F12/price_usd</f>
        <v>0.171520902777778</v>
      </c>
      <c r="G21" s="37" t="n">
        <f aca="false">G12/price_usd</f>
        <v>0.197249038194444</v>
      </c>
      <c r="H21" s="37" t="n">
        <f aca="false">H12/price_usd</f>
        <v>0.226836393923611</v>
      </c>
      <c r="I21" s="37" t="n">
        <f aca="false">I12/price_usd</f>
        <v>0.260861853012153</v>
      </c>
    </row>
    <row r="22" customFormat="false" ht="15" hidden="false" customHeight="false" outlineLevel="0" collapsed="false">
      <c r="B22" s="6" t="s">
        <v>302</v>
      </c>
      <c r="C22" s="26" t="n">
        <v>0.2</v>
      </c>
      <c r="H22" s="31" t="n">
        <f aca="false">I10*(1+tg)*C22*(1-tax)-I10*tg*nwc_pct</f>
        <v>1889.86316794625</v>
      </c>
      <c r="I22" s="31" t="n">
        <f aca="false">H22/(wacc-tg)*I17</f>
        <v>25312.8375650909</v>
      </c>
      <c r="J22" s="17" t="s">
        <v>303</v>
      </c>
    </row>
    <row r="23" customFormat="false" ht="15" hidden="false" customHeight="false" outlineLevel="0" collapsed="false">
      <c r="B23" s="30" t="s">
        <v>304</v>
      </c>
      <c r="I23" s="33" t="n">
        <f aca="false">SUM(D18:I18)+I22</f>
        <v>32647.2261975909</v>
      </c>
    </row>
    <row r="25" customFormat="false" ht="15" hidden="false" customHeight="false" outlineLevel="0" collapsed="false">
      <c r="B25" s="5" t="s">
        <v>305</v>
      </c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B26" s="6" t="s">
        <v>287</v>
      </c>
      <c r="D26" s="25" t="n">
        <v>0.08</v>
      </c>
      <c r="E26" s="25" t="n">
        <v>0.05</v>
      </c>
      <c r="F26" s="25" t="n">
        <v>0.05</v>
      </c>
      <c r="G26" s="25" t="n">
        <v>0.05</v>
      </c>
      <c r="H26" s="25" t="n">
        <v>0.05</v>
      </c>
      <c r="I26" s="25" t="n">
        <v>0.05</v>
      </c>
    </row>
    <row r="27" customFormat="false" ht="15" hidden="false" customHeight="false" outlineLevel="0" collapsed="false">
      <c r="B27" s="6" t="s">
        <v>288</v>
      </c>
      <c r="D27" s="25" t="n">
        <v>0.18</v>
      </c>
      <c r="E27" s="25" t="n">
        <v>0.15</v>
      </c>
      <c r="F27" s="25" t="n">
        <v>0.15</v>
      </c>
      <c r="G27" s="25" t="n">
        <v>0.15</v>
      </c>
      <c r="H27" s="25" t="n">
        <v>0.15</v>
      </c>
      <c r="I27" s="25" t="n">
        <v>0.15</v>
      </c>
    </row>
    <row r="28" customFormat="false" ht="15" hidden="false" customHeight="false" outlineLevel="0" collapsed="false">
      <c r="B28" s="6" t="s">
        <v>109</v>
      </c>
      <c r="D28" s="31" t="n">
        <f aca="false">tgt_rev*(1+D26)</f>
        <v>6048</v>
      </c>
      <c r="E28" s="31" t="n">
        <f aca="false">D28*(1+E26)</f>
        <v>6350.4</v>
      </c>
      <c r="F28" s="31" t="n">
        <f aca="false">E28*(1+F26)</f>
        <v>6667.92</v>
      </c>
      <c r="G28" s="31" t="n">
        <f aca="false">F28*(1+G26)</f>
        <v>7001.316</v>
      </c>
      <c r="H28" s="31" t="n">
        <f aca="false">G28*(1+H26)</f>
        <v>7351.3818</v>
      </c>
      <c r="I28" s="31" t="n">
        <f aca="false">H28*(1+I26)</f>
        <v>7718.95089</v>
      </c>
    </row>
    <row r="29" customFormat="false" ht="15" hidden="false" customHeight="false" outlineLevel="0" collapsed="false">
      <c r="B29" s="6" t="s">
        <v>289</v>
      </c>
      <c r="D29" s="31" t="n">
        <f aca="false">D28*D27</f>
        <v>1088.64</v>
      </c>
      <c r="E29" s="31" t="n">
        <f aca="false">E28*E27</f>
        <v>952.56</v>
      </c>
      <c r="F29" s="31" t="n">
        <f aca="false">F28*F27</f>
        <v>1000.188</v>
      </c>
      <c r="G29" s="31" t="n">
        <f aca="false">G28*G27</f>
        <v>1050.1974</v>
      </c>
      <c r="H29" s="31" t="n">
        <f aca="false">H28*H27</f>
        <v>1102.70727</v>
      </c>
      <c r="I29" s="31" t="n">
        <f aca="false">I28*I27</f>
        <v>1157.8426335</v>
      </c>
    </row>
    <row r="30" customFormat="false" ht="15" hidden="false" customHeight="false" outlineLevel="0" collapsed="false">
      <c r="B30" s="6" t="s">
        <v>290</v>
      </c>
      <c r="D30" s="31" t="n">
        <f aca="false">D29*(1-tax)</f>
        <v>789.264</v>
      </c>
      <c r="E30" s="31" t="n">
        <f aca="false">E29*(1-tax)</f>
        <v>690.606</v>
      </c>
      <c r="F30" s="31" t="n">
        <f aca="false">F29*(1-tax)</f>
        <v>725.1363</v>
      </c>
      <c r="G30" s="31" t="n">
        <f aca="false">G29*(1-tax)</f>
        <v>761.393115</v>
      </c>
      <c r="H30" s="31" t="n">
        <f aca="false">H29*(1-tax)</f>
        <v>799.46277075</v>
      </c>
      <c r="I30" s="31" t="n">
        <f aca="false">I29*(1-tax)</f>
        <v>839.4359092875</v>
      </c>
    </row>
    <row r="31" customFormat="false" ht="15" hidden="false" customHeight="false" outlineLevel="0" collapsed="false">
      <c r="B31" s="6" t="s">
        <v>291</v>
      </c>
      <c r="D31" s="31" t="n">
        <f aca="false">D28*da_pct</f>
        <v>725.76</v>
      </c>
      <c r="E31" s="31" t="n">
        <f aca="false">E28*da_pct</f>
        <v>762.048</v>
      </c>
      <c r="F31" s="31" t="n">
        <f aca="false">F28*da_pct</f>
        <v>800.1504</v>
      </c>
      <c r="G31" s="31" t="n">
        <f aca="false">G28*da_pct</f>
        <v>840.15792</v>
      </c>
      <c r="H31" s="31" t="n">
        <f aca="false">H28*da_pct</f>
        <v>882.165816</v>
      </c>
      <c r="I31" s="31" t="n">
        <f aca="false">I28*da_pct</f>
        <v>926.2741068</v>
      </c>
    </row>
    <row r="32" customFormat="false" ht="15" hidden="false" customHeight="false" outlineLevel="0" collapsed="false">
      <c r="B32" s="6" t="s">
        <v>292</v>
      </c>
      <c r="D32" s="31" t="n">
        <f aca="false">-D28*capex_pct</f>
        <v>-725.76</v>
      </c>
      <c r="E32" s="31" t="n">
        <f aca="false">-E28*capex_pct</f>
        <v>-762.048</v>
      </c>
      <c r="F32" s="31" t="n">
        <f aca="false">-F28*capex_pct</f>
        <v>-800.1504</v>
      </c>
      <c r="G32" s="31" t="n">
        <f aca="false">-G28*capex_pct</f>
        <v>-840.15792</v>
      </c>
      <c r="H32" s="31" t="n">
        <f aca="false">-H28*capex_pct</f>
        <v>-882.165816</v>
      </c>
      <c r="I32" s="31" t="n">
        <f aca="false">-I28*capex_pct</f>
        <v>-926.2741068</v>
      </c>
    </row>
    <row r="33" customFormat="false" ht="15" hidden="false" customHeight="false" outlineLevel="0" collapsed="false">
      <c r="B33" s="6" t="s">
        <v>293</v>
      </c>
      <c r="D33" s="31" t="n">
        <f aca="false">-(D28-tgt_rev)*nwc_pct</f>
        <v>-44.8</v>
      </c>
      <c r="E33" s="31" t="n">
        <f aca="false">-(E28-D28)*nwc_pct</f>
        <v>-30.2400000000001</v>
      </c>
      <c r="F33" s="31" t="n">
        <f aca="false">-(F28-E28)*nwc_pct</f>
        <v>-31.752</v>
      </c>
      <c r="G33" s="31" t="n">
        <f aca="false">-(G28-F28)*nwc_pct</f>
        <v>-33.3396000000001</v>
      </c>
      <c r="H33" s="31" t="n">
        <f aca="false">-(H28-G28)*nwc_pct</f>
        <v>-35.00658</v>
      </c>
      <c r="I33" s="31" t="n">
        <f aca="false">-(I28-H28)*nwc_pct</f>
        <v>-36.7569090000001</v>
      </c>
    </row>
    <row r="34" customFormat="false" ht="15" hidden="false" customHeight="false" outlineLevel="0" collapsed="false">
      <c r="B34" s="30" t="s">
        <v>294</v>
      </c>
      <c r="D34" s="49" t="n">
        <f aca="false">SUM(D30:D33)</f>
        <v>744.464</v>
      </c>
      <c r="E34" s="49" t="n">
        <f aca="false">SUM(E30:E33)</f>
        <v>660.366</v>
      </c>
      <c r="F34" s="49" t="n">
        <f aca="false">SUM(F30:F33)</f>
        <v>693.3843</v>
      </c>
      <c r="G34" s="49" t="n">
        <f aca="false">SUM(G30:G33)</f>
        <v>728.053515</v>
      </c>
      <c r="H34" s="49" t="n">
        <f aca="false">SUM(H30:H33)</f>
        <v>764.45619075</v>
      </c>
      <c r="I34" s="49" t="n">
        <f aca="false">SUM(I30:I33)</f>
        <v>802.6790002875</v>
      </c>
      <c r="J34" s="17" t="s">
        <v>295</v>
      </c>
    </row>
    <row r="35" customFormat="false" ht="15" hidden="false" customHeight="false" outlineLevel="0" collapsed="false">
      <c r="B35" s="6" t="s">
        <v>296</v>
      </c>
      <c r="D35" s="50" t="n">
        <f aca="false">1/(1+wacc)^D$5</f>
        <v>0.934750664607723</v>
      </c>
      <c r="E35" s="50" t="n">
        <f aca="false">1/(1+wacc)^E$5</f>
        <v>0.873758804984579</v>
      </c>
      <c r="F35" s="50" t="n">
        <f aca="false">1/(1+wacc)^F$5</f>
        <v>0.816746623666185</v>
      </c>
      <c r="G35" s="50" t="n">
        <f aca="false">1/(1+wacc)^G$5</f>
        <v>0.76345444928808</v>
      </c>
      <c r="H35" s="50" t="n">
        <f aca="false">1/(1+wacc)^H$5</f>
        <v>0.713639553869755</v>
      </c>
      <c r="I35" s="50" t="n">
        <f aca="false">1/(1+wacc)^I$5</f>
        <v>0.667075047270112</v>
      </c>
    </row>
    <row r="36" customFormat="false" ht="15" hidden="false" customHeight="false" outlineLevel="0" collapsed="false">
      <c r="B36" s="6" t="s">
        <v>297</v>
      </c>
      <c r="D36" s="31" t="n">
        <f aca="false">D34*D35</f>
        <v>695.888218776524</v>
      </c>
      <c r="E36" s="31" t="n">
        <f aca="false">E34*E35</f>
        <v>577.000607012446</v>
      </c>
      <c r="F36" s="31" t="n">
        <f aca="false">F34*F35</f>
        <v>566.319285928141</v>
      </c>
      <c r="G36" s="31" t="n">
        <f aca="false">G34*G35</f>
        <v>555.835695346576</v>
      </c>
      <c r="H36" s="31" t="n">
        <f aca="false">H34*H35</f>
        <v>545.546174919803</v>
      </c>
      <c r="I36" s="31" t="n">
        <f aca="false">I34*I35</f>
        <v>535.447132059511</v>
      </c>
    </row>
    <row r="37" customFormat="false" ht="15" hidden="false" customHeight="false" outlineLevel="0" collapsed="false">
      <c r="B37" s="30" t="s">
        <v>298</v>
      </c>
      <c r="D37" s="7" t="n">
        <f aca="false">(D29*fx_earn/1000+m_amort+m_stepdep+m_int+m_forg)*(1-tax)</f>
        <v>364.229410028571</v>
      </c>
      <c r="E37" s="7" t="n">
        <f aca="false">(E29*fx_earn/1000+m_amort+m_stepdep+m_int+m_forg)*(1-tax)</f>
        <v>251.892478328571</v>
      </c>
      <c r="F37" s="7" t="n">
        <f aca="false">(F29*fx_earn/1000+m_amort+m_stepdep+m_int+m_forg)*(1-tax)</f>
        <v>291.210404423572</v>
      </c>
      <c r="G37" s="7" t="n">
        <f aca="false">(G29*fx_earn/1000+m_amort+m_stepdep+m_int+m_forg)*(1-tax)</f>
        <v>332.494226823322</v>
      </c>
      <c r="H37" s="7" t="n">
        <f aca="false">(H29*fx_earn/1000+m_amort+m_stepdep+m_int+m_forg)*(1-tax)</f>
        <v>375.842240343059</v>
      </c>
      <c r="I37" s="7" t="n">
        <f aca="false">(I29*fx_earn/1000+m_amort+m_stepdep+m_int+m_forg)*(1-tax)</f>
        <v>421.357654538784</v>
      </c>
      <c r="J37" s="17" t="s">
        <v>299</v>
      </c>
    </row>
    <row r="38" customFormat="false" ht="15" hidden="false" customHeight="false" outlineLevel="0" collapsed="false">
      <c r="B38" s="6" t="s">
        <v>300</v>
      </c>
      <c r="D38" s="37" t="n">
        <f aca="false">D37/buyer_ni</f>
        <v>0.0765187836194478</v>
      </c>
      <c r="E38" s="37" t="n">
        <f aca="false">E37/buyer_ni</f>
        <v>0.0529185878841537</v>
      </c>
      <c r="F38" s="37" t="n">
        <f aca="false">F37/buyer_ni</f>
        <v>0.0611786563915066</v>
      </c>
      <c r="G38" s="37" t="n">
        <f aca="false">G37/buyer_ni</f>
        <v>0.0698517283242272</v>
      </c>
      <c r="H38" s="37" t="n">
        <f aca="false">H37/buyer_ni</f>
        <v>0.0789584538535839</v>
      </c>
      <c r="I38" s="37" t="n">
        <f aca="false">I37/buyer_ni</f>
        <v>0.0885205156594083</v>
      </c>
    </row>
    <row r="39" customFormat="false" ht="15" hidden="false" customHeight="false" outlineLevel="0" collapsed="false">
      <c r="B39" s="6" t="s">
        <v>301</v>
      </c>
      <c r="D39" s="37" t="n">
        <f aca="false">D30/price_usd</f>
        <v>0.087696</v>
      </c>
      <c r="E39" s="37" t="n">
        <f aca="false">E30/price_usd</f>
        <v>0.076734</v>
      </c>
      <c r="F39" s="37" t="n">
        <f aca="false">F30/price_usd</f>
        <v>0.0805707</v>
      </c>
      <c r="G39" s="37" t="n">
        <f aca="false">G30/price_usd</f>
        <v>0.084599235</v>
      </c>
      <c r="H39" s="37" t="n">
        <f aca="false">H30/price_usd</f>
        <v>0.08882919675</v>
      </c>
      <c r="I39" s="37" t="n">
        <f aca="false">I30/price_usd</f>
        <v>0.0932706565875</v>
      </c>
    </row>
    <row r="40" customFormat="false" ht="15" hidden="false" customHeight="false" outlineLevel="0" collapsed="false">
      <c r="B40" s="6" t="s">
        <v>302</v>
      </c>
      <c r="C40" s="26" t="n">
        <v>0.15</v>
      </c>
      <c r="H40" s="31" t="n">
        <f aca="false">I28*(1+tg)*C40*(1-tax)-I28*tg*nwc_pct</f>
        <v>840.78672569325</v>
      </c>
      <c r="I40" s="31" t="n">
        <f aca="false">H40/(wacc-tg)*I35</f>
        <v>11261.5019834934</v>
      </c>
      <c r="J40" s="17" t="s">
        <v>303</v>
      </c>
    </row>
    <row r="41" customFormat="false" ht="15" hidden="false" customHeight="false" outlineLevel="0" collapsed="false">
      <c r="B41" s="30" t="s">
        <v>304</v>
      </c>
      <c r="I41" s="33" t="n">
        <f aca="false">SUM(D36:I36)+I40</f>
        <v>14737.5390975364</v>
      </c>
    </row>
    <row r="43" customFormat="false" ht="15" hidden="false" customHeight="false" outlineLevel="0" collapsed="false">
      <c r="B43" s="5" t="s">
        <v>306</v>
      </c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B44" s="6" t="s">
        <v>287</v>
      </c>
      <c r="D44" s="25" t="n">
        <v>0.1</v>
      </c>
      <c r="E44" s="25" t="n">
        <v>-0.15</v>
      </c>
      <c r="F44" s="25" t="n">
        <v>-0.3</v>
      </c>
      <c r="G44" s="25" t="n">
        <v>0.1</v>
      </c>
      <c r="H44" s="25" t="n">
        <v>0.1</v>
      </c>
      <c r="I44" s="25" t="n">
        <v>0.1</v>
      </c>
    </row>
    <row r="45" customFormat="false" ht="15" hidden="false" customHeight="false" outlineLevel="0" collapsed="false">
      <c r="B45" s="6" t="s">
        <v>288</v>
      </c>
      <c r="D45" s="25" t="n">
        <v>0.15</v>
      </c>
      <c r="E45" s="25" t="n">
        <v>-0.4</v>
      </c>
      <c r="F45" s="25" t="n">
        <v>-0.6</v>
      </c>
      <c r="G45" s="25" t="n">
        <v>-0.05</v>
      </c>
      <c r="H45" s="25" t="n">
        <v>0.05</v>
      </c>
      <c r="I45" s="25" t="n">
        <v>0.1</v>
      </c>
    </row>
    <row r="46" customFormat="false" ht="15" hidden="false" customHeight="false" outlineLevel="0" collapsed="false">
      <c r="B46" s="6" t="s">
        <v>109</v>
      </c>
      <c r="D46" s="31" t="n">
        <f aca="false">tgt_rev*(1+D44)</f>
        <v>6160</v>
      </c>
      <c r="E46" s="31" t="n">
        <f aca="false">D46*(1+E44)</f>
        <v>5236</v>
      </c>
      <c r="F46" s="31" t="n">
        <f aca="false">E46*(1+F44)</f>
        <v>3665.2</v>
      </c>
      <c r="G46" s="31" t="n">
        <f aca="false">F46*(1+G44)</f>
        <v>4031.72</v>
      </c>
      <c r="H46" s="31" t="n">
        <f aca="false">G46*(1+H44)</f>
        <v>4434.892</v>
      </c>
      <c r="I46" s="31" t="n">
        <f aca="false">H46*(1+I44)</f>
        <v>4878.3812</v>
      </c>
    </row>
    <row r="47" customFormat="false" ht="15" hidden="false" customHeight="false" outlineLevel="0" collapsed="false">
      <c r="B47" s="6" t="s">
        <v>289</v>
      </c>
      <c r="D47" s="31" t="n">
        <f aca="false">D46*D45</f>
        <v>924</v>
      </c>
      <c r="E47" s="31" t="n">
        <f aca="false">E46*E45</f>
        <v>-2094.4</v>
      </c>
      <c r="F47" s="31" t="n">
        <f aca="false">F46*F45</f>
        <v>-2199.12</v>
      </c>
      <c r="G47" s="31" t="n">
        <f aca="false">G46*G45</f>
        <v>-201.586</v>
      </c>
      <c r="H47" s="31" t="n">
        <f aca="false">H46*H45</f>
        <v>221.7446</v>
      </c>
      <c r="I47" s="31" t="n">
        <f aca="false">I46*I45</f>
        <v>487.83812</v>
      </c>
    </row>
    <row r="48" customFormat="false" ht="15" hidden="false" customHeight="false" outlineLevel="0" collapsed="false">
      <c r="B48" s="6" t="s">
        <v>290</v>
      </c>
      <c r="D48" s="31" t="n">
        <f aca="false">D47*(1-tax)</f>
        <v>669.9</v>
      </c>
      <c r="E48" s="31" t="n">
        <f aca="false">E47*(1-tax)</f>
        <v>-1518.44</v>
      </c>
      <c r="F48" s="31" t="n">
        <f aca="false">F47*(1-tax)</f>
        <v>-1594.362</v>
      </c>
      <c r="G48" s="31" t="n">
        <f aca="false">G47*(1-tax)</f>
        <v>-146.14985</v>
      </c>
      <c r="H48" s="31" t="n">
        <f aca="false">H47*(1-tax)</f>
        <v>160.764835</v>
      </c>
      <c r="I48" s="31" t="n">
        <f aca="false">I47*(1-tax)</f>
        <v>353.682637</v>
      </c>
    </row>
    <row r="49" customFormat="false" ht="15" hidden="false" customHeight="false" outlineLevel="0" collapsed="false">
      <c r="B49" s="6" t="s">
        <v>291</v>
      </c>
      <c r="D49" s="31" t="n">
        <f aca="false">D46*da_pct</f>
        <v>739.2</v>
      </c>
      <c r="E49" s="31" t="n">
        <f aca="false">E46*da_pct</f>
        <v>628.32</v>
      </c>
      <c r="F49" s="31" t="n">
        <f aca="false">F46*da_pct</f>
        <v>439.824</v>
      </c>
      <c r="G49" s="31" t="n">
        <f aca="false">G46*da_pct</f>
        <v>483.8064</v>
      </c>
      <c r="H49" s="31" t="n">
        <f aca="false">H46*da_pct</f>
        <v>532.18704</v>
      </c>
      <c r="I49" s="31" t="n">
        <f aca="false">I46*da_pct</f>
        <v>585.405744</v>
      </c>
    </row>
    <row r="50" customFormat="false" ht="15" hidden="false" customHeight="false" outlineLevel="0" collapsed="false">
      <c r="B50" s="6" t="s">
        <v>292</v>
      </c>
      <c r="D50" s="31" t="n">
        <f aca="false">-D46*capex_pct</f>
        <v>-739.2</v>
      </c>
      <c r="E50" s="31" t="n">
        <f aca="false">-E46*capex_pct</f>
        <v>-628.32</v>
      </c>
      <c r="F50" s="31" t="n">
        <f aca="false">-F46*capex_pct</f>
        <v>-439.824</v>
      </c>
      <c r="G50" s="31" t="n">
        <f aca="false">-G46*capex_pct</f>
        <v>-483.8064</v>
      </c>
      <c r="H50" s="31" t="n">
        <f aca="false">-H46*capex_pct</f>
        <v>-532.18704</v>
      </c>
      <c r="I50" s="31" t="n">
        <f aca="false">-I46*capex_pct</f>
        <v>-585.405744</v>
      </c>
    </row>
    <row r="51" customFormat="false" ht="15" hidden="false" customHeight="false" outlineLevel="0" collapsed="false">
      <c r="B51" s="6" t="s">
        <v>293</v>
      </c>
      <c r="D51" s="31" t="n">
        <f aca="false">-(D46-tgt_rev)*nwc_pct</f>
        <v>-56.0000000000001</v>
      </c>
      <c r="E51" s="31" t="n">
        <f aca="false">-(E46-D46)*nwc_pct</f>
        <v>92.4</v>
      </c>
      <c r="F51" s="31" t="n">
        <f aca="false">-(F46-E46)*nwc_pct</f>
        <v>157.08</v>
      </c>
      <c r="G51" s="31" t="n">
        <f aca="false">-(G46-F46)*nwc_pct</f>
        <v>-36.652</v>
      </c>
      <c r="H51" s="31" t="n">
        <f aca="false">-(H46-G46)*nwc_pct</f>
        <v>-40.3172</v>
      </c>
      <c r="I51" s="31" t="n">
        <f aca="false">-(I46-H46)*nwc_pct</f>
        <v>-44.3489200000001</v>
      </c>
    </row>
    <row r="52" customFormat="false" ht="15" hidden="false" customHeight="false" outlineLevel="0" collapsed="false">
      <c r="B52" s="30" t="s">
        <v>294</v>
      </c>
      <c r="D52" s="49" t="n">
        <f aca="false">SUM(D48:D51)</f>
        <v>613.9</v>
      </c>
      <c r="E52" s="49" t="n">
        <f aca="false">SUM(E48:E51)</f>
        <v>-1426.04</v>
      </c>
      <c r="F52" s="49" t="n">
        <f aca="false">SUM(F48:F51)</f>
        <v>-1437.282</v>
      </c>
      <c r="G52" s="49" t="n">
        <f aca="false">SUM(G48:G51)</f>
        <v>-182.80185</v>
      </c>
      <c r="H52" s="49" t="n">
        <f aca="false">SUM(H48:H51)</f>
        <v>120.447635</v>
      </c>
      <c r="I52" s="49" t="n">
        <f aca="false">SUM(I48:I51)</f>
        <v>309.333717</v>
      </c>
      <c r="J52" s="17" t="s">
        <v>295</v>
      </c>
    </row>
    <row r="53" customFormat="false" ht="15" hidden="false" customHeight="false" outlineLevel="0" collapsed="false">
      <c r="B53" s="6" t="s">
        <v>296</v>
      </c>
      <c r="D53" s="50" t="n">
        <f aca="false">1/(1+wacc)^D$5</f>
        <v>0.934750664607723</v>
      </c>
      <c r="E53" s="50" t="n">
        <f aca="false">1/(1+wacc)^E$5</f>
        <v>0.873758804984579</v>
      </c>
      <c r="F53" s="50" t="n">
        <f aca="false">1/(1+wacc)^F$5</f>
        <v>0.816746623666185</v>
      </c>
      <c r="G53" s="50" t="n">
        <f aca="false">1/(1+wacc)^G$5</f>
        <v>0.76345444928808</v>
      </c>
      <c r="H53" s="50" t="n">
        <f aca="false">1/(1+wacc)^H$5</f>
        <v>0.713639553869755</v>
      </c>
      <c r="I53" s="50" t="n">
        <f aca="false">1/(1+wacc)^I$5</f>
        <v>0.667075047270112</v>
      </c>
    </row>
    <row r="54" customFormat="false" ht="15" hidden="false" customHeight="false" outlineLevel="0" collapsed="false">
      <c r="B54" s="6" t="s">
        <v>297</v>
      </c>
      <c r="D54" s="31" t="n">
        <f aca="false">D52*D53</f>
        <v>573.843433002681</v>
      </c>
      <c r="E54" s="31" t="n">
        <f aca="false">E52*E53</f>
        <v>-1246.01500626021</v>
      </c>
      <c r="F54" s="31" t="n">
        <f aca="false">F52*F53</f>
        <v>-1173.89522075618</v>
      </c>
      <c r="G54" s="31" t="n">
        <f aca="false">G52*G53</f>
        <v>-139.560885720592</v>
      </c>
      <c r="H54" s="31" t="n">
        <f aca="false">H52*H53</f>
        <v>85.9561965060671</v>
      </c>
      <c r="I54" s="31" t="n">
        <f aca="false">I52*I53</f>
        <v>206.348803890015</v>
      </c>
    </row>
    <row r="55" customFormat="false" ht="15" hidden="false" customHeight="false" outlineLevel="0" collapsed="false">
      <c r="B55" s="30" t="s">
        <v>298</v>
      </c>
      <c r="D55" s="7" t="n">
        <f aca="false">(D47*fx_earn/1000+m_amort+m_stepdep+m_int+m_forg)*(1-tax)</f>
        <v>228.315591428572</v>
      </c>
      <c r="E55" s="7" t="n">
        <f aca="false">(E47*fx_earn/1000+m_amort+m_stepdep+m_int+m_forg)*(1-tax)</f>
        <v>-2263.43774957143</v>
      </c>
      <c r="F55" s="7" t="n">
        <f aca="false">(F47*fx_earn/1000+m_amort+m_stepdep+m_int+m_forg)*(1-tax)</f>
        <v>-2349.88633487143</v>
      </c>
      <c r="G55" s="7" t="n">
        <f aca="false">(G47*fx_earn/1000+m_amort+m_stepdep+m_int+m_forg)*(1-tax)</f>
        <v>-700.879570273929</v>
      </c>
      <c r="H55" s="7" t="n">
        <f aca="false">(H47*fx_earn/1000+m_amort+m_stepdep+m_int+m_forg)*(1-tax)</f>
        <v>-351.411164198679</v>
      </c>
      <c r="I55" s="7" t="n">
        <f aca="false">(I47*fx_earn/1000+m_amort+m_stepdep+m_int+m_forg)*(1-tax)</f>
        <v>-131.745308951378</v>
      </c>
      <c r="J55" s="17" t="s">
        <v>299</v>
      </c>
    </row>
    <row r="56" customFormat="false" ht="15" hidden="false" customHeight="false" outlineLevel="0" collapsed="false">
      <c r="B56" s="6" t="s">
        <v>300</v>
      </c>
      <c r="D56" s="37" t="n">
        <f aca="false">D55/buyer_ni</f>
        <v>0.0479654603841537</v>
      </c>
      <c r="E56" s="37" t="n">
        <f aca="false">E55/buyer_ni</f>
        <v>-0.475512132262905</v>
      </c>
      <c r="F56" s="37" t="n">
        <f aca="false">F55/buyer_ni</f>
        <v>-0.493673599762905</v>
      </c>
      <c r="G56" s="37" t="n">
        <f aca="false">G55/buyer_ni</f>
        <v>-0.147243607200405</v>
      </c>
      <c r="H56" s="37" t="n">
        <f aca="false">H55/buyer_ni</f>
        <v>-0.0738258748316552</v>
      </c>
      <c r="I56" s="37" t="n">
        <f aca="false">I55/buyer_ni</f>
        <v>-0.0276775859141551</v>
      </c>
    </row>
    <row r="57" customFormat="false" ht="15" hidden="false" customHeight="false" outlineLevel="0" collapsed="false">
      <c r="B57" s="6" t="s">
        <v>301</v>
      </c>
      <c r="D57" s="37" t="n">
        <f aca="false">D48/price_usd</f>
        <v>0.0744333333333333</v>
      </c>
      <c r="E57" s="37" t="n">
        <f aca="false">E48/price_usd</f>
        <v>-0.168715555555556</v>
      </c>
      <c r="F57" s="37" t="n">
        <f aca="false">F48/price_usd</f>
        <v>-0.177151333333333</v>
      </c>
      <c r="G57" s="37" t="n">
        <f aca="false">G48/price_usd</f>
        <v>-0.0162388722222222</v>
      </c>
      <c r="H57" s="37" t="n">
        <f aca="false">H48/price_usd</f>
        <v>0.0178627594444445</v>
      </c>
      <c r="I57" s="37" t="n">
        <f aca="false">I48/price_usd</f>
        <v>0.0392980707777778</v>
      </c>
    </row>
    <row r="58" customFormat="false" ht="15" hidden="false" customHeight="false" outlineLevel="0" collapsed="false">
      <c r="B58" s="6" t="s">
        <v>302</v>
      </c>
      <c r="C58" s="26" t="n">
        <v>0.1</v>
      </c>
      <c r="H58" s="31" t="n">
        <f aca="false">I46*(1+tg)*C58*(1-tax)-I46*tg*nwc_pct</f>
        <v>350.99952734</v>
      </c>
      <c r="I58" s="31" t="n">
        <f aca="false">H58/(wacc-tg)*I53</f>
        <v>4701.28958099987</v>
      </c>
      <c r="J58" s="17" t="s">
        <v>303</v>
      </c>
    </row>
    <row r="59" customFormat="false" ht="15" hidden="false" customHeight="false" outlineLevel="0" collapsed="false">
      <c r="B59" s="30" t="s">
        <v>304</v>
      </c>
      <c r="I59" s="33" t="n">
        <f aca="false">SUM(D54:I54)+I58</f>
        <v>3007.96690166165</v>
      </c>
    </row>
    <row r="61" customFormat="false" ht="15" hidden="false" customHeight="false" outlineLevel="0" collapsed="false">
      <c r="B61" s="5" t="s">
        <v>307</v>
      </c>
      <c r="C61" s="4"/>
      <c r="D61" s="4"/>
      <c r="E61" s="4"/>
      <c r="F61" s="4"/>
      <c r="G61" s="4"/>
      <c r="H61" s="4"/>
      <c r="I61" s="4"/>
      <c r="J61" s="4"/>
    </row>
    <row r="62" customFormat="false" ht="15" hidden="false" customHeight="false" outlineLevel="0" collapsed="false">
      <c r="B62" s="6" t="s">
        <v>109</v>
      </c>
      <c r="D62" s="31" t="n">
        <f aca="false">CHOOSE(scen,D10,D28,D46)</f>
        <v>6048</v>
      </c>
      <c r="E62" s="31" t="n">
        <f aca="false">CHOOSE(scen,E10,E28,E46)</f>
        <v>6350.4</v>
      </c>
      <c r="F62" s="31" t="n">
        <f aca="false">CHOOSE(scen,F10,F28,F46)</f>
        <v>6667.92</v>
      </c>
      <c r="G62" s="31" t="n">
        <f aca="false">CHOOSE(scen,G10,G28,G46)</f>
        <v>7001.316</v>
      </c>
      <c r="H62" s="31" t="n">
        <f aca="false">CHOOSE(scen,H10,H28,H46)</f>
        <v>7351.3818</v>
      </c>
      <c r="I62" s="31" t="n">
        <f aca="false">CHOOSE(scen,I10,I28,I46)</f>
        <v>7718.95089</v>
      </c>
    </row>
    <row r="63" customFormat="false" ht="15" hidden="false" customHeight="false" outlineLevel="0" collapsed="false">
      <c r="B63" s="6" t="s">
        <v>289</v>
      </c>
      <c r="D63" s="31" t="n">
        <f aca="false">CHOOSE(scen,D11,D29,D47)</f>
        <v>1088.64</v>
      </c>
      <c r="E63" s="31" t="n">
        <f aca="false">CHOOSE(scen,E11,E29,E47)</f>
        <v>952.56</v>
      </c>
      <c r="F63" s="31" t="n">
        <f aca="false">CHOOSE(scen,F11,F29,F47)</f>
        <v>1000.188</v>
      </c>
      <c r="G63" s="31" t="n">
        <f aca="false">CHOOSE(scen,G11,G29,G47)</f>
        <v>1050.1974</v>
      </c>
      <c r="H63" s="31" t="n">
        <f aca="false">CHOOSE(scen,H11,H29,H47)</f>
        <v>1102.70727</v>
      </c>
      <c r="I63" s="31" t="n">
        <f aca="false">CHOOSE(scen,I11,I29,I47)</f>
        <v>1157.8426335</v>
      </c>
    </row>
    <row r="64" customFormat="false" ht="15" hidden="false" customHeight="false" outlineLevel="0" collapsed="false">
      <c r="B64" s="6" t="s">
        <v>294</v>
      </c>
      <c r="D64" s="31" t="n">
        <f aca="false">CHOOSE(scen,D16,D34,D52)</f>
        <v>744.464</v>
      </c>
      <c r="E64" s="31" t="n">
        <f aca="false">CHOOSE(scen,E16,E34,E52)</f>
        <v>660.366</v>
      </c>
      <c r="F64" s="31" t="n">
        <f aca="false">CHOOSE(scen,F16,F34,F52)</f>
        <v>693.3843</v>
      </c>
      <c r="G64" s="31" t="n">
        <f aca="false">CHOOSE(scen,G16,G34,G52)</f>
        <v>728.053515</v>
      </c>
      <c r="H64" s="31" t="n">
        <f aca="false">CHOOSE(scen,H16,H34,H52)</f>
        <v>764.45619075</v>
      </c>
      <c r="I64" s="31" t="n">
        <f aca="false">CHOOSE(scen,I16,I34,I52)</f>
        <v>802.6790002875</v>
      </c>
    </row>
    <row r="65" customFormat="false" ht="15" hidden="false" customHeight="false" outlineLevel="0" collapsed="false">
      <c r="B65" s="6" t="s">
        <v>308</v>
      </c>
      <c r="D65" s="31" t="n">
        <f aca="false">CHOOSE(scen,D19,D37,D55)</f>
        <v>364.229410028571</v>
      </c>
      <c r="E65" s="31" t="n">
        <f aca="false">CHOOSE(scen,E19,E37,E55)</f>
        <v>251.892478328571</v>
      </c>
      <c r="F65" s="31" t="n">
        <f aca="false">CHOOSE(scen,F19,F37,F55)</f>
        <v>291.210404423572</v>
      </c>
      <c r="G65" s="31" t="n">
        <f aca="false">CHOOSE(scen,G19,G37,G55)</f>
        <v>332.494226823322</v>
      </c>
      <c r="H65" s="31" t="n">
        <f aca="false">CHOOSE(scen,H19,H37,H55)</f>
        <v>375.842240343059</v>
      </c>
      <c r="I65" s="31" t="n">
        <f aca="false">CHOOSE(scen,I19,I37,I55)</f>
        <v>421.357654538784</v>
      </c>
    </row>
    <row r="66" customFormat="false" ht="15" hidden="false" customHeight="false" outlineLevel="0" collapsed="false">
      <c r="B66" s="6" t="s">
        <v>309</v>
      </c>
      <c r="D66" s="37" t="n">
        <f aca="false">CHOOSE(scen,D21,D39,D57)</f>
        <v>0.087696</v>
      </c>
      <c r="E66" s="37" t="n">
        <f aca="false">CHOOSE(scen,E21,E39,E57)</f>
        <v>0.076734</v>
      </c>
      <c r="F66" s="37" t="n">
        <f aca="false">CHOOSE(scen,F21,F39,F57)</f>
        <v>0.0805707</v>
      </c>
      <c r="G66" s="37" t="n">
        <f aca="false">CHOOSE(scen,G21,G39,G57)</f>
        <v>0.084599235</v>
      </c>
      <c r="H66" s="37" t="n">
        <f aca="false">CHOOSE(scen,H21,H39,H57)</f>
        <v>0.08882919675</v>
      </c>
      <c r="I66" s="37" t="n">
        <f aca="false">CHOOSE(scen,I21,I39,I57)</f>
        <v>0.0932706565875</v>
      </c>
    </row>
    <row r="67" customFormat="false" ht="15" hidden="false" customHeight="false" outlineLevel="0" collapsed="false">
      <c r="B67" s="30" t="s">
        <v>310</v>
      </c>
      <c r="E67" s="7" t="n">
        <f aca="false">Post_Mortem!C5</f>
        <v>-3300</v>
      </c>
      <c r="F67" s="7" t="n">
        <f aca="false">Post_Mortem!C6</f>
        <v>-4000</v>
      </c>
      <c r="H67" s="7" t="n">
        <f aca="false">Post_Mortem!C8</f>
        <v>1392</v>
      </c>
      <c r="I67" s="7" t="n">
        <f aca="false">Post_Mortem!C9*2</f>
        <v>11680</v>
      </c>
      <c r="J67" s="17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6" min="3" style="1" width="13"/>
    <col collapsed="false" customWidth="true" hidden="false" outlineLevel="0" max="8" min="7" style="1" width="11"/>
    <col collapsed="false" customWidth="true" hidden="false" outlineLevel="0" max="9" min="9" style="1" width="70"/>
  </cols>
  <sheetData>
    <row r="1" customFormat="false" ht="16.15" hidden="false" customHeight="false" outlineLevel="0" collapsed="false">
      <c r="B1" s="2" t="s">
        <v>312</v>
      </c>
    </row>
    <row r="2" customFormat="false" ht="15" hidden="false" customHeight="false" outlineLevel="0" collapsed="false">
      <c r="B2" s="3" t="s">
        <v>313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314</v>
      </c>
      <c r="C4" s="4"/>
      <c r="D4" s="4"/>
      <c r="E4" s="4"/>
      <c r="F4" s="4"/>
    </row>
    <row r="5" customFormat="false" ht="15" hidden="false" customHeight="false" outlineLevel="0" collapsed="false">
      <c r="B5" s="6" t="s">
        <v>315</v>
      </c>
      <c r="C5" s="35" t="n">
        <f aca="false">rf_usd+beta*erp+crp</f>
        <v>0.0845</v>
      </c>
    </row>
    <row r="6" customFormat="false" ht="15" hidden="false" customHeight="false" outlineLevel="0" collapsed="false">
      <c r="B6" s="6" t="s">
        <v>273</v>
      </c>
      <c r="C6" s="35" t="n">
        <f aca="false">kd_usd*(1-tax)</f>
        <v>0.01102</v>
      </c>
    </row>
    <row r="7" customFormat="false" ht="15" hidden="false" customHeight="false" outlineLevel="0" collapsed="false">
      <c r="B7" s="30" t="s">
        <v>316</v>
      </c>
      <c r="C7" s="35" t="n">
        <f aca="false">(1-wd)*ke+wd*kd_at</f>
        <v>0.069804</v>
      </c>
    </row>
    <row r="9" customFormat="false" ht="15" hidden="false" customHeight="false" outlineLevel="0" collapsed="false">
      <c r="B9" s="5" t="s">
        <v>317</v>
      </c>
      <c r="C9" s="4"/>
      <c r="D9" s="4"/>
      <c r="E9" s="4"/>
      <c r="F9" s="4"/>
    </row>
    <row r="10" customFormat="false" ht="22.35" hidden="false" customHeight="false" outlineLevel="0" collapsed="false">
      <c r="B10" s="12"/>
      <c r="C10" s="13" t="s">
        <v>318</v>
      </c>
      <c r="D10" s="13" t="s">
        <v>319</v>
      </c>
      <c r="E10" s="13" t="s">
        <v>320</v>
      </c>
      <c r="F10" s="13" t="s">
        <v>321</v>
      </c>
    </row>
    <row r="11" customFormat="false" ht="15" hidden="false" customHeight="false" outlineLevel="0" collapsed="false">
      <c r="B11" s="6" t="s">
        <v>322</v>
      </c>
      <c r="C11" s="7" t="n">
        <f aca="false">sc_ev1</f>
        <v>32647.2261975909</v>
      </c>
      <c r="D11" s="7" t="n">
        <f aca="false">sc_ev2</f>
        <v>14737.5390975364</v>
      </c>
      <c r="E11" s="7" t="n">
        <f aca="false">sc_ev3</f>
        <v>3007.96690166165</v>
      </c>
      <c r="F11" s="31" t="n">
        <f aca="false">SUMPRODUCT(C11:E11,C15:E15)</f>
        <v>16282.5678235814</v>
      </c>
    </row>
    <row r="12" customFormat="false" ht="15" hidden="false" customHeight="false" outlineLevel="0" collapsed="false">
      <c r="B12" s="6" t="s">
        <v>323</v>
      </c>
      <c r="C12" s="7" t="n">
        <f aca="false">ds_pv_price</f>
        <v>8652.29668386763</v>
      </c>
      <c r="D12" s="7" t="n">
        <f aca="false">ds_pv_price</f>
        <v>8652.29668386763</v>
      </c>
      <c r="E12" s="7" t="n">
        <f aca="false">ds_pv_price</f>
        <v>8652.29668386763</v>
      </c>
      <c r="F12" s="7" t="n">
        <f aca="false">ds_pv_price</f>
        <v>8652.29668386763</v>
      </c>
    </row>
    <row r="13" customFormat="false" ht="15" hidden="false" customHeight="false" outlineLevel="0" collapsed="false">
      <c r="B13" s="30" t="s">
        <v>324</v>
      </c>
      <c r="C13" s="49" t="n">
        <f aca="false">C11-C12</f>
        <v>23994.9295137233</v>
      </c>
      <c r="D13" s="49" t="n">
        <f aca="false">D11-D12</f>
        <v>6085.24241366882</v>
      </c>
      <c r="E13" s="49" t="n">
        <f aca="false">E11-E12</f>
        <v>-5644.32978220598</v>
      </c>
      <c r="F13" s="49" t="n">
        <f aca="false">F11-F12</f>
        <v>7630.27113971373</v>
      </c>
    </row>
    <row r="14" customFormat="false" ht="15" hidden="false" customHeight="false" outlineLevel="0" collapsed="false">
      <c r="B14" s="6" t="s">
        <v>325</v>
      </c>
      <c r="C14" s="37" t="n">
        <f aca="false">C13/C12</f>
        <v>2.77324395942898</v>
      </c>
      <c r="D14" s="37" t="n">
        <f aca="false">D13/D12</f>
        <v>0.703309495271338</v>
      </c>
      <c r="E14" s="37" t="n">
        <f aca="false">E13/E12</f>
        <v>-0.652350466984094</v>
      </c>
      <c r="F14" s="37" t="n">
        <f aca="false">F13/F12</f>
        <v>0.88187812074689</v>
      </c>
    </row>
    <row r="15" customFormat="false" ht="15" hidden="false" customHeight="false" outlineLevel="0" collapsed="false">
      <c r="B15" s="6" t="s">
        <v>326</v>
      </c>
      <c r="C15" s="9" t="n">
        <f aca="false">p_bull</f>
        <v>0.25</v>
      </c>
      <c r="D15" s="9" t="n">
        <f aca="false">p_base</f>
        <v>0.5</v>
      </c>
      <c r="E15" s="9" t="n">
        <f aca="false">p_bear</f>
        <v>0.25</v>
      </c>
    </row>
    <row r="16" customFormat="false" ht="15" hidden="false" customHeight="false" outlineLevel="0" collapsed="false">
      <c r="B16" s="30" t="s">
        <v>327</v>
      </c>
      <c r="C16" s="49" t="n">
        <f aca="false">CHOOSE(scen,C13,D13,E13)</f>
        <v>6085.24241366882</v>
      </c>
    </row>
    <row r="18" customFormat="false" ht="15" hidden="false" customHeight="false" outlineLevel="0" collapsed="false">
      <c r="B18" s="5" t="s">
        <v>328</v>
      </c>
      <c r="C18" s="4"/>
      <c r="D18" s="4"/>
      <c r="E18" s="4"/>
      <c r="F18" s="4"/>
    </row>
    <row r="19" customFormat="false" ht="15" hidden="false" customHeight="false" outlineLevel="0" collapsed="false">
      <c r="B19" s="12"/>
      <c r="C19" s="13" t="s">
        <v>329</v>
      </c>
      <c r="D19" s="13" t="s">
        <v>330</v>
      </c>
      <c r="E19" s="13" t="s">
        <v>331</v>
      </c>
    </row>
    <row r="20" customFormat="false" ht="15" hidden="false" customHeight="false" outlineLevel="0" collapsed="false">
      <c r="B20" s="6" t="s">
        <v>332</v>
      </c>
      <c r="C20" s="35" t="n">
        <f aca="false">wacc+(-0.01)</f>
        <v>0.059804</v>
      </c>
      <c r="D20" s="35" t="n">
        <f aca="false">wacc+(0)</f>
        <v>0.069804</v>
      </c>
      <c r="E20" s="35" t="n">
        <f aca="false">wacc+(0.01)</f>
        <v>0.079804</v>
      </c>
    </row>
    <row r="21" customFormat="false" ht="15" hidden="false" customHeight="false" outlineLevel="0" collapsed="false">
      <c r="B21" s="6" t="s">
        <v>333</v>
      </c>
      <c r="C21" s="31" t="n">
        <f aca="false">SUMPRODUCT(Scenarios!$D$64:$I$64/(1+C20)^Scenarios!$D$5:$I$5)+CHOOSE(scen,sc_tfcf1,sc_tfcf2,sc_tfcf3)/(C20-tg)/(1+C20)^Scenarios!$I$5</f>
        <v>18495.8039871245</v>
      </c>
      <c r="D21" s="31" t="n">
        <f aca="false">SUMPRODUCT(Scenarios!$D$64:$I$64/(1+D20)^Scenarios!$D$5:$I$5)+CHOOSE(scen,sc_tfcf1,sc_tfcf2,sc_tfcf3)/(D20-tg)/(1+D20)^Scenarios!$I$5</f>
        <v>14737.5390975364</v>
      </c>
      <c r="E21" s="31" t="n">
        <f aca="false">SUMPRODUCT(Scenarios!$D$64:$I$64/(1+E20)^Scenarios!$D$5:$I$5)+CHOOSE(scen,sc_tfcf1,sc_tfcf2,sc_tfcf3)/(E20-tg)/(1+E20)^Scenarios!$I$5</f>
        <v>12238.422513984</v>
      </c>
    </row>
    <row r="22" customFormat="false" ht="15" hidden="false" customHeight="false" outlineLevel="0" collapsed="false">
      <c r="B22" s="6" t="s">
        <v>334</v>
      </c>
      <c r="C22" s="31" t="n">
        <f aca="false">C21-ds_pv_price</f>
        <v>9843.50730325685</v>
      </c>
      <c r="D22" s="31" t="n">
        <f aca="false">D21-ds_pv_price</f>
        <v>6085.24241366882</v>
      </c>
      <c r="E22" s="31" t="n">
        <f aca="false">E21-ds_pv_price</f>
        <v>3586.12583011637</v>
      </c>
    </row>
    <row r="24" customFormat="false" ht="15" hidden="false" customHeight="false" outlineLevel="0" collapsed="false">
      <c r="B24" s="5" t="s">
        <v>335</v>
      </c>
      <c r="C24" s="4"/>
      <c r="D24" s="4"/>
      <c r="E24" s="4"/>
      <c r="F24" s="4"/>
    </row>
    <row r="25" customFormat="false" ht="15" hidden="false" customHeight="false" outlineLevel="0" collapsed="false">
      <c r="B25" s="46" t="s">
        <v>284</v>
      </c>
      <c r="C25" s="46" t="n">
        <v>2021</v>
      </c>
      <c r="D25" s="46" t="n">
        <v>2022</v>
      </c>
      <c r="E25" s="46" t="n">
        <v>2023</v>
      </c>
      <c r="F25" s="46" t="n">
        <v>2024</v>
      </c>
      <c r="G25" s="46" t="n">
        <v>2025</v>
      </c>
      <c r="H25" s="46" t="n">
        <v>2026</v>
      </c>
    </row>
    <row r="26" customFormat="false" ht="15" hidden="false" customHeight="false" outlineLevel="0" collapsed="false">
      <c r="B26" s="6" t="s">
        <v>301</v>
      </c>
      <c r="C26" s="9" t="n">
        <f aca="false">Scenarios!D66</f>
        <v>0.087696</v>
      </c>
      <c r="D26" s="9" t="n">
        <f aca="false">Scenarios!E66</f>
        <v>0.076734</v>
      </c>
      <c r="E26" s="9" t="n">
        <f aca="false">Scenarios!F66</f>
        <v>0.0805707</v>
      </c>
      <c r="F26" s="9" t="n">
        <f aca="false">Scenarios!G66</f>
        <v>0.084599235</v>
      </c>
      <c r="G26" s="9" t="n">
        <f aca="false">Scenarios!H66</f>
        <v>0.08882919675</v>
      </c>
      <c r="H26" s="9" t="n">
        <f aca="false">Scenarios!I66</f>
        <v>0.0932706565875</v>
      </c>
    </row>
    <row r="27" customFormat="false" ht="15" hidden="false" customHeight="false" outlineLevel="0" collapsed="false">
      <c r="B27" s="6" t="s">
        <v>316</v>
      </c>
      <c r="C27" s="9" t="n">
        <f aca="false">wacc</f>
        <v>0.069804</v>
      </c>
      <c r="D27" s="9" t="n">
        <f aca="false">wacc</f>
        <v>0.069804</v>
      </c>
      <c r="E27" s="9" t="n">
        <f aca="false">wacc</f>
        <v>0.069804</v>
      </c>
      <c r="F27" s="9" t="n">
        <f aca="false">wacc</f>
        <v>0.069804</v>
      </c>
      <c r="G27" s="9" t="n">
        <f aca="false">wacc</f>
        <v>0.069804</v>
      </c>
      <c r="H27" s="9" t="n">
        <f aca="false">wacc</f>
        <v>0.069804</v>
      </c>
    </row>
    <row r="28" customFormat="false" ht="15" hidden="false" customHeight="false" outlineLevel="0" collapsed="false">
      <c r="B28" s="30" t="s">
        <v>336</v>
      </c>
      <c r="C28" s="51" t="n">
        <f aca="false">C26-C27</f>
        <v>0.017892</v>
      </c>
      <c r="D28" s="51" t="n">
        <f aca="false">D26-D27</f>
        <v>0.00692999999999998</v>
      </c>
      <c r="E28" s="51" t="n">
        <f aca="false">E26-E27</f>
        <v>0.0107667</v>
      </c>
      <c r="F28" s="51" t="n">
        <f aca="false">F26-F27</f>
        <v>0.014795235</v>
      </c>
      <c r="G28" s="51" t="n">
        <f aca="false">G26-G27</f>
        <v>0.01902519675</v>
      </c>
      <c r="H28" s="51" t="n">
        <f aca="false">H26-H27</f>
        <v>0.0234666565875</v>
      </c>
    </row>
    <row r="30" customFormat="false" ht="15" hidden="false" customHeight="false" outlineLevel="0" collapsed="false">
      <c r="B30" s="5" t="s">
        <v>337</v>
      </c>
      <c r="C30" s="4"/>
      <c r="D30" s="4"/>
      <c r="E30" s="4"/>
      <c r="F30" s="4"/>
    </row>
    <row r="31" customFormat="false" ht="15" hidden="false" customHeight="false" outlineLevel="0" collapsed="false">
      <c r="B31" s="12" t="s">
        <v>338</v>
      </c>
      <c r="C31" s="13" t="s">
        <v>339</v>
      </c>
      <c r="D31" s="13" t="s">
        <v>115</v>
      </c>
    </row>
    <row r="32" customFormat="false" ht="15" hidden="false" customHeight="false" outlineLevel="0" collapsed="false">
      <c r="B32" s="6" t="s">
        <v>85</v>
      </c>
      <c r="C32" s="52" t="n">
        <f aca="false">c1_date</f>
        <v>44559</v>
      </c>
      <c r="D32" s="7" t="n">
        <f aca="false">-FX_Hedge!K5</f>
        <v>-8298.57</v>
      </c>
      <c r="I32" s="17" t="s">
        <v>340</v>
      </c>
    </row>
    <row r="33" customFormat="false" ht="15" hidden="false" customHeight="false" outlineLevel="0" collapsed="false">
      <c r="B33" s="6" t="s">
        <v>87</v>
      </c>
      <c r="C33" s="52" t="n">
        <f aca="false">c2_date</f>
        <v>45743</v>
      </c>
      <c r="D33" s="7" t="n">
        <f aca="false">-FX_Hedge!K6</f>
        <v>-2781.41</v>
      </c>
    </row>
    <row r="34" customFormat="false" ht="15" hidden="false" customHeight="false" outlineLevel="0" collapsed="false">
      <c r="B34" s="6" t="s">
        <v>341</v>
      </c>
      <c r="C34" s="52" t="n">
        <f aca="false">val_date</f>
        <v>46313</v>
      </c>
      <c r="D34" s="7" t="n">
        <f aca="false">val_krw</f>
        <v>50000</v>
      </c>
    </row>
    <row r="35" customFormat="false" ht="15" hidden="false" customHeight="false" outlineLevel="0" collapsed="false">
      <c r="B35" s="30" t="s">
        <v>342</v>
      </c>
      <c r="D35" s="51" t="n">
        <f aca="false">XIRR(D32:D34,C32:C34)</f>
        <v>0.422782458054712</v>
      </c>
    </row>
    <row r="36" customFormat="false" ht="15" hidden="false" customHeight="false" outlineLevel="0" collapsed="false">
      <c r="B36" s="6" t="s">
        <v>343</v>
      </c>
      <c r="D36" s="36" t="n">
        <f aca="false">D34/-(D32+D33)</f>
        <v>4.5126435246273</v>
      </c>
    </row>
    <row r="38" customFormat="false" ht="15" hidden="false" customHeight="false" outlineLevel="0" collapsed="false">
      <c r="B38" s="5" t="s">
        <v>344</v>
      </c>
      <c r="C38" s="4"/>
      <c r="D38" s="4"/>
      <c r="E38" s="4"/>
      <c r="F38" s="4"/>
    </row>
    <row r="39" customFormat="false" ht="15" hidden="false" customHeight="false" outlineLevel="0" collapsed="false">
      <c r="B39" s="46" t="s">
        <v>345</v>
      </c>
      <c r="C39" s="53" t="n">
        <v>15000</v>
      </c>
      <c r="D39" s="53" t="n">
        <v>25000</v>
      </c>
      <c r="E39" s="53" t="n">
        <v>35000</v>
      </c>
      <c r="F39" s="53" t="n">
        <v>50000</v>
      </c>
    </row>
    <row r="40" customFormat="false" ht="15" hidden="false" customHeight="false" outlineLevel="0" collapsed="false">
      <c r="B40" s="6" t="s">
        <v>346</v>
      </c>
      <c r="C40" s="31" t="n">
        <f aca="false">D32</f>
        <v>-8298.57</v>
      </c>
      <c r="D40" s="31" t="n">
        <f aca="false">D32</f>
        <v>-8298.57</v>
      </c>
      <c r="E40" s="31" t="n">
        <f aca="false">D32</f>
        <v>-8298.57</v>
      </c>
      <c r="F40" s="31" t="n">
        <f aca="false">D32</f>
        <v>-8298.57</v>
      </c>
    </row>
    <row r="41" customFormat="false" ht="15" hidden="false" customHeight="false" outlineLevel="0" collapsed="false">
      <c r="B41" s="6" t="s">
        <v>347</v>
      </c>
      <c r="C41" s="31" t="n">
        <f aca="false">D33</f>
        <v>-2781.41</v>
      </c>
      <c r="D41" s="31" t="n">
        <f aca="false">D33</f>
        <v>-2781.41</v>
      </c>
      <c r="E41" s="31" t="n">
        <f aca="false">D33</f>
        <v>-2781.41</v>
      </c>
      <c r="F41" s="31" t="n">
        <f aca="false">D33</f>
        <v>-2781.41</v>
      </c>
    </row>
    <row r="42" customFormat="false" ht="15" hidden="false" customHeight="false" outlineLevel="0" collapsed="false">
      <c r="B42" s="6" t="s">
        <v>348</v>
      </c>
      <c r="C42" s="31" t="n">
        <f aca="false">C39</f>
        <v>15000</v>
      </c>
      <c r="D42" s="31" t="n">
        <f aca="false">D39</f>
        <v>25000</v>
      </c>
      <c r="E42" s="31" t="n">
        <f aca="false">E39</f>
        <v>35000</v>
      </c>
      <c r="F42" s="31" t="n">
        <f aca="false">F39</f>
        <v>50000</v>
      </c>
    </row>
    <row r="43" customFormat="false" ht="15" hidden="false" customHeight="false" outlineLevel="0" collapsed="false">
      <c r="B43" s="30" t="s">
        <v>349</v>
      </c>
      <c r="C43" s="51" t="n">
        <f aca="false">XIRR(C40:C42,$C$32:$C$34)</f>
        <v>0.0774236490649015</v>
      </c>
      <c r="D43" s="51" t="n">
        <f aca="false">XIRR(D40:D42,$C$32:$C$34)</f>
        <v>0.215835162950392</v>
      </c>
      <c r="E43" s="51" t="n">
        <f aca="false">XIRR(E40:E42,$C$32:$C$34)</f>
        <v>0.313268067326803</v>
      </c>
      <c r="F43" s="51" t="n">
        <f aca="false">XIRR(F40:F42,$C$32:$C$34)</f>
        <v>0.422782458054712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70"/>
  </cols>
  <sheetData>
    <row r="1" customFormat="false" ht="16.15" hidden="false" customHeight="false" outlineLevel="0" collapsed="false">
      <c r="B1" s="2" t="s">
        <v>350</v>
      </c>
    </row>
    <row r="2" customFormat="false" ht="15" hidden="false" customHeight="false" outlineLevel="0" collapsed="false">
      <c r="B2" s="3" t="s">
        <v>351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352</v>
      </c>
      <c r="C4" s="4"/>
      <c r="D4" s="4"/>
      <c r="E4" s="4"/>
      <c r="F4" s="4"/>
      <c r="G4" s="4"/>
    </row>
    <row r="5" customFormat="false" ht="22.35" hidden="false" customHeight="false" outlineLevel="0" collapsed="false">
      <c r="B5" s="12" t="s">
        <v>353</v>
      </c>
      <c r="C5" s="13" t="s">
        <v>354</v>
      </c>
      <c r="D5" s="13" t="s">
        <v>355</v>
      </c>
      <c r="E5" s="13" t="s">
        <v>356</v>
      </c>
      <c r="F5" s="13" t="s">
        <v>357</v>
      </c>
      <c r="G5" s="13" t="s">
        <v>358</v>
      </c>
    </row>
    <row r="6" customFormat="false" ht="15" hidden="false" customHeight="false" outlineLevel="0" collapsed="false">
      <c r="B6" s="6" t="s">
        <v>359</v>
      </c>
      <c r="C6" s="54" t="s">
        <v>360</v>
      </c>
      <c r="D6" s="55" t="n">
        <v>19</v>
      </c>
      <c r="E6" s="56" t="n">
        <v>5.56</v>
      </c>
      <c r="F6" s="36" t="n">
        <f aca="false">D6/E6</f>
        <v>3.41726618705036</v>
      </c>
      <c r="G6" s="17" t="s">
        <v>361</v>
      </c>
    </row>
    <row r="7" customFormat="false" ht="15" hidden="false" customHeight="false" outlineLevel="0" collapsed="false">
      <c r="B7" s="6" t="s">
        <v>362</v>
      </c>
      <c r="C7" s="54" t="s">
        <v>363</v>
      </c>
      <c r="D7" s="55" t="n">
        <v>18</v>
      </c>
      <c r="E7" s="56" t="n">
        <v>8.1</v>
      </c>
      <c r="F7" s="36" t="n">
        <f aca="false">D7/E7</f>
        <v>2.22222222222222</v>
      </c>
      <c r="G7" s="17" t="s">
        <v>364</v>
      </c>
    </row>
    <row r="8" customFormat="false" ht="15" hidden="false" customHeight="false" outlineLevel="0" collapsed="false">
      <c r="B8" s="6" t="s">
        <v>365</v>
      </c>
      <c r="C8" s="54" t="s">
        <v>366</v>
      </c>
      <c r="D8" s="14" t="n">
        <f aca="false">price_usd/1000</f>
        <v>9</v>
      </c>
      <c r="E8" s="57" t="n">
        <f aca="false">tgt_rev/1000</f>
        <v>5.6</v>
      </c>
      <c r="F8" s="36" t="n">
        <f aca="false">D8/E8</f>
        <v>1.60714285714286</v>
      </c>
      <c r="G8" s="17" t="s">
        <v>367</v>
      </c>
    </row>
    <row r="10" customFormat="false" ht="15" hidden="false" customHeight="false" outlineLevel="0" collapsed="false">
      <c r="B10" s="5" t="s">
        <v>368</v>
      </c>
      <c r="C10" s="4"/>
      <c r="D10" s="4"/>
      <c r="E10" s="4"/>
      <c r="F10" s="4"/>
      <c r="G10" s="4"/>
    </row>
    <row r="11" customFormat="false" ht="22.35" hidden="false" customHeight="false" outlineLevel="0" collapsed="false">
      <c r="B11" s="12" t="s">
        <v>369</v>
      </c>
      <c r="C11" s="13" t="s">
        <v>339</v>
      </c>
      <c r="D11" s="13" t="s">
        <v>370</v>
      </c>
      <c r="E11" s="13" t="s">
        <v>356</v>
      </c>
      <c r="F11" s="13" t="s">
        <v>279</v>
      </c>
      <c r="G11" s="13" t="s">
        <v>192</v>
      </c>
    </row>
    <row r="12" customFormat="false" ht="15" hidden="false" customHeight="false" outlineLevel="0" collapsed="false">
      <c r="B12" s="6" t="s">
        <v>371</v>
      </c>
      <c r="C12" s="54" t="s">
        <v>366</v>
      </c>
      <c r="D12" s="55" t="n">
        <v>54</v>
      </c>
      <c r="E12" s="55" t="n">
        <v>21.4</v>
      </c>
      <c r="F12" s="36" t="n">
        <f aca="false">D12/E12</f>
        <v>2.52336448598131</v>
      </c>
      <c r="G12" s="17" t="s">
        <v>372</v>
      </c>
    </row>
    <row r="13" customFormat="false" ht="15" hidden="false" customHeight="false" outlineLevel="0" collapsed="false">
      <c r="B13" s="6" t="s">
        <v>373</v>
      </c>
      <c r="C13" s="54" t="s">
        <v>366</v>
      </c>
      <c r="D13" s="55" t="n">
        <v>19</v>
      </c>
      <c r="E13" s="55" t="n">
        <v>16.7</v>
      </c>
      <c r="F13" s="36" t="n">
        <f aca="false">D13/E13</f>
        <v>1.1377245508982</v>
      </c>
      <c r="G13" s="17" t="s">
        <v>374</v>
      </c>
    </row>
    <row r="15" customFormat="false" ht="15" hidden="false" customHeight="false" outlineLevel="0" collapsed="false">
      <c r="B15" s="5" t="s">
        <v>375</v>
      </c>
      <c r="C15" s="4"/>
      <c r="D15" s="4"/>
      <c r="E15" s="4"/>
      <c r="F15" s="4"/>
      <c r="G15" s="4"/>
    </row>
    <row r="16" customFormat="false" ht="15" hidden="false" customHeight="false" outlineLevel="0" collapsed="false">
      <c r="B16" s="12" t="s">
        <v>53</v>
      </c>
      <c r="C16" s="13" t="s">
        <v>376</v>
      </c>
      <c r="D16" s="13" t="s">
        <v>377</v>
      </c>
      <c r="E16" s="13" t="s">
        <v>378</v>
      </c>
      <c r="F16" s="13" t="s">
        <v>379</v>
      </c>
    </row>
    <row r="17" customFormat="false" ht="15" hidden="false" customHeight="false" outlineLevel="0" collapsed="false">
      <c r="B17" s="6" t="s">
        <v>380</v>
      </c>
      <c r="C17" s="36" t="n">
        <f aca="false">MIN(F6:F7)</f>
        <v>2.22222222222222</v>
      </c>
      <c r="D17" s="36" t="n">
        <f aca="false">MAX(F6:F7)</f>
        <v>3.41726618705036</v>
      </c>
      <c r="E17" s="15" t="n">
        <f aca="false">C17*tgt_rev/1000</f>
        <v>12.4444444444444</v>
      </c>
      <c r="F17" s="15" t="n">
        <f aca="false">D17*tgt_rev/1000</f>
        <v>19.136690647482</v>
      </c>
    </row>
    <row r="18" customFormat="false" ht="15" hidden="false" customHeight="false" outlineLevel="0" collapsed="false">
      <c r="B18" s="6" t="s">
        <v>381</v>
      </c>
      <c r="C18" s="36" t="n">
        <f aca="false">MIN(F12:F13)</f>
        <v>1.1377245508982</v>
      </c>
      <c r="D18" s="36" t="n">
        <f aca="false">MAX(F12:F13)</f>
        <v>2.52336448598131</v>
      </c>
      <c r="E18" s="15" t="n">
        <f aca="false">C18*tgt_rev/1000</f>
        <v>6.37125748502994</v>
      </c>
      <c r="F18" s="15" t="n">
        <f aca="false">D18*tgt_rev/1000</f>
        <v>14.1308411214953</v>
      </c>
    </row>
    <row r="20" customFormat="false" ht="15" hidden="false" customHeight="false" outlineLevel="0" collapsed="false">
      <c r="B20" s="17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8" min="7" style="1" width="12"/>
    <col collapsed="false" customWidth="true" hidden="false" outlineLevel="0" max="12" min="9" style="1" width="13"/>
  </cols>
  <sheetData>
    <row r="1" customFormat="false" ht="16.15" hidden="false" customHeight="false" outlineLevel="0" collapsed="false">
      <c r="B1" s="2" t="s">
        <v>383</v>
      </c>
    </row>
    <row r="2" customFormat="false" ht="15" hidden="false" customHeight="false" outlineLevel="0" collapsed="false">
      <c r="B2" s="3" t="s">
        <v>384</v>
      </c>
      <c r="C2" s="4"/>
      <c r="D2" s="4"/>
      <c r="E2" s="4"/>
      <c r="F2" s="4"/>
      <c r="G2" s="4"/>
      <c r="H2" s="4"/>
      <c r="I2" s="4"/>
      <c r="J2" s="4"/>
    </row>
    <row r="4" customFormat="false" ht="30" hidden="false" customHeight="true" outlineLevel="0" collapsed="false">
      <c r="B4" s="12" t="s">
        <v>385</v>
      </c>
      <c r="C4" s="13" t="s">
        <v>83</v>
      </c>
      <c r="D4" s="13" t="s">
        <v>386</v>
      </c>
      <c r="E4" s="13" t="s">
        <v>387</v>
      </c>
      <c r="F4" s="13" t="s">
        <v>388</v>
      </c>
      <c r="G4" s="13" t="s">
        <v>389</v>
      </c>
      <c r="H4" s="13" t="s">
        <v>390</v>
      </c>
      <c r="I4" s="13" t="s">
        <v>391</v>
      </c>
      <c r="J4" s="13" t="s">
        <v>392</v>
      </c>
      <c r="K4" s="13" t="s">
        <v>393</v>
      </c>
      <c r="L4" s="13" t="s">
        <v>394</v>
      </c>
    </row>
    <row r="5" customFormat="false" ht="15" hidden="false" customHeight="false" outlineLevel="0" collapsed="false">
      <c r="B5" s="6" t="s">
        <v>395</v>
      </c>
      <c r="C5" s="7" t="n">
        <f aca="false">t1_usd</f>
        <v>7000</v>
      </c>
      <c r="D5" s="52" t="n">
        <f aca="false">c1_date</f>
        <v>44559</v>
      </c>
      <c r="E5" s="34" t="n">
        <f aca="false">(D5-ann_date)/365</f>
        <v>1.19178082191781</v>
      </c>
      <c r="F5" s="58" t="n">
        <f aca="false">fx_ann</f>
        <v>1138.65</v>
      </c>
      <c r="G5" s="59" t="n">
        <f aca="false">F5*((1+r_krw)/(1+r_usd))^E5</f>
        <v>1151.50837054561</v>
      </c>
      <c r="H5" s="58" t="n">
        <f aca="false">fx_c1</f>
        <v>1185.51</v>
      </c>
      <c r="I5" s="31" t="n">
        <f aca="false">C5*F5/1000</f>
        <v>7970.55</v>
      </c>
      <c r="J5" s="31" t="n">
        <f aca="false">C5*G5*(1+dc_prem)/1000</f>
        <v>8060.5585938193</v>
      </c>
      <c r="K5" s="31" t="n">
        <f aca="false">C5*H5/1000</f>
        <v>8298.57</v>
      </c>
      <c r="L5" s="31" t="n">
        <f aca="false">K5-J5</f>
        <v>238.011406180703</v>
      </c>
    </row>
    <row r="6" customFormat="false" ht="15" hidden="false" customHeight="false" outlineLevel="0" collapsed="false">
      <c r="B6" s="6" t="s">
        <v>396</v>
      </c>
      <c r="C6" s="7" t="n">
        <f aca="false">t2_usd</f>
        <v>1900</v>
      </c>
      <c r="D6" s="52" t="n">
        <f aca="false">c2_date</f>
        <v>45743</v>
      </c>
      <c r="E6" s="34" t="n">
        <f aca="false">(D6-ann_date)/365</f>
        <v>4.43561643835616</v>
      </c>
      <c r="F6" s="58" t="n">
        <f aca="false">fx_ann</f>
        <v>1138.65</v>
      </c>
      <c r="G6" s="59" t="n">
        <f aca="false">F6*((1+r_krw)/(1+r_usd))^E6</f>
        <v>1187.24704399514</v>
      </c>
      <c r="H6" s="58" t="n">
        <f aca="false">fx_c2</f>
        <v>1463.9</v>
      </c>
      <c r="I6" s="31" t="n">
        <f aca="false">C6*F6/1000</f>
        <v>2163.435</v>
      </c>
      <c r="J6" s="31" t="n">
        <f aca="false">C6*G6*(1+dc_prem)/1000</f>
        <v>2255.76938359077</v>
      </c>
      <c r="K6" s="31" t="n">
        <f aca="false">C6*H6/1000</f>
        <v>2781.41</v>
      </c>
      <c r="L6" s="31" t="n">
        <f aca="false">K6-J6</f>
        <v>525.640616409227</v>
      </c>
    </row>
    <row r="7" customFormat="false" ht="15" hidden="false" customHeight="false" outlineLevel="0" collapsed="false">
      <c r="B7" s="32" t="s">
        <v>397</v>
      </c>
      <c r="C7" s="33" t="n">
        <f aca="false">SUM(C5:C6)</f>
        <v>8900</v>
      </c>
      <c r="I7" s="33" t="n">
        <f aca="false">SUM(I5:I6)</f>
        <v>10133.985</v>
      </c>
      <c r="J7" s="33" t="n">
        <f aca="false">SUM(J5:J6)</f>
        <v>10316.3279774101</v>
      </c>
      <c r="K7" s="33" t="n">
        <f aca="false">SUM(K5:K6)</f>
        <v>11079.98</v>
      </c>
      <c r="L7" s="33" t="n">
        <f aca="false">SUM(L5:L6)</f>
        <v>763.65202258993</v>
      </c>
    </row>
    <row r="9" customFormat="false" ht="15" hidden="false" customHeight="false" outlineLevel="0" collapsed="false">
      <c r="B9" s="5" t="s">
        <v>398</v>
      </c>
      <c r="C9" s="4"/>
      <c r="D9" s="4"/>
      <c r="E9" s="4"/>
      <c r="F9" s="4"/>
    </row>
    <row r="10" customFormat="false" ht="15" hidden="false" customHeight="false" outlineLevel="0" collapsed="false">
      <c r="B10" s="6" t="s">
        <v>399</v>
      </c>
      <c r="F10" s="31" t="n">
        <f aca="false">h_krw_actual-h_krw_sign</f>
        <v>945.994999999999</v>
      </c>
    </row>
    <row r="11" customFormat="false" ht="15" hidden="false" customHeight="false" outlineLevel="0" collapsed="false">
      <c r="B11" s="6" t="s">
        <v>400</v>
      </c>
      <c r="F11" s="37" t="n">
        <f aca="false">(h_krw_actual-h_krw_sign)/h_krw_sign</f>
        <v>0.0933487665513615</v>
      </c>
    </row>
    <row r="12" customFormat="false" ht="15" hidden="false" customHeight="false" outlineLevel="0" collapsed="false">
      <c r="B12" s="6" t="s">
        <v>401</v>
      </c>
      <c r="F12" s="59" t="n">
        <f aca="false">h_krw_actual*1000/(t1_usd+t2_usd)</f>
        <v>1244.94157303371</v>
      </c>
    </row>
    <row r="13" customFormat="false" ht="15" hidden="false" customHeight="false" outlineLevel="0" collapsed="false">
      <c r="B13" s="6" t="s">
        <v>402</v>
      </c>
      <c r="F13" s="59" t="n">
        <f aca="false">h_krw_hedged*1000/(t1_usd+t2_usd)</f>
        <v>1159.1379749899</v>
      </c>
    </row>
    <row r="14" customFormat="false" ht="15" hidden="false" customHeight="false" outlineLevel="0" collapsed="false">
      <c r="B14" s="6" t="s">
        <v>403</v>
      </c>
      <c r="F14" s="31" t="n">
        <f aca="false">h_krw_hedged-h_krw_sign</f>
        <v>182.34297741007</v>
      </c>
    </row>
    <row r="15" customFormat="false" ht="15" hidden="false" customHeight="false" outlineLevel="0" collapsed="false">
      <c r="B15" s="6" t="s">
        <v>404</v>
      </c>
      <c r="F15" s="59" t="n">
        <f aca="false">h_fwd2-fx_ann</f>
        <v>48.5970439951434</v>
      </c>
    </row>
    <row r="17" customFormat="false" ht="15" hidden="false" customHeight="false" outlineLevel="0" collapsed="false">
      <c r="B17" s="17" t="s">
        <v>405</v>
      </c>
    </row>
    <row r="18" customFormat="false" ht="15" hidden="false" customHeight="false" outlineLevel="0" collapsed="false">
      <c r="B18" s="17" t="s">
        <v>406</v>
      </c>
    </row>
    <row r="20" customFormat="false" ht="15" hidden="false" customHeight="false" outlineLevel="0" collapsed="false">
      <c r="B20" s="5" t="s">
        <v>407</v>
      </c>
      <c r="C20" s="4"/>
      <c r="D20" s="4"/>
      <c r="E20" s="4"/>
      <c r="F20" s="4"/>
    </row>
    <row r="21" customFormat="false" ht="22.35" hidden="false" customHeight="false" outlineLevel="0" collapsed="false">
      <c r="B21" s="12" t="s">
        <v>408</v>
      </c>
      <c r="C21" s="13" t="s">
        <v>409</v>
      </c>
      <c r="D21" s="13" t="s">
        <v>410</v>
      </c>
      <c r="E21" s="13" t="s">
        <v>411</v>
      </c>
    </row>
    <row r="22" customFormat="false" ht="15" hidden="false" customHeight="false" outlineLevel="0" collapsed="false">
      <c r="B22" s="60" t="n">
        <v>1000</v>
      </c>
      <c r="C22" s="31" t="n">
        <f aca="false">t2_usd*B22/1000</f>
        <v>1900</v>
      </c>
      <c r="D22" s="31" t="n">
        <f aca="false">t2_usd*h_fwd2*(1+dc_prem)/1000</f>
        <v>2255.76938359077</v>
      </c>
      <c r="E22" s="31" t="n">
        <f aca="false">C22-D22</f>
        <v>-355.769383590773</v>
      </c>
    </row>
    <row r="23" customFormat="false" ht="15" hidden="false" customHeight="false" outlineLevel="0" collapsed="false">
      <c r="B23" s="60" t="n">
        <v>1050</v>
      </c>
      <c r="C23" s="31" t="n">
        <f aca="false">t2_usd*B23/1000</f>
        <v>1995</v>
      </c>
      <c r="D23" s="31" t="n">
        <f aca="false">t2_usd*h_fwd2*(1+dc_prem)/1000</f>
        <v>2255.76938359077</v>
      </c>
      <c r="E23" s="31" t="n">
        <f aca="false">C23-D23</f>
        <v>-260.769383590773</v>
      </c>
    </row>
    <row r="24" customFormat="false" ht="15" hidden="false" customHeight="false" outlineLevel="0" collapsed="false">
      <c r="B24" s="60" t="n">
        <v>1100</v>
      </c>
      <c r="C24" s="31" t="n">
        <f aca="false">t2_usd*B24/1000</f>
        <v>2090</v>
      </c>
      <c r="D24" s="31" t="n">
        <f aca="false">t2_usd*h_fwd2*(1+dc_prem)/1000</f>
        <v>2255.76938359077</v>
      </c>
      <c r="E24" s="31" t="n">
        <f aca="false">C24-D24</f>
        <v>-165.769383590773</v>
      </c>
    </row>
    <row r="25" customFormat="false" ht="15" hidden="false" customHeight="false" outlineLevel="0" collapsed="false">
      <c r="B25" s="60" t="n">
        <v>1150</v>
      </c>
      <c r="C25" s="31" t="n">
        <f aca="false">t2_usd*B25/1000</f>
        <v>2185</v>
      </c>
      <c r="D25" s="31" t="n">
        <f aca="false">t2_usd*h_fwd2*(1+dc_prem)/1000</f>
        <v>2255.76938359077</v>
      </c>
      <c r="E25" s="31" t="n">
        <f aca="false">C25-D25</f>
        <v>-70.7693835907726</v>
      </c>
    </row>
    <row r="26" customFormat="false" ht="15" hidden="false" customHeight="false" outlineLevel="0" collapsed="false">
      <c r="B26" s="60" t="n">
        <v>1200</v>
      </c>
      <c r="C26" s="31" t="n">
        <f aca="false">t2_usd*B26/1000</f>
        <v>2280</v>
      </c>
      <c r="D26" s="31" t="n">
        <f aca="false">t2_usd*h_fwd2*(1+dc_prem)/1000</f>
        <v>2255.76938359077</v>
      </c>
      <c r="E26" s="31" t="n">
        <f aca="false">C26-D26</f>
        <v>24.2306164092274</v>
      </c>
    </row>
    <row r="27" customFormat="false" ht="15" hidden="false" customHeight="false" outlineLevel="0" collapsed="false">
      <c r="B27" s="60" t="n">
        <v>1250</v>
      </c>
      <c r="C27" s="31" t="n">
        <f aca="false">t2_usd*B27/1000</f>
        <v>2375</v>
      </c>
      <c r="D27" s="31" t="n">
        <f aca="false">t2_usd*h_fwd2*(1+dc_prem)/1000</f>
        <v>2255.76938359077</v>
      </c>
      <c r="E27" s="31" t="n">
        <f aca="false">C27-D27</f>
        <v>119.230616409227</v>
      </c>
    </row>
    <row r="28" customFormat="false" ht="15" hidden="false" customHeight="false" outlineLevel="0" collapsed="false">
      <c r="B28" s="60" t="n">
        <v>1300</v>
      </c>
      <c r="C28" s="31" t="n">
        <f aca="false">t2_usd*B28/1000</f>
        <v>2470</v>
      </c>
      <c r="D28" s="31" t="n">
        <f aca="false">t2_usd*h_fwd2*(1+dc_prem)/1000</f>
        <v>2255.76938359077</v>
      </c>
      <c r="E28" s="31" t="n">
        <f aca="false">C28-D28</f>
        <v>214.230616409227</v>
      </c>
    </row>
    <row r="29" customFormat="false" ht="15" hidden="false" customHeight="false" outlineLevel="0" collapsed="false">
      <c r="B29" s="60" t="n">
        <v>1350</v>
      </c>
      <c r="C29" s="31" t="n">
        <f aca="false">t2_usd*B29/1000</f>
        <v>2565</v>
      </c>
      <c r="D29" s="31" t="n">
        <f aca="false">t2_usd*h_fwd2*(1+dc_prem)/1000</f>
        <v>2255.76938359077</v>
      </c>
      <c r="E29" s="31" t="n">
        <f aca="false">C29-D29</f>
        <v>309.230616409227</v>
      </c>
    </row>
    <row r="30" customFormat="false" ht="15" hidden="false" customHeight="false" outlineLevel="0" collapsed="false">
      <c r="B30" s="60" t="n">
        <v>1400</v>
      </c>
      <c r="C30" s="31" t="n">
        <f aca="false">t2_usd*B30/1000</f>
        <v>2660</v>
      </c>
      <c r="D30" s="31" t="n">
        <f aca="false">t2_usd*h_fwd2*(1+dc_prem)/1000</f>
        <v>2255.76938359077</v>
      </c>
      <c r="E30" s="31" t="n">
        <f aca="false">C30-D30</f>
        <v>404.230616409227</v>
      </c>
    </row>
    <row r="31" customFormat="false" ht="15" hidden="false" customHeight="false" outlineLevel="0" collapsed="false">
      <c r="B31" s="60" t="n">
        <v>1450</v>
      </c>
      <c r="C31" s="31" t="n">
        <f aca="false">t2_usd*B31/1000</f>
        <v>2755</v>
      </c>
      <c r="D31" s="31" t="n">
        <f aca="false">t2_usd*h_fwd2*(1+dc_prem)/1000</f>
        <v>2255.76938359077</v>
      </c>
      <c r="E31" s="31" t="n">
        <f aca="false">C31-D31</f>
        <v>499.230616409227</v>
      </c>
    </row>
    <row r="32" customFormat="false" ht="15" hidden="false" customHeight="false" outlineLevel="0" collapsed="false">
      <c r="B32" s="60" t="n">
        <v>1500</v>
      </c>
      <c r="C32" s="31" t="n">
        <f aca="false">t2_usd*B32/1000</f>
        <v>2850</v>
      </c>
      <c r="D32" s="31" t="n">
        <f aca="false">t2_usd*h_fwd2*(1+dc_prem)/1000</f>
        <v>2255.76938359077</v>
      </c>
      <c r="E32" s="31" t="n">
        <f aca="false">C32-D32</f>
        <v>594.230616409227</v>
      </c>
    </row>
    <row r="33" customFormat="false" ht="15" hidden="false" customHeight="false" outlineLevel="0" collapsed="false">
      <c r="B33" s="60" t="n">
        <v>1550</v>
      </c>
      <c r="C33" s="31" t="n">
        <f aca="false">t2_usd*B33/1000</f>
        <v>2945</v>
      </c>
      <c r="D33" s="31" t="n">
        <f aca="false">t2_usd*h_fwd2*(1+dc_prem)/1000</f>
        <v>2255.76938359077</v>
      </c>
      <c r="E33" s="31" t="n">
        <f aca="false">C33-D33</f>
        <v>689.230616409227</v>
      </c>
    </row>
    <row r="34" customFormat="false" ht="15" hidden="false" customHeight="false" outlineLevel="0" collapsed="false">
      <c r="B34" s="60" t="n">
        <v>1600</v>
      </c>
      <c r="C34" s="31" t="n">
        <f aca="false">t2_usd*B34/1000</f>
        <v>3040</v>
      </c>
      <c r="D34" s="31" t="n">
        <f aca="false">t2_usd*h_fwd2*(1+dc_prem)/1000</f>
        <v>2255.76938359077</v>
      </c>
      <c r="E34" s="31" t="n">
        <f aca="false">C34-D34</f>
        <v>784.230616409227</v>
      </c>
    </row>
    <row r="35" customFormat="false" ht="15" hidden="false" customHeight="false" outlineLevel="0" collapsed="false">
      <c r="B35" s="60" t="n">
        <v>1650</v>
      </c>
      <c r="C35" s="31" t="n">
        <f aca="false">t2_usd*B35/1000</f>
        <v>3135</v>
      </c>
      <c r="D35" s="31" t="n">
        <f aca="false">t2_usd*h_fwd2*(1+dc_prem)/1000</f>
        <v>2255.76938359077</v>
      </c>
      <c r="E35" s="31" t="n">
        <f aca="false">C35-D35</f>
        <v>879.230616409227</v>
      </c>
    </row>
    <row r="38" customFormat="false" ht="15" hidden="false" customHeight="false" outlineLevel="0" collapsed="false">
      <c r="B38" s="5" t="s">
        <v>412</v>
      </c>
      <c r="C38" s="4"/>
      <c r="D38" s="4"/>
      <c r="E38" s="4"/>
      <c r="F38" s="4"/>
      <c r="G38" s="4"/>
    </row>
    <row r="39" customFormat="false" ht="15" hidden="false" customHeight="false" outlineLevel="0" collapsed="false">
      <c r="B39" s="6" t="s">
        <v>413</v>
      </c>
      <c r="F39" s="59" t="n">
        <f aca="false">h_fwd2</f>
        <v>1187.24704399514</v>
      </c>
    </row>
    <row r="40" customFormat="false" ht="15" hidden="false" customHeight="false" outlineLevel="0" collapsed="false">
      <c r="B40" s="6" t="s">
        <v>414</v>
      </c>
      <c r="F40" s="34" t="n">
        <f aca="false">E6</f>
        <v>4.43561643835616</v>
      </c>
    </row>
    <row r="41" customFormat="false" ht="15" hidden="false" customHeight="false" outlineLevel="0" collapsed="false">
      <c r="B41" s="6" t="s">
        <v>415</v>
      </c>
      <c r="F41" s="35" t="n">
        <f aca="false">fx_vol</f>
        <v>0.0875</v>
      </c>
    </row>
    <row r="42" customFormat="false" ht="15" hidden="false" customHeight="false" outlineLevel="0" collapsed="false">
      <c r="B42" s="6" t="s">
        <v>416</v>
      </c>
      <c r="F42" s="35" t="n">
        <f aca="false">LN(1+r_krw)</f>
        <v>0.0129162252665462</v>
      </c>
    </row>
    <row r="43" customFormat="false" ht="15" hidden="false" customHeight="false" outlineLevel="0" collapsed="false">
      <c r="B43" s="6" t="s">
        <v>417</v>
      </c>
      <c r="F43" s="35" t="n">
        <f aca="false">LN(1+r_usd)</f>
        <v>0.00349388925425584</v>
      </c>
    </row>
    <row r="44" customFormat="false" ht="15" hidden="false" customHeight="false" outlineLevel="0" collapsed="false">
      <c r="B44" s="6" t="s">
        <v>418</v>
      </c>
      <c r="F44" s="50" t="n">
        <f aca="false">(LN(fx_ann/op_k)+(op_rd-op_rf+op_vol^2/2)*op_t)/(op_vol*SQRT(op_t))</f>
        <v>0.0921414515244963</v>
      </c>
    </row>
    <row r="45" customFormat="false" ht="15" hidden="false" customHeight="false" outlineLevel="0" collapsed="false">
      <c r="B45" s="6" t="s">
        <v>419</v>
      </c>
      <c r="F45" s="50" t="n">
        <f aca="false">op_d1-op_vol*SQRT(op_t)</f>
        <v>-0.0921414515244962</v>
      </c>
    </row>
    <row r="46" customFormat="false" ht="15" hidden="false" customHeight="false" outlineLevel="0" collapsed="false">
      <c r="B46" s="6" t="s">
        <v>420</v>
      </c>
      <c r="F46" s="59" t="n">
        <f aca="false">fx_ann*EXP(-op_rf*op_t)*NORMSDIST(op_d1)-op_k*EXP(-op_rd*op_t)*NORMSDIST(op_d2)</f>
        <v>82.3077400943661</v>
      </c>
    </row>
    <row r="47" customFormat="false" ht="15" hidden="false" customHeight="false" outlineLevel="0" collapsed="false">
      <c r="B47" s="6" t="s">
        <v>421</v>
      </c>
      <c r="F47" s="31" t="n">
        <f aca="false">t2_usd*op_prem/1000</f>
        <v>156.384706179296</v>
      </c>
    </row>
    <row r="48" customFormat="false" ht="15" hidden="false" customHeight="false" outlineLevel="0" collapsed="false">
      <c r="B48" s="6" t="s">
        <v>422</v>
      </c>
      <c r="F48" s="31" t="n">
        <f aca="false">op_prem_bn*EXP(op_rd*op_t)</f>
        <v>165.605831858217</v>
      </c>
    </row>
    <row r="49" customFormat="false" ht="15" hidden="false" customHeight="false" outlineLevel="0" collapsed="false">
      <c r="B49" s="6" t="s">
        <v>423</v>
      </c>
      <c r="F49" s="35" t="n">
        <f aca="false">op_prem/fx_ann</f>
        <v>0.0722853731123401</v>
      </c>
    </row>
    <row r="51" customFormat="false" ht="22.35" hidden="false" customHeight="false" outlineLevel="0" collapsed="false">
      <c r="B51" s="12" t="s">
        <v>424</v>
      </c>
      <c r="C51" s="13" t="s">
        <v>425</v>
      </c>
      <c r="D51" s="13" t="s">
        <v>426</v>
      </c>
      <c r="E51" s="13" t="s">
        <v>427</v>
      </c>
      <c r="F51" s="13" t="s">
        <v>428</v>
      </c>
      <c r="G51" s="13" t="s">
        <v>429</v>
      </c>
    </row>
    <row r="52" customFormat="false" ht="15" hidden="false" customHeight="false" outlineLevel="0" collapsed="false">
      <c r="B52" s="6" t="s">
        <v>409</v>
      </c>
      <c r="C52" s="31" t="n">
        <f aca="false">t2_usd*1100/1000</f>
        <v>2090</v>
      </c>
      <c r="D52" s="31" t="n">
        <f aca="false">t2_usd*1200/1000</f>
        <v>2280</v>
      </c>
      <c r="E52" s="31" t="n">
        <f aca="false">t2_usd*fx_c2/1000</f>
        <v>2781.41</v>
      </c>
      <c r="F52" s="31" t="n">
        <f aca="false">t2_usd*1600/1000</f>
        <v>3040</v>
      </c>
      <c r="G52" s="17" t="s">
        <v>430</v>
      </c>
    </row>
    <row r="53" customFormat="false" ht="15" hidden="false" customHeight="false" outlineLevel="0" collapsed="false">
      <c r="B53" s="6" t="s">
        <v>389</v>
      </c>
      <c r="C53" s="31" t="n">
        <f aca="false">t2_usd*h_fwd2*(1+dc_prem)/1000</f>
        <v>2255.76938359077</v>
      </c>
      <c r="D53" s="31" t="n">
        <f aca="false">t2_usd*h_fwd2*(1+dc_prem)/1000</f>
        <v>2255.76938359077</v>
      </c>
      <c r="E53" s="31" t="n">
        <f aca="false">t2_usd*h_fwd2*(1+dc_prem)/1000</f>
        <v>2255.76938359077</v>
      </c>
      <c r="F53" s="31" t="n">
        <f aca="false">t2_usd*h_fwd2*(1+dc_prem)/1000</f>
        <v>2255.76938359077</v>
      </c>
      <c r="G53" s="17" t="s">
        <v>431</v>
      </c>
    </row>
    <row r="54" customFormat="false" ht="15" hidden="false" customHeight="false" outlineLevel="0" collapsed="false">
      <c r="B54" s="6" t="s">
        <v>432</v>
      </c>
      <c r="C54" s="31" t="n">
        <f aca="false">t2_usd*MIN(1100,op_k)/1000+op_prem_fv</f>
        <v>2255.60583185822</v>
      </c>
      <c r="D54" s="31" t="n">
        <f aca="false">t2_usd*MIN(1200,op_k)/1000+op_prem_fv</f>
        <v>2421.37521544899</v>
      </c>
      <c r="E54" s="31" t="n">
        <f aca="false">t2_usd*MIN(fx_c2,op_k)/1000+op_prem_fv</f>
        <v>2421.37521544899</v>
      </c>
      <c r="F54" s="31" t="n">
        <f aca="false">t2_usd*MIN(1600,op_k)/1000+op_prem_fv</f>
        <v>2421.37521544899</v>
      </c>
      <c r="G54" s="17" t="s">
        <v>433</v>
      </c>
    </row>
    <row r="56" customFormat="false" ht="15" hidden="false" customHeight="false" outlineLevel="0" collapsed="false">
      <c r="B56" s="17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0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4"/>
    <col collapsed="false" customWidth="true" hidden="false" outlineLevel="0" max="5" min="5" style="1" width="7"/>
    <col collapsed="false" customWidth="true" hidden="false" outlineLevel="0" max="9" min="6" style="1" width="9"/>
    <col collapsed="false" customWidth="true" hidden="false" outlineLevel="0" max="11" min="10" style="1" width="11"/>
    <col collapsed="false" customWidth="true" hidden="false" outlineLevel="0" max="12" min="12" style="1" width="12"/>
  </cols>
  <sheetData>
    <row r="1" customFormat="false" ht="16.15" hidden="false" customHeight="false" outlineLevel="0" collapsed="false">
      <c r="B1" s="2" t="s">
        <v>435</v>
      </c>
    </row>
    <row r="2" customFormat="false" ht="15" hidden="false" customHeight="false" outlineLevel="0" collapsed="false">
      <c r="B2" s="3" t="s">
        <v>436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437</v>
      </c>
      <c r="C4" s="4"/>
      <c r="E4" s="12" t="s">
        <v>438</v>
      </c>
      <c r="F4" s="13" t="s">
        <v>439</v>
      </c>
      <c r="G4" s="13" t="s">
        <v>440</v>
      </c>
      <c r="H4" s="13" t="s">
        <v>441</v>
      </c>
      <c r="I4" s="13" t="s">
        <v>442</v>
      </c>
      <c r="J4" s="13" t="s">
        <v>443</v>
      </c>
      <c r="K4" s="13" t="s">
        <v>444</v>
      </c>
      <c r="L4" s="13" t="s">
        <v>445</v>
      </c>
    </row>
    <row r="5" customFormat="false" ht="15" hidden="false" customHeight="false" outlineLevel="0" collapsed="false">
      <c r="B5" s="6" t="s">
        <v>388</v>
      </c>
      <c r="C5" s="58" t="n">
        <f aca="false">fx_ann</f>
        <v>1138.65</v>
      </c>
      <c r="E5" s="54" t="n">
        <v>1</v>
      </c>
      <c r="F5" s="61" t="n">
        <v>0.043071</v>
      </c>
      <c r="G5" s="61" t="n">
        <v>0.918339</v>
      </c>
      <c r="H5" s="34" t="n">
        <f aca="false">NORMSINV(F5)</f>
        <v>-1.7161095153168</v>
      </c>
      <c r="I5" s="34" t="n">
        <f aca="false">NORMSINV(G5)</f>
        <v>1.39398544481165</v>
      </c>
      <c r="J5" s="59" t="n">
        <f aca="false">mc_s0*EXP((mc_mu-mc_vol^2/2)*mc_t1+mc_vol*SQRT(mc_t1)*H5)</f>
        <v>972.955568361214</v>
      </c>
      <c r="K5" s="59" t="n">
        <f aca="false">J5*EXP((mc_mu-mc_vol^2/2)*(mc_t2-mc_t1)+mc_vol*SQRT(mc_t2-mc_t1)*I5)</f>
        <v>1234.18701320669</v>
      </c>
      <c r="L5" s="31" t="n">
        <f aca="false">(t1_usd*J5+t2_usd*K5)/1000</f>
        <v>9155.64430362121</v>
      </c>
    </row>
    <row r="6" customFormat="false" ht="15" hidden="false" customHeight="false" outlineLevel="0" collapsed="false">
      <c r="B6" s="6" t="s">
        <v>446</v>
      </c>
      <c r="C6" s="11" t="n">
        <f aca="false">fx_vol</f>
        <v>0.0875</v>
      </c>
      <c r="E6" s="54" t="n">
        <v>2</v>
      </c>
      <c r="F6" s="61" t="n">
        <v>0.32841</v>
      </c>
      <c r="G6" s="61" t="n">
        <v>0.331689</v>
      </c>
      <c r="H6" s="34" t="n">
        <f aca="false">NORMSINV(F6)</f>
        <v>-0.44430788670692</v>
      </c>
      <c r="I6" s="34" t="n">
        <f aca="false">NORMSINV(G6)</f>
        <v>-0.435254096781838</v>
      </c>
      <c r="J6" s="59" t="n">
        <f aca="false">mc_s0*EXP((mc_mu-mc_vol^2/2)*mc_t1+mc_vol*SQRT(mc_t1)*H6)</f>
        <v>1098.63551381019</v>
      </c>
      <c r="K6" s="59" t="n">
        <f aca="false">J6*EXP((mc_mu-mc_vol^2/2)*(mc_t2-mc_t1)+mc_vol*SQRT(mc_t2-mc_t1)*I6)</f>
        <v>1044.5880353804</v>
      </c>
      <c r="L6" s="31" t="n">
        <f aca="false">(t1_usd*J6+t2_usd*K6)/1000</f>
        <v>9675.16586389409</v>
      </c>
    </row>
    <row r="7" customFormat="false" ht="15" hidden="false" customHeight="false" outlineLevel="0" collapsed="false">
      <c r="B7" s="6" t="s">
        <v>447</v>
      </c>
      <c r="C7" s="11" t="n">
        <f aca="false">LN((1+r_krw)/(1+r_usd))</f>
        <v>0.00942233601229038</v>
      </c>
      <c r="E7" s="54" t="n">
        <v>3</v>
      </c>
      <c r="F7" s="61" t="n">
        <v>0.420354</v>
      </c>
      <c r="G7" s="61" t="n">
        <v>0.644136</v>
      </c>
      <c r="H7" s="34" t="n">
        <f aca="false">NORMSINV(F7)</f>
        <v>-0.200987945291759</v>
      </c>
      <c r="I7" s="34" t="n">
        <f aca="false">NORMSINV(G7)</f>
        <v>0.369536328633307</v>
      </c>
      <c r="J7" s="59" t="n">
        <f aca="false">mc_s0*EXP((mc_mu-mc_vol^2/2)*mc_t1+mc_vol*SQRT(mc_t1)*H7)</f>
        <v>1124.4696782321</v>
      </c>
      <c r="K7" s="59" t="n">
        <f aca="false">J7*EXP((mc_mu-mc_vol^2/2)*(mc_t2-mc_t1)+mc_vol*SQRT(mc_t2-mc_t1)*I7)</f>
        <v>1213.72560380451</v>
      </c>
      <c r="L7" s="31" t="n">
        <f aca="false">(t1_usd*J7+t2_usd*K7)/1000</f>
        <v>10177.3663948533</v>
      </c>
    </row>
    <row r="8" customFormat="false" ht="15" hidden="false" customHeight="false" outlineLevel="0" collapsed="false">
      <c r="B8" s="6" t="s">
        <v>448</v>
      </c>
      <c r="C8" s="57" t="n">
        <f aca="false">FX_Hedge!E5</f>
        <v>1.19178082191781</v>
      </c>
      <c r="E8" s="54" t="n">
        <v>4</v>
      </c>
      <c r="F8" s="61" t="n">
        <v>0.753109</v>
      </c>
      <c r="G8" s="61" t="n">
        <v>0.283789</v>
      </c>
      <c r="H8" s="34" t="n">
        <f aca="false">NORMSINV(F8)</f>
        <v>0.68430593506109</v>
      </c>
      <c r="I8" s="34" t="n">
        <f aca="false">NORMSINV(G8)</f>
        <v>-0.571622129420599</v>
      </c>
      <c r="J8" s="59" t="n">
        <f aca="false">mc_s0*EXP((mc_mu-mc_vol^2/2)*mc_t1+mc_vol*SQRT(mc_t1)*H8)</f>
        <v>1223.69763442906</v>
      </c>
      <c r="K8" s="59" t="n">
        <f aca="false">J8*EXP((mc_mu-mc_vol^2/2)*(mc_t2-mc_t1)+mc_vol*SQRT(mc_t2-mc_t1)*I8)</f>
        <v>1138.76012819764</v>
      </c>
      <c r="L8" s="31" t="n">
        <f aca="false">(t1_usd*J8+t2_usd*K8)/1000</f>
        <v>10729.527684579</v>
      </c>
    </row>
    <row r="9" customFormat="false" ht="15" hidden="false" customHeight="false" outlineLevel="0" collapsed="false">
      <c r="B9" s="6" t="s">
        <v>449</v>
      </c>
      <c r="C9" s="57" t="n">
        <f aca="false">FX_Hedge!E6</f>
        <v>4.43561643835616</v>
      </c>
      <c r="E9" s="54" t="n">
        <v>5</v>
      </c>
      <c r="F9" s="61" t="n">
        <v>0.175661</v>
      </c>
      <c r="G9" s="61" t="n">
        <v>0.977542</v>
      </c>
      <c r="H9" s="34" t="n">
        <f aca="false">NORMSINV(F9)</f>
        <v>-0.932028106966994</v>
      </c>
      <c r="I9" s="34" t="n">
        <f aca="false">NORMSINV(G9)</f>
        <v>2.00544027216801</v>
      </c>
      <c r="J9" s="59" t="n">
        <f aca="false">mc_s0*EXP((mc_mu-mc_vol^2/2)*mc_t1+mc_vol*SQRT(mc_t1)*H9)</f>
        <v>1048.6259121579</v>
      </c>
      <c r="K9" s="59" t="n">
        <f aca="false">J9*EXP((mc_mu-mc_vol^2/2)*(mc_t2-mc_t1)+mc_vol*SQRT(mc_t2-mc_t1)*I9)</f>
        <v>1464.73025801613</v>
      </c>
      <c r="L9" s="31" t="n">
        <f aca="false">(t1_usd*J9+t2_usd*K9)/1000</f>
        <v>10123.368875336</v>
      </c>
    </row>
    <row r="10" customFormat="false" ht="15" hidden="false" customHeight="false" outlineLevel="0" collapsed="false">
      <c r="E10" s="54" t="n">
        <v>6</v>
      </c>
      <c r="F10" s="61" t="n">
        <v>0.071456</v>
      </c>
      <c r="G10" s="61" t="n">
        <v>0.596456</v>
      </c>
      <c r="H10" s="34" t="n">
        <f aca="false">NORMSINV(F10)</f>
        <v>-1.46503268682084</v>
      </c>
      <c r="I10" s="34" t="n">
        <f aca="false">NORMSINV(G10)</f>
        <v>0.244184410892578</v>
      </c>
      <c r="J10" s="59" t="n">
        <f aca="false">mc_s0*EXP((mc_mu-mc_vol^2/2)*mc_t1+mc_vol*SQRT(mc_t1)*H10)</f>
        <v>996.572542542157</v>
      </c>
      <c r="K10" s="59" t="n">
        <f aca="false">J10*EXP((mc_mu-mc_vol^2/2)*(mc_t2-mc_t1)+mc_vol*SQRT(mc_t2-mc_t1)*I10)</f>
        <v>1054.63544641658</v>
      </c>
      <c r="L10" s="31" t="n">
        <f aca="false">(t1_usd*J10+t2_usd*K10)/1000</f>
        <v>8979.8151459866</v>
      </c>
    </row>
    <row r="11" customFormat="false" ht="15" hidden="false" customHeight="false" outlineLevel="0" collapsed="false">
      <c r="B11" s="5" t="s">
        <v>450</v>
      </c>
      <c r="C11" s="4"/>
      <c r="E11" s="54" t="n">
        <v>7</v>
      </c>
      <c r="F11" s="61" t="n">
        <v>0.043197</v>
      </c>
      <c r="G11" s="61" t="n">
        <v>0.081886</v>
      </c>
      <c r="H11" s="34" t="n">
        <f aca="false">NORMSINV(F11)</f>
        <v>-1.71473403781649</v>
      </c>
      <c r="I11" s="34" t="n">
        <f aca="false">NORMSINV(G11)</f>
        <v>-1.39249683301568</v>
      </c>
      <c r="J11" s="59" t="n">
        <f aca="false">mc_s0*EXP((mc_mu-mc_vol^2/2)*mc_t1+mc_vol*SQRT(mc_t1)*H11)</f>
        <v>973.083412634568</v>
      </c>
      <c r="K11" s="59" t="n">
        <f aca="false">J11*EXP((mc_mu-mc_vol^2/2)*(mc_t2-mc_t1)+mc_vol*SQRT(mc_t2-mc_t1)*I11)</f>
        <v>795.65722870739</v>
      </c>
      <c r="L11" s="31" t="n">
        <f aca="false">(t1_usd*J11+t2_usd*K11)/1000</f>
        <v>8323.33262298601</v>
      </c>
    </row>
    <row r="12" customFormat="false" ht="15" hidden="false" customHeight="false" outlineLevel="0" collapsed="false">
      <c r="B12" s="6" t="s">
        <v>451</v>
      </c>
      <c r="C12" s="31" t="n">
        <f aca="false">AVERAGE($L$5:$L$2004)</f>
        <v>10308.7922527459</v>
      </c>
      <c r="E12" s="54" t="n">
        <v>8</v>
      </c>
      <c r="F12" s="61" t="n">
        <v>0.101927</v>
      </c>
      <c r="G12" s="61" t="n">
        <v>0.371517</v>
      </c>
      <c r="H12" s="34" t="n">
        <f aca="false">NORMSINV(F12)</f>
        <v>-1.2706477261792</v>
      </c>
      <c r="I12" s="34" t="n">
        <f aca="false">NORMSINV(G12)</f>
        <v>-0.327838203490458</v>
      </c>
      <c r="J12" s="59" t="n">
        <f aca="false">mc_s0*EXP((mc_mu-mc_vol^2/2)*mc_t1+mc_vol*SQRT(mc_t1)*H12)</f>
        <v>1015.24992842705</v>
      </c>
      <c r="K12" s="59" t="n">
        <f aca="false">J12*EXP((mc_mu-mc_vol^2/2)*(mc_t2-mc_t1)+mc_vol*SQRT(mc_t2-mc_t1)*I12)</f>
        <v>981.784393489807</v>
      </c>
      <c r="L12" s="31" t="n">
        <f aca="false">(t1_usd*J12+t2_usd*K12)/1000</f>
        <v>8972.13984661996</v>
      </c>
    </row>
    <row r="13" customFormat="false" ht="15" hidden="false" customHeight="false" outlineLevel="0" collapsed="false">
      <c r="B13" s="6" t="s">
        <v>452</v>
      </c>
      <c r="C13" s="31" t="n">
        <f aca="false">PERCENTILE($L$5:$L$2004,0.05)</f>
        <v>8734.86996951019</v>
      </c>
      <c r="E13" s="54" t="n">
        <v>9</v>
      </c>
      <c r="F13" s="61" t="n">
        <v>0.044003</v>
      </c>
      <c r="G13" s="61" t="n">
        <v>0.755591</v>
      </c>
      <c r="H13" s="34" t="n">
        <f aca="false">NORMSINV(F13)</f>
        <v>-1.7060111695423</v>
      </c>
      <c r="I13" s="34" t="n">
        <f aca="false">NORMSINV(G13)</f>
        <v>0.692190028376654</v>
      </c>
      <c r="J13" s="59" t="n">
        <f aca="false">mc_s0*EXP((mc_mu-mc_vol^2/2)*mc_t1+mc_vol*SQRT(mc_t1)*H13)</f>
        <v>973.894554055881</v>
      </c>
      <c r="K13" s="59" t="n">
        <f aca="false">J13*EXP((mc_mu-mc_vol^2/2)*(mc_t2-mc_t1)+mc_vol*SQRT(mc_t2-mc_t1)*I13)</f>
        <v>1106.03207108045</v>
      </c>
      <c r="L13" s="31" t="n">
        <f aca="false">(t1_usd*J13+t2_usd*K13)/1000</f>
        <v>8918.72281344402</v>
      </c>
    </row>
    <row r="14" customFormat="false" ht="15" hidden="false" customHeight="false" outlineLevel="0" collapsed="false">
      <c r="B14" s="6" t="s">
        <v>453</v>
      </c>
      <c r="C14" s="31" t="n">
        <f aca="false">PERCENTILE($L$5:$L$2004,0.5)</f>
        <v>10243.2436918144</v>
      </c>
      <c r="E14" s="54" t="n">
        <v>10</v>
      </c>
      <c r="F14" s="61" t="n">
        <v>0.83088</v>
      </c>
      <c r="G14" s="61" t="n">
        <v>0.342945</v>
      </c>
      <c r="H14" s="34" t="n">
        <f aca="false">NORMSINV(F14)</f>
        <v>0.957648567412205</v>
      </c>
      <c r="I14" s="34" t="n">
        <f aca="false">NORMSINV(G14)</f>
        <v>-0.404438899546285</v>
      </c>
      <c r="J14" s="59" t="n">
        <f aca="false">mc_s0*EXP((mc_mu-mc_vol^2/2)*mc_t1+mc_vol*SQRT(mc_t1)*H14)</f>
        <v>1256.06966049884</v>
      </c>
      <c r="K14" s="59" t="n">
        <f aca="false">J14*EXP((mc_mu-mc_vol^2/2)*(mc_t2-mc_t1)+mc_vol*SQRT(mc_t2-mc_t1)*I14)</f>
        <v>1200.09102675986</v>
      </c>
      <c r="L14" s="31" t="n">
        <f aca="false">(t1_usd*J14+t2_usd*K14)/1000</f>
        <v>11072.6605743356</v>
      </c>
    </row>
    <row r="15" customFormat="false" ht="15" hidden="false" customHeight="false" outlineLevel="0" collapsed="false">
      <c r="B15" s="30" t="s">
        <v>454</v>
      </c>
      <c r="C15" s="31" t="n">
        <f aca="false">PERCENTILE($L$5:$L$2004,0.95)</f>
        <v>12104.1592605518</v>
      </c>
      <c r="E15" s="54" t="n">
        <v>11</v>
      </c>
      <c r="F15" s="61" t="n">
        <v>0.576168</v>
      </c>
      <c r="G15" s="61" t="n">
        <v>0.908594</v>
      </c>
      <c r="H15" s="34" t="n">
        <f aca="false">NORMSINV(F15)</f>
        <v>0.192099840304829</v>
      </c>
      <c r="I15" s="34" t="n">
        <f aca="false">NORMSINV(G15)</f>
        <v>1.33214666070219</v>
      </c>
      <c r="J15" s="59" t="n">
        <f aca="false">mc_s0*EXP((mc_mu-mc_vol^2/2)*mc_t1+mc_vol*SQRT(mc_t1)*H15)</f>
        <v>1167.49485603567</v>
      </c>
      <c r="K15" s="59" t="n">
        <f aca="false">J15*EXP((mc_mu-mc_vol^2/2)*(mc_t2-mc_t1)+mc_vol*SQRT(mc_t2-mc_t1)*I15)</f>
        <v>1466.59627911983</v>
      </c>
      <c r="L15" s="31" t="n">
        <f aca="false">(t1_usd*J15+t2_usd*K15)/1000</f>
        <v>10958.9969225774</v>
      </c>
    </row>
    <row r="16" customFormat="false" ht="15" hidden="false" customHeight="false" outlineLevel="0" collapsed="false">
      <c r="B16" s="6" t="s">
        <v>455</v>
      </c>
      <c r="C16" s="31" t="n">
        <f aca="false">PERCENTILE($L$5:$L$2004,0.99)</f>
        <v>12889.9070361453</v>
      </c>
      <c r="E16" s="54" t="n">
        <v>12</v>
      </c>
      <c r="F16" s="61" t="n">
        <v>0.778127</v>
      </c>
      <c r="G16" s="61" t="n">
        <v>0.192223</v>
      </c>
      <c r="H16" s="34" t="n">
        <f aca="false">NORMSINV(F16)</f>
        <v>0.765882868942026</v>
      </c>
      <c r="I16" s="34" t="n">
        <f aca="false">NORMSINV(G16)</f>
        <v>-0.869733610447328</v>
      </c>
      <c r="J16" s="59" t="n">
        <f aca="false">mc_s0*EXP((mc_mu-mc_vol^2/2)*mc_t1+mc_vol*SQRT(mc_t1)*H16)</f>
        <v>1233.27047782141</v>
      </c>
      <c r="K16" s="59" t="n">
        <f aca="false">J16*EXP((mc_mu-mc_vol^2/2)*(mc_t2-mc_t1)+mc_vol*SQRT(mc_t2-mc_t1)*I16)</f>
        <v>1094.99759240416</v>
      </c>
      <c r="L16" s="31" t="n">
        <f aca="false">(t1_usd*J16+t2_usd*K16)/1000</f>
        <v>10713.3887703178</v>
      </c>
    </row>
    <row r="17" customFormat="false" ht="15" hidden="false" customHeight="false" outlineLevel="0" collapsed="false">
      <c r="B17" s="6" t="s">
        <v>456</v>
      </c>
      <c r="C17" s="7" t="n">
        <f aca="false">h_krw_hedged</f>
        <v>10316.3279774101</v>
      </c>
      <c r="E17" s="54" t="n">
        <v>13</v>
      </c>
      <c r="F17" s="61" t="n">
        <v>0.98391</v>
      </c>
      <c r="G17" s="61" t="n">
        <v>0.756221</v>
      </c>
      <c r="H17" s="34" t="n">
        <f aca="false">NORMSINV(F17)</f>
        <v>2.14216757158616</v>
      </c>
      <c r="I17" s="34" t="n">
        <f aca="false">NORMSINV(G17)</f>
        <v>0.694198074471871</v>
      </c>
      <c r="J17" s="59" t="n">
        <f aca="false">mc_s0*EXP((mc_mu-mc_vol^2/2)*mc_t1+mc_vol*SQRT(mc_t1)*H17)</f>
        <v>1406.54436814262</v>
      </c>
      <c r="K17" s="59" t="n">
        <f aca="false">J17*EXP((mc_mu-mc_vol^2/2)*(mc_t2-mc_t1)+mc_vol*SQRT(mc_t2-mc_t1)*I17)</f>
        <v>1597.8891706364</v>
      </c>
      <c r="L17" s="31" t="n">
        <f aca="false">(t1_usd*J17+t2_usd*K17)/1000</f>
        <v>12881.8000012075</v>
      </c>
    </row>
    <row r="18" customFormat="false" ht="15" hidden="false" customHeight="false" outlineLevel="0" collapsed="false">
      <c r="B18" s="6" t="s">
        <v>457</v>
      </c>
      <c r="C18" s="37" t="n">
        <f aca="false">COUNTIF($L$5:$L$2004,"&gt;"&amp;mc_hedged)/2000</f>
        <v>0.475</v>
      </c>
      <c r="E18" s="54" t="n">
        <v>14</v>
      </c>
      <c r="F18" s="61" t="n">
        <v>0.979265</v>
      </c>
      <c r="G18" s="61" t="n">
        <v>0.089597</v>
      </c>
      <c r="H18" s="34" t="n">
        <f aca="false">NORMSINV(F18)</f>
        <v>2.0387999231418</v>
      </c>
      <c r="I18" s="34" t="n">
        <f aca="false">NORMSINV(G18)</f>
        <v>-1.34324084439114</v>
      </c>
      <c r="J18" s="59" t="n">
        <f aca="false">mc_s0*EXP((mc_mu-mc_vol^2/2)*mc_t1+mc_vol*SQRT(mc_t1)*H18)</f>
        <v>1392.72456091044</v>
      </c>
      <c r="K18" s="59" t="n">
        <f aca="false">J18*EXP((mc_mu-mc_vol^2/2)*(mc_t2-mc_t1)+mc_vol*SQRT(mc_t2-mc_t1)*I18)</f>
        <v>1147.65763186004</v>
      </c>
      <c r="L18" s="31" t="n">
        <f aca="false">(t1_usd*J18+t2_usd*K18)/1000</f>
        <v>11929.6214269071</v>
      </c>
    </row>
    <row r="19" customFormat="false" ht="15" hidden="false" customHeight="false" outlineLevel="0" collapsed="false">
      <c r="B19" s="6" t="s">
        <v>458</v>
      </c>
      <c r="C19" s="7" t="n">
        <f aca="false">h_krw_actual</f>
        <v>11079.98</v>
      </c>
      <c r="E19" s="54" t="n">
        <v>15</v>
      </c>
      <c r="F19" s="61" t="n">
        <v>0.124901</v>
      </c>
      <c r="G19" s="61" t="n">
        <v>0.568892</v>
      </c>
      <c r="H19" s="34" t="n">
        <f aca="false">NORMSINV(F19)</f>
        <v>-1.15083043794536</v>
      </c>
      <c r="I19" s="34" t="n">
        <f aca="false">NORMSINV(G19)</f>
        <v>0.173553982119803</v>
      </c>
      <c r="J19" s="59" t="n">
        <f aca="false">mc_s0*EXP((mc_mu-mc_vol^2/2)*mc_t1+mc_vol*SQRT(mc_t1)*H19)</f>
        <v>1026.93648001369</v>
      </c>
      <c r="K19" s="59" t="n">
        <f aca="false">J19*EXP((mc_mu-mc_vol^2/2)*(mc_t2-mc_t1)+mc_vol*SQRT(mc_t2-mc_t1)*I19)</f>
        <v>1074.7388557709</v>
      </c>
      <c r="L19" s="31" t="n">
        <f aca="false">(t1_usd*J19+t2_usd*K19)/1000</f>
        <v>9230.55918606055</v>
      </c>
    </row>
    <row r="20" customFormat="false" ht="15" hidden="false" customHeight="false" outlineLevel="0" collapsed="false">
      <c r="B20" s="30" t="s">
        <v>459</v>
      </c>
      <c r="C20" s="37" t="n">
        <f aca="false">PERCENTRANK($L$5:$L$2004,mc_actual)</f>
        <v>0.783</v>
      </c>
      <c r="E20" s="54" t="n">
        <v>16</v>
      </c>
      <c r="F20" s="61" t="n">
        <v>0.315087</v>
      </c>
      <c r="G20" s="61" t="n">
        <v>0.595767</v>
      </c>
      <c r="H20" s="34" t="n">
        <f aca="false">NORMSINV(F20)</f>
        <v>-0.481481957399229</v>
      </c>
      <c r="I20" s="34" t="n">
        <f aca="false">NORMSINV(G20)</f>
        <v>0.242405465232992</v>
      </c>
      <c r="J20" s="59" t="n">
        <f aca="false">mc_s0*EXP((mc_mu-mc_vol^2/2)*mc_t1+mc_vol*SQRT(mc_t1)*H20)</f>
        <v>1094.74121609925</v>
      </c>
      <c r="K20" s="59" t="n">
        <f aca="false">J20*EXP((mc_mu-mc_vol^2/2)*(mc_t2-mc_t1)+mc_vol*SQRT(mc_t2-mc_t1)*I20)</f>
        <v>1158.19893549774</v>
      </c>
      <c r="L20" s="31" t="n">
        <f aca="false">(t1_usd*J20+t2_usd*K20)/1000</f>
        <v>9863.76649014046</v>
      </c>
    </row>
    <row r="21" customFormat="false" ht="15" hidden="false" customHeight="false" outlineLevel="0" collapsed="false">
      <c r="B21" s="6" t="s">
        <v>460</v>
      </c>
      <c r="C21" s="31" t="n">
        <f aca="false">mc_p95-mc_hedged</f>
        <v>1787.8312831417</v>
      </c>
      <c r="E21" s="54" t="n">
        <v>17</v>
      </c>
      <c r="F21" s="61" t="n">
        <v>0.056064</v>
      </c>
      <c r="G21" s="61" t="n">
        <v>0.553085</v>
      </c>
      <c r="H21" s="34" t="n">
        <f aca="false">NORMSINV(F21)</f>
        <v>-1.58870061516287</v>
      </c>
      <c r="I21" s="34" t="n">
        <f aca="false">NORMSINV(G21)</f>
        <v>0.133459489889366</v>
      </c>
      <c r="J21" s="59" t="n">
        <f aca="false">mc_s0*EXP((mc_mu-mc_vol^2/2)*mc_t1+mc_vol*SQRT(mc_t1)*H21)</f>
        <v>984.869208564643</v>
      </c>
      <c r="K21" s="59" t="n">
        <f aca="false">J21*EXP((mc_mu-mc_vol^2/2)*(mc_t2-mc_t1)+mc_vol*SQRT(mc_t2-mc_t1)*I21)</f>
        <v>1024.22126163834</v>
      </c>
      <c r="L21" s="31" t="n">
        <f aca="false">(t1_usd*J21+t2_usd*K21)/1000</f>
        <v>8840.10485706535</v>
      </c>
    </row>
    <row r="22" customFormat="false" ht="15" hidden="false" customHeight="false" outlineLevel="0" collapsed="false">
      <c r="E22" s="54" t="n">
        <v>18</v>
      </c>
      <c r="F22" s="61" t="n">
        <v>0.953511</v>
      </c>
      <c r="G22" s="61" t="n">
        <v>0.549659</v>
      </c>
      <c r="H22" s="34" t="n">
        <f aca="false">NORMSINV(F22)</f>
        <v>1.67989369889376</v>
      </c>
      <c r="I22" s="34" t="n">
        <f aca="false">NORMSINV(G22)</f>
        <v>0.124799857764321</v>
      </c>
      <c r="J22" s="59" t="n">
        <f aca="false">mc_s0*EXP((mc_mu-mc_vol^2/2)*mc_t1+mc_vol*SQRT(mc_t1)*H22)</f>
        <v>1345.78606819714</v>
      </c>
      <c r="K22" s="59" t="n">
        <f aca="false">J22*EXP((mc_mu-mc_vol^2/2)*(mc_t2-mc_t1)+mc_vol*SQRT(mc_t2-mc_t1)*I22)</f>
        <v>1397.65046768034</v>
      </c>
      <c r="L22" s="31" t="n">
        <f aca="false">(t1_usd*J22+t2_usd*K22)/1000</f>
        <v>12076.0383659726</v>
      </c>
    </row>
    <row r="23" customFormat="false" ht="15" hidden="false" customHeight="false" outlineLevel="0" collapsed="false">
      <c r="B23" s="5" t="s">
        <v>461</v>
      </c>
      <c r="C23" s="4"/>
      <c r="E23" s="54" t="n">
        <v>19</v>
      </c>
      <c r="F23" s="61" t="n">
        <v>0.995334</v>
      </c>
      <c r="G23" s="61" t="n">
        <v>0.166671</v>
      </c>
      <c r="H23" s="34" t="n">
        <f aca="false">NORMSINV(F23)</f>
        <v>2.59964589762908</v>
      </c>
      <c r="I23" s="34" t="n">
        <f aca="false">NORMSINV(G23)</f>
        <v>-0.967404222572917</v>
      </c>
      <c r="J23" s="59" t="n">
        <f aca="false">mc_s0*EXP((mc_mu-mc_vol^2/2)*mc_t1+mc_vol*SQRT(mc_t1)*H23)</f>
        <v>1469.37247835995</v>
      </c>
      <c r="K23" s="59" t="n">
        <f aca="false">J23*EXP((mc_mu-mc_vol^2/2)*(mc_t2-mc_t1)+mc_vol*SQRT(mc_t2-mc_t1)*I23)</f>
        <v>1284.70073315775</v>
      </c>
      <c r="L23" s="31" t="n">
        <f aca="false">(t1_usd*J23+t2_usd*K23)/1000</f>
        <v>12726.5387415194</v>
      </c>
    </row>
    <row r="24" customFormat="false" ht="15" hidden="false" customHeight="false" outlineLevel="0" collapsed="false">
      <c r="B24" s="6" t="s">
        <v>452</v>
      </c>
      <c r="C24" s="59" t="n">
        <f aca="false">PERCENTILE($K$5:$K$2004,0.05)</f>
        <v>869.987179487632</v>
      </c>
      <c r="E24" s="54" t="n">
        <v>20</v>
      </c>
      <c r="F24" s="61" t="n">
        <v>0.983819</v>
      </c>
      <c r="G24" s="61" t="n">
        <v>0.310973</v>
      </c>
      <c r="H24" s="34" t="n">
        <f aca="false">NORMSINV(F24)</f>
        <v>2.13991050481479</v>
      </c>
      <c r="I24" s="34" t="n">
        <f aca="false">NORMSINV(G24)</f>
        <v>-0.493094240833746</v>
      </c>
      <c r="J24" s="59" t="n">
        <f aca="false">mc_s0*EXP((mc_mu-mc_vol^2/2)*mc_t1+mc_vol*SQRT(mc_t1)*H24)</f>
        <v>1406.24114853863</v>
      </c>
      <c r="K24" s="59" t="n">
        <f aca="false">J24*EXP((mc_mu-mc_vol^2/2)*(mc_t2-mc_t1)+mc_vol*SQRT(mc_t2-mc_t1)*I24)</f>
        <v>1324.92876347665</v>
      </c>
      <c r="L24" s="31" t="n">
        <f aca="false">(t1_usd*J24+t2_usd*K24)/1000</f>
        <v>12361.052690376</v>
      </c>
    </row>
    <row r="25" customFormat="false" ht="15" hidden="false" customHeight="false" outlineLevel="0" collapsed="false">
      <c r="B25" s="6" t="s">
        <v>453</v>
      </c>
      <c r="C25" s="59" t="n">
        <f aca="false">PERCENTILE($K$5:$K$2004,0.5)</f>
        <v>1163.33739145121</v>
      </c>
      <c r="E25" s="54" t="n">
        <v>21</v>
      </c>
      <c r="F25" s="61" t="n">
        <v>0.947501</v>
      </c>
      <c r="G25" s="61" t="n">
        <v>0.525074</v>
      </c>
      <c r="H25" s="34" t="n">
        <f aca="false">NORMSINV(F25)</f>
        <v>1.62109157772654</v>
      </c>
      <c r="I25" s="34" t="n">
        <f aca="false">NORMSINV(G25)</f>
        <v>0.0628926345656602</v>
      </c>
      <c r="J25" s="59" t="n">
        <f aca="false">mc_s0*EXP((mc_mu-mc_vol^2/2)*mc_t1+mc_vol*SQRT(mc_t1)*H25)</f>
        <v>1338.24806808735</v>
      </c>
      <c r="K25" s="59" t="n">
        <f aca="false">J25*EXP((mc_mu-mc_vol^2/2)*(mc_t2-mc_t1)+mc_vol*SQRT(mc_t2-mc_t1)*I25)</f>
        <v>1376.32857241051</v>
      </c>
      <c r="L25" s="31" t="n">
        <f aca="false">(t1_usd*J25+t2_usd*K25)/1000</f>
        <v>11982.7607641914</v>
      </c>
    </row>
    <row r="26" customFormat="false" ht="15" hidden="false" customHeight="false" outlineLevel="0" collapsed="false">
      <c r="B26" s="6" t="s">
        <v>454</v>
      </c>
      <c r="C26" s="59" t="n">
        <f aca="false">PERCENTILE($K$5:$K$2004,0.95)</f>
        <v>1566.1726982569</v>
      </c>
      <c r="E26" s="54" t="n">
        <v>22</v>
      </c>
      <c r="F26" s="61" t="n">
        <v>0.022367</v>
      </c>
      <c r="G26" s="61" t="n">
        <v>0.473328</v>
      </c>
      <c r="H26" s="34" t="n">
        <f aca="false">NORMSINV(F26)</f>
        <v>-2.00714712221362</v>
      </c>
      <c r="I26" s="34" t="n">
        <f aca="false">NORMSINV(G26)</f>
        <v>-0.0669066738278248</v>
      </c>
      <c r="J26" s="59" t="n">
        <f aca="false">mc_s0*EXP((mc_mu-mc_vol^2/2)*mc_t1+mc_vol*SQRT(mc_t1)*H26)</f>
        <v>946.279273243068</v>
      </c>
      <c r="K26" s="59" t="n">
        <f aca="false">J26*EXP((mc_mu-mc_vol^2/2)*(mc_t2-mc_t1)+mc_vol*SQRT(mc_t2-mc_t1)*I26)</f>
        <v>953.500933895576</v>
      </c>
      <c r="L26" s="31" t="n">
        <f aca="false">(t1_usd*J26+t2_usd*K26)/1000</f>
        <v>8435.60668710307</v>
      </c>
    </row>
    <row r="27" customFormat="false" ht="15" hidden="false" customHeight="false" outlineLevel="0" collapsed="false">
      <c r="B27" s="6" t="s">
        <v>389</v>
      </c>
      <c r="C27" s="59" t="n">
        <f aca="false">h_fwd2</f>
        <v>1187.24704399514</v>
      </c>
      <c r="E27" s="54" t="n">
        <v>23</v>
      </c>
      <c r="F27" s="61" t="n">
        <v>0.26049</v>
      </c>
      <c r="G27" s="61" t="n">
        <v>0.049748</v>
      </c>
      <c r="H27" s="34" t="n">
        <f aca="false">NORMSINV(F27)</f>
        <v>-0.641835495546609</v>
      </c>
      <c r="I27" s="34" t="n">
        <f aca="false">NORMSINV(G27)</f>
        <v>-1.64730193684414</v>
      </c>
      <c r="J27" s="59" t="n">
        <f aca="false">mc_s0*EXP((mc_mu-mc_vol^2/2)*mc_t1+mc_vol*SQRT(mc_t1)*H27)</f>
        <v>1078.10040916853</v>
      </c>
      <c r="K27" s="59" t="n">
        <f aca="false">J27*EXP((mc_mu-mc_vol^2/2)*(mc_t2-mc_t1)+mc_vol*SQRT(mc_t2-mc_t1)*I27)</f>
        <v>846.829190072829</v>
      </c>
      <c r="L27" s="31" t="n">
        <f aca="false">(t1_usd*J27+t2_usd*K27)/1000</f>
        <v>9155.67832531809</v>
      </c>
    </row>
    <row r="28" customFormat="false" ht="15" hidden="false" customHeight="false" outlineLevel="0" collapsed="false">
      <c r="B28" s="6" t="s">
        <v>462</v>
      </c>
      <c r="C28" s="59" t="n">
        <f aca="false">fx_c2</f>
        <v>1463.9</v>
      </c>
      <c r="E28" s="54" t="n">
        <v>24</v>
      </c>
      <c r="F28" s="61" t="n">
        <v>0.79006</v>
      </c>
      <c r="G28" s="61" t="n">
        <v>0.178862</v>
      </c>
      <c r="H28" s="34" t="n">
        <f aca="false">NORMSINV(F28)</f>
        <v>0.80662945232943</v>
      </c>
      <c r="I28" s="34" t="n">
        <f aca="false">NORMSINV(G28)</f>
        <v>-0.919710622712823</v>
      </c>
      <c r="J28" s="59" t="n">
        <f aca="false">mc_s0*EXP((mc_mu-mc_vol^2/2)*mc_t1+mc_vol*SQRT(mc_t1)*H28)</f>
        <v>1238.07999236886</v>
      </c>
      <c r="K28" s="59" t="n">
        <f aca="false">J28*EXP((mc_mu-mc_vol^2/2)*(mc_t2-mc_t1)+mc_vol*SQRT(mc_t2-mc_t1)*I28)</f>
        <v>1090.64400049027</v>
      </c>
      <c r="L28" s="31" t="n">
        <f aca="false">(t1_usd*J28+t2_usd*K28)/1000</f>
        <v>10738.7835475135</v>
      </c>
    </row>
    <row r="29" customFormat="false" ht="15" hidden="false" customHeight="false" outlineLevel="0" collapsed="false">
      <c r="E29" s="54" t="n">
        <v>25</v>
      </c>
      <c r="F29" s="61" t="n">
        <v>0.379062</v>
      </c>
      <c r="G29" s="61" t="n">
        <v>0.147593</v>
      </c>
      <c r="H29" s="34" t="n">
        <f aca="false">NORMSINV(F29)</f>
        <v>-0.307945241082071</v>
      </c>
      <c r="I29" s="34" t="n">
        <f aca="false">NORMSINV(G29)</f>
        <v>-1.04681263888796</v>
      </c>
      <c r="J29" s="59" t="n">
        <f aca="false">mc_s0*EXP((mc_mu-mc_vol^2/2)*mc_t1+mc_vol*SQRT(mc_t1)*H29)</f>
        <v>1113.0396384415</v>
      </c>
      <c r="K29" s="59" t="n">
        <f aca="false">J29*EXP((mc_mu-mc_vol^2/2)*(mc_t2-mc_t1)+mc_vol*SQRT(mc_t2-mc_t1)*I29)</f>
        <v>961.049688744525</v>
      </c>
      <c r="L29" s="31" t="n">
        <f aca="false">(t1_usd*J29+t2_usd*K29)/1000</f>
        <v>9617.27187770513</v>
      </c>
    </row>
    <row r="30" customFormat="false" ht="15" hidden="false" customHeight="false" outlineLevel="0" collapsed="false">
      <c r="B30" s="5" t="s">
        <v>463</v>
      </c>
      <c r="C30" s="4"/>
      <c r="E30" s="54" t="n">
        <v>26</v>
      </c>
      <c r="F30" s="61" t="n">
        <v>0.361323</v>
      </c>
      <c r="G30" s="61" t="n">
        <v>0.903963</v>
      </c>
      <c r="H30" s="34" t="n">
        <f aca="false">NORMSINV(F30)</f>
        <v>-0.354924704898091</v>
      </c>
      <c r="I30" s="34" t="n">
        <f aca="false">NORMSINV(G30)</f>
        <v>1.3044681856304</v>
      </c>
      <c r="J30" s="59" t="n">
        <f aca="false">mc_s0*EXP((mc_mu-mc_vol^2/2)*mc_t1+mc_vol*SQRT(mc_t1)*H30)</f>
        <v>1108.05595062076</v>
      </c>
      <c r="K30" s="59" t="n">
        <f aca="false">J30*EXP((mc_mu-mc_vol^2/2)*(mc_t2-mc_t1)+mc_vol*SQRT(mc_t2-mc_t1)*I30)</f>
        <v>1385.87138351295</v>
      </c>
      <c r="L30" s="31" t="n">
        <f aca="false">(t1_usd*J30+t2_usd*K30)/1000</f>
        <v>10389.5472830199</v>
      </c>
    </row>
    <row r="31" customFormat="false" ht="15" hidden="false" customHeight="false" outlineLevel="0" collapsed="false">
      <c r="B31" s="12" t="s">
        <v>464</v>
      </c>
      <c r="C31" s="13" t="s">
        <v>465</v>
      </c>
      <c r="E31" s="54" t="n">
        <v>27</v>
      </c>
      <c r="F31" s="61" t="n">
        <v>0.124806</v>
      </c>
      <c r="G31" s="61" t="n">
        <v>0.137687</v>
      </c>
      <c r="H31" s="34" t="n">
        <f aca="false">NORMSINV(F31)</f>
        <v>-1.15129230937655</v>
      </c>
      <c r="I31" s="34" t="n">
        <f aca="false">NORMSINV(G31)</f>
        <v>-1.09077022769667</v>
      </c>
      <c r="J31" s="59" t="n">
        <f aca="false">mc_s0*EXP((mc_mu-mc_vol^2/2)*mc_t1+mc_vol*SQRT(mc_t1)*H31)</f>
        <v>1026.89117342637</v>
      </c>
      <c r="K31" s="59" t="n">
        <f aca="false">J31*EXP((mc_mu-mc_vol^2/2)*(mc_t2-mc_t1)+mc_vol*SQRT(mc_t2-mc_t1)*I31)</f>
        <v>880.544063092743</v>
      </c>
      <c r="L31" s="31" t="n">
        <f aca="false">(t1_usd*J31+t2_usd*K31)/1000</f>
        <v>8861.27193386077</v>
      </c>
    </row>
    <row r="32" customFormat="false" ht="15" hidden="false" customHeight="false" outlineLevel="0" collapsed="false">
      <c r="B32" s="60" t="n">
        <v>9000</v>
      </c>
      <c r="C32" s="62" t="n">
        <f aca="false">COUNTIFS($L$5:$L$2004,"&gt;="&amp;B32,$L$5:$L$2004,"&lt;"&amp;B33)</f>
        <v>115</v>
      </c>
      <c r="E32" s="54" t="n">
        <v>28</v>
      </c>
      <c r="F32" s="61" t="n">
        <v>0.488534</v>
      </c>
      <c r="G32" s="61" t="n">
        <v>0.777255</v>
      </c>
      <c r="H32" s="34" t="n">
        <f aca="false">NORMSINV(F32)</f>
        <v>-0.028744957834856</v>
      </c>
      <c r="I32" s="34" t="n">
        <f aca="false">NORMSINV(G32)</f>
        <v>0.76295539144454</v>
      </c>
      <c r="J32" s="59" t="n">
        <f aca="false">mc_s0*EXP((mc_mu-mc_vol^2/2)*mc_t1+mc_vol*SQRT(mc_t1)*H32)</f>
        <v>1143.12373061917</v>
      </c>
      <c r="K32" s="59" t="n">
        <f aca="false">J32*EXP((mc_mu-mc_vol^2/2)*(mc_t2-mc_t1)+mc_vol*SQRT(mc_t2-mc_t1)*I32)</f>
        <v>1312.78116256205</v>
      </c>
      <c r="L32" s="31" t="n">
        <f aca="false">(t1_usd*J32+t2_usd*K32)/1000</f>
        <v>10496.1503232021</v>
      </c>
    </row>
    <row r="33" customFormat="false" ht="15" hidden="false" customHeight="false" outlineLevel="0" collapsed="false">
      <c r="B33" s="60" t="n">
        <v>9250</v>
      </c>
      <c r="C33" s="62" t="n">
        <f aca="false">COUNTIFS($L$5:$L$2004,"&gt;="&amp;B33,$L$5:$L$2004,"&lt;"&amp;B34)</f>
        <v>138</v>
      </c>
      <c r="E33" s="54" t="n">
        <v>29</v>
      </c>
      <c r="F33" s="61" t="n">
        <v>0.468007</v>
      </c>
      <c r="G33" s="61" t="n">
        <v>0.656599</v>
      </c>
      <c r="H33" s="34" t="n">
        <f aca="false">NORMSINV(F33)</f>
        <v>-0.08028070984729</v>
      </c>
      <c r="I33" s="34" t="n">
        <f aca="false">NORMSINV(G33)</f>
        <v>0.40319877607999</v>
      </c>
      <c r="J33" s="59" t="n">
        <f aca="false">mc_s0*EXP((mc_mu-mc_vol^2/2)*mc_t1+mc_vol*SQRT(mc_t1)*H33)</f>
        <v>1137.51015513291</v>
      </c>
      <c r="K33" s="59" t="n">
        <f aca="false">J33*EXP((mc_mu-mc_vol^2/2)*(mc_t2-mc_t1)+mc_vol*SQRT(mc_t2-mc_t1)*I33)</f>
        <v>1234.33194112719</v>
      </c>
      <c r="L33" s="31" t="n">
        <f aca="false">(t1_usd*J33+t2_usd*K33)/1000</f>
        <v>10307.8017740721</v>
      </c>
    </row>
    <row r="34" customFormat="false" ht="15" hidden="false" customHeight="false" outlineLevel="0" collapsed="false">
      <c r="B34" s="60" t="n">
        <v>9500</v>
      </c>
      <c r="C34" s="62" t="n">
        <f aca="false">COUNTIFS($L$5:$L$2004,"&gt;="&amp;B34,$L$5:$L$2004,"&lt;"&amp;B35)</f>
        <v>172</v>
      </c>
      <c r="E34" s="54" t="n">
        <v>30</v>
      </c>
      <c r="F34" s="61" t="n">
        <v>0.964195</v>
      </c>
      <c r="G34" s="61" t="n">
        <v>0.300642</v>
      </c>
      <c r="H34" s="34" t="n">
        <f aca="false">NORMSINV(F34)</f>
        <v>1.80158959195987</v>
      </c>
      <c r="I34" s="34" t="n">
        <f aca="false">NORMSINV(G34)</f>
        <v>-0.52255494648266</v>
      </c>
      <c r="J34" s="59" t="n">
        <f aca="false">mc_s0*EXP((mc_mu-mc_vol^2/2)*mc_t1+mc_vol*SQRT(mc_t1)*H34)</f>
        <v>1361.5217265867</v>
      </c>
      <c r="K34" s="59" t="n">
        <f aca="false">J34*EXP((mc_mu-mc_vol^2/2)*(mc_t2-mc_t1)+mc_vol*SQRT(mc_t2-mc_t1)*I34)</f>
        <v>1276.85316484777</v>
      </c>
      <c r="L34" s="31" t="n">
        <f aca="false">(t1_usd*J34+t2_usd*K34)/1000</f>
        <v>11956.6730993177</v>
      </c>
    </row>
    <row r="35" customFormat="false" ht="15" hidden="false" customHeight="false" outlineLevel="0" collapsed="false">
      <c r="B35" s="60" t="n">
        <v>9750</v>
      </c>
      <c r="C35" s="62" t="n">
        <f aca="false">COUNTIFS($L$5:$L$2004,"&gt;="&amp;B35,$L$5:$L$2004,"&lt;"&amp;B36)</f>
        <v>173</v>
      </c>
      <c r="E35" s="54" t="n">
        <v>31</v>
      </c>
      <c r="F35" s="61" t="n">
        <v>0.158331</v>
      </c>
      <c r="G35" s="61" t="n">
        <v>0.683319</v>
      </c>
      <c r="H35" s="34" t="n">
        <f aca="false">NORMSINV(F35)</f>
        <v>-1.00134095346706</v>
      </c>
      <c r="I35" s="34" t="n">
        <f aca="false">NORMSINV(G35)</f>
        <v>0.477000170819496</v>
      </c>
      <c r="J35" s="59" t="n">
        <f aca="false">mc_s0*EXP((mc_mu-mc_vol^2/2)*mc_t1+mc_vol*SQRT(mc_t1)*H35)</f>
        <v>1041.70595122979</v>
      </c>
      <c r="K35" s="59" t="n">
        <f aca="false">J35*EXP((mc_mu-mc_vol^2/2)*(mc_t2-mc_t1)+mc_vol*SQRT(mc_t2-mc_t1)*I35)</f>
        <v>1143.59680866983</v>
      </c>
      <c r="L35" s="31" t="n">
        <f aca="false">(t1_usd*J35+t2_usd*K35)/1000</f>
        <v>9464.77559508122</v>
      </c>
    </row>
    <row r="36" customFormat="false" ht="15" hidden="false" customHeight="false" outlineLevel="0" collapsed="false">
      <c r="B36" s="60" t="n">
        <v>10000</v>
      </c>
      <c r="C36" s="62" t="n">
        <f aca="false">COUNTIFS($L$5:$L$2004,"&gt;="&amp;B36,$L$5:$L$2004,"&lt;"&amp;B37)</f>
        <v>208</v>
      </c>
      <c r="E36" s="54" t="n">
        <v>32</v>
      </c>
      <c r="F36" s="61" t="n">
        <v>0.800402</v>
      </c>
      <c r="G36" s="61" t="n">
        <v>0.835207</v>
      </c>
      <c r="H36" s="34" t="n">
        <f aca="false">NORMSINV(F36)</f>
        <v>0.843058011976978</v>
      </c>
      <c r="I36" s="34" t="n">
        <f aca="false">NORMSINV(G36)</f>
        <v>0.974948109989867</v>
      </c>
      <c r="J36" s="59" t="n">
        <f aca="false">mc_s0*EXP((mc_mu-mc_vol^2/2)*mc_t1+mc_vol*SQRT(mc_t1)*H36)</f>
        <v>1242.39570771715</v>
      </c>
      <c r="K36" s="59" t="n">
        <f aca="false">J36*EXP((mc_mu-mc_vol^2/2)*(mc_t2-mc_t1)+mc_vol*SQRT(mc_t2-mc_t1)*I36)</f>
        <v>1475.25879798588</v>
      </c>
      <c r="L36" s="31" t="n">
        <f aca="false">(t1_usd*J36+t2_usd*K36)/1000</f>
        <v>11499.7616701932</v>
      </c>
    </row>
    <row r="37" customFormat="false" ht="15" hidden="false" customHeight="false" outlineLevel="0" collapsed="false">
      <c r="B37" s="60" t="n">
        <v>10250</v>
      </c>
      <c r="C37" s="62" t="n">
        <f aca="false">COUNTIFS($L$5:$L$2004,"&gt;="&amp;B37,$L$5:$L$2004,"&lt;"&amp;B38)</f>
        <v>182</v>
      </c>
      <c r="E37" s="54" t="n">
        <v>33</v>
      </c>
      <c r="F37" s="61" t="n">
        <v>0.4381</v>
      </c>
      <c r="G37" s="61" t="n">
        <v>0.609387</v>
      </c>
      <c r="H37" s="34" t="n">
        <f aca="false">NORMSINV(F37)</f>
        <v>-0.155788164597952</v>
      </c>
      <c r="I37" s="34" t="n">
        <f aca="false">NORMSINV(G37)</f>
        <v>0.277721701890711</v>
      </c>
      <c r="J37" s="59" t="n">
        <f aca="false">mc_s0*EXP((mc_mu-mc_vol^2/2)*mc_t1+mc_vol*SQRT(mc_t1)*H37)</f>
        <v>1129.33518654118</v>
      </c>
      <c r="K37" s="59" t="n">
        <f aca="false">J37*EXP((mc_mu-mc_vol^2/2)*(mc_t2-mc_t1)+mc_vol*SQRT(mc_t2-mc_t1)*I37)</f>
        <v>1201.46648501009</v>
      </c>
      <c r="L37" s="31" t="n">
        <f aca="false">(t1_usd*J37+t2_usd*K37)/1000</f>
        <v>10188.1326273074</v>
      </c>
    </row>
    <row r="38" customFormat="false" ht="15" hidden="false" customHeight="false" outlineLevel="0" collapsed="false">
      <c r="B38" s="60" t="n">
        <v>10500</v>
      </c>
      <c r="C38" s="62" t="n">
        <f aca="false">COUNTIFS($L$5:$L$2004,"&gt;="&amp;B38,$L$5:$L$2004,"&lt;"&amp;B39)</f>
        <v>185</v>
      </c>
      <c r="E38" s="54" t="n">
        <v>34</v>
      </c>
      <c r="F38" s="61" t="n">
        <v>0.253671</v>
      </c>
      <c r="G38" s="61" t="n">
        <v>0.999382</v>
      </c>
      <c r="H38" s="34" t="n">
        <f aca="false">NORMSINV(F38)</f>
        <v>-0.662982128567206</v>
      </c>
      <c r="I38" s="34" t="n">
        <f aca="false">NORMSINV(G38)</f>
        <v>3.23043963828983</v>
      </c>
      <c r="J38" s="59" t="n">
        <f aca="false">mc_s0*EXP((mc_mu-mc_vol^2/2)*mc_t1+mc_vol*SQRT(mc_t1)*H38)</f>
        <v>1075.92486387701</v>
      </c>
      <c r="K38" s="59" t="n">
        <f aca="false">J38*EXP((mc_mu-mc_vol^2/2)*(mc_t2-mc_t1)+mc_vol*SQRT(mc_t2-mc_t1)*I38)</f>
        <v>1822.8890790861</v>
      </c>
      <c r="L38" s="31" t="n">
        <f aca="false">(t1_usd*J38+t2_usd*K38)/1000</f>
        <v>10994.9632974026</v>
      </c>
    </row>
    <row r="39" customFormat="false" ht="15" hidden="false" customHeight="false" outlineLevel="0" collapsed="false">
      <c r="B39" s="60" t="n">
        <v>10750</v>
      </c>
      <c r="C39" s="62" t="n">
        <f aca="false">COUNTIFS($L$5:$L$2004,"&gt;="&amp;B39,$L$5:$L$2004,"&lt;"&amp;B40)</f>
        <v>159</v>
      </c>
      <c r="E39" s="54" t="n">
        <v>35</v>
      </c>
      <c r="F39" s="61" t="n">
        <v>0.791908</v>
      </c>
      <c r="G39" s="61" t="n">
        <v>0.481943</v>
      </c>
      <c r="H39" s="34" t="n">
        <f aca="false">NORMSINV(F39)</f>
        <v>0.813059404491386</v>
      </c>
      <c r="I39" s="34" t="n">
        <f aca="false">NORMSINV(G39)</f>
        <v>-0.0452776523600097</v>
      </c>
      <c r="J39" s="59" t="n">
        <f aca="false">mc_s0*EXP((mc_mu-mc_vol^2/2)*mc_t1+mc_vol*SQRT(mc_t1)*H39)</f>
        <v>1238.84066199742</v>
      </c>
      <c r="K39" s="59" t="n">
        <f aca="false">J39*EXP((mc_mu-mc_vol^2/2)*(mc_t2-mc_t1)+mc_vol*SQRT(mc_t2-mc_t1)*I39)</f>
        <v>1252.55722695373</v>
      </c>
      <c r="L39" s="31" t="n">
        <f aca="false">(t1_usd*J39+t2_usd*K39)/1000</f>
        <v>11051.743365194</v>
      </c>
    </row>
    <row r="40" customFormat="false" ht="15" hidden="false" customHeight="false" outlineLevel="0" collapsed="false">
      <c r="B40" s="60" t="n">
        <v>11000</v>
      </c>
      <c r="C40" s="62" t="n">
        <f aca="false">COUNTIFS($L$5:$L$2004,"&gt;="&amp;B40,$L$5:$L$2004,"&lt;"&amp;B41)</f>
        <v>123</v>
      </c>
      <c r="E40" s="54" t="n">
        <v>36</v>
      </c>
      <c r="F40" s="61" t="n">
        <v>0.129581</v>
      </c>
      <c r="G40" s="61" t="n">
        <v>0.801098</v>
      </c>
      <c r="H40" s="34" t="n">
        <f aca="false">NORMSINV(F40)</f>
        <v>-1.12837400809568</v>
      </c>
      <c r="I40" s="34" t="n">
        <f aca="false">NORMSINV(G40)</f>
        <v>0.845549692736009</v>
      </c>
      <c r="J40" s="59" t="n">
        <f aca="false">mc_s0*EXP((mc_mu-mc_vol^2/2)*mc_t1+mc_vol*SQRT(mc_t1)*H40)</f>
        <v>1029.14172289517</v>
      </c>
      <c r="K40" s="59" t="n">
        <f aca="false">J40*EXP((mc_mu-mc_vol^2/2)*(mc_t2-mc_t1)+mc_vol*SQRT(mc_t2-mc_t1)*I40)</f>
        <v>1197.36673515739</v>
      </c>
      <c r="L40" s="31" t="n">
        <f aca="false">(t1_usd*J40+t2_usd*K40)/1000</f>
        <v>9478.98885706525</v>
      </c>
    </row>
    <row r="41" customFormat="false" ht="15" hidden="false" customHeight="false" outlineLevel="0" collapsed="false">
      <c r="B41" s="60" t="n">
        <v>11250</v>
      </c>
      <c r="C41" s="62" t="n">
        <f aca="false">COUNTIFS($L$5:$L$2004,"&gt;="&amp;B41,$L$5:$L$2004,"&lt;"&amp;B42)</f>
        <v>96</v>
      </c>
      <c r="E41" s="54" t="n">
        <v>37</v>
      </c>
      <c r="F41" s="61" t="n">
        <v>0.073614</v>
      </c>
      <c r="G41" s="61" t="n">
        <v>0.972378</v>
      </c>
      <c r="H41" s="34" t="n">
        <f aca="false">NORMSINV(F41)</f>
        <v>-1.44939250710377</v>
      </c>
      <c r="I41" s="34" t="n">
        <f aca="false">NORMSINV(G41)</f>
        <v>1.91695223577436</v>
      </c>
      <c r="J41" s="59" t="n">
        <f aca="false">mc_s0*EXP((mc_mu-mc_vol^2/2)*mc_t1+mc_vol*SQRT(mc_t1)*H41)</f>
        <v>998.062525709657</v>
      </c>
      <c r="K41" s="59" t="n">
        <f aca="false">J41*EXP((mc_mu-mc_vol^2/2)*(mc_t2-mc_t1)+mc_vol*SQRT(mc_t2-mc_t1)*I41)</f>
        <v>1374.79686118083</v>
      </c>
      <c r="L41" s="31" t="n">
        <f aca="false">(t1_usd*J41+t2_usd*K41)/1000</f>
        <v>9598.55171621118</v>
      </c>
    </row>
    <row r="42" customFormat="false" ht="15" hidden="false" customHeight="false" outlineLevel="0" collapsed="false">
      <c r="B42" s="60" t="n">
        <v>11500</v>
      </c>
      <c r="C42" s="62" t="n">
        <f aca="false">COUNTIFS($L$5:$L$2004,"&gt;="&amp;B42,$L$5:$L$2004,"&lt;"&amp;B43)</f>
        <v>76</v>
      </c>
      <c r="E42" s="54" t="n">
        <v>38</v>
      </c>
      <c r="F42" s="61" t="n">
        <v>0.35934</v>
      </c>
      <c r="G42" s="61" t="n">
        <v>0.907986</v>
      </c>
      <c r="H42" s="34" t="n">
        <f aca="false">NORMSINV(F42)</f>
        <v>-0.360223503007097</v>
      </c>
      <c r="I42" s="34" t="n">
        <f aca="false">NORMSINV(G42)</f>
        <v>1.32845451593602</v>
      </c>
      <c r="J42" s="59" t="n">
        <f aca="false">mc_s0*EXP((mc_mu-mc_vol^2/2)*mc_t1+mc_vol*SQRT(mc_t1)*H42)</f>
        <v>1107.49524435823</v>
      </c>
      <c r="K42" s="59" t="n">
        <f aca="false">J42*EXP((mc_mu-mc_vol^2/2)*(mc_t2-mc_t1)+mc_vol*SQRT(mc_t2-mc_t1)*I42)</f>
        <v>1390.41606125568</v>
      </c>
      <c r="L42" s="31" t="n">
        <f aca="false">(t1_usd*J42+t2_usd*K42)/1000</f>
        <v>10394.2572268934</v>
      </c>
    </row>
    <row r="43" customFormat="false" ht="15" hidden="false" customHeight="false" outlineLevel="0" collapsed="false">
      <c r="B43" s="60" t="n">
        <v>11750</v>
      </c>
      <c r="C43" s="62" t="n">
        <f aca="false">COUNTIFS($L$5:$L$2004,"&gt;="&amp;B43,$L$5:$L$2004,"&lt;"&amp;B44)</f>
        <v>56</v>
      </c>
      <c r="E43" s="54" t="n">
        <v>39</v>
      </c>
      <c r="F43" s="61" t="n">
        <v>0.429896</v>
      </c>
      <c r="G43" s="61" t="n">
        <v>0.803623</v>
      </c>
      <c r="H43" s="34" t="n">
        <f aca="false">NORMSINV(F43)</f>
        <v>-0.176638946746802</v>
      </c>
      <c r="I43" s="34" t="n">
        <f aca="false">NORMSINV(G43)</f>
        <v>0.854633636819924</v>
      </c>
      <c r="J43" s="59" t="n">
        <f aca="false">mc_s0*EXP((mc_mu-mc_vol^2/2)*mc_t1+mc_vol*SQRT(mc_t1)*H43)</f>
        <v>1127.08810395282</v>
      </c>
      <c r="K43" s="59" t="n">
        <f aca="false">J43*EXP((mc_mu-mc_vol^2/2)*(mc_t2-mc_t1)+mc_vol*SQRT(mc_t2-mc_t1)*I43)</f>
        <v>1313.20216797952</v>
      </c>
      <c r="L43" s="31" t="n">
        <f aca="false">(t1_usd*J43+t2_usd*K43)/1000</f>
        <v>10384.7008468308</v>
      </c>
    </row>
    <row r="44" customFormat="false" ht="15" hidden="false" customHeight="false" outlineLevel="0" collapsed="false">
      <c r="B44" s="60" t="n">
        <v>12000</v>
      </c>
      <c r="C44" s="62" t="n">
        <f aca="false">COUNTIFS($L$5:$L$2004,"&gt;="&amp;B44,$L$5:$L$2004,"&lt;"&amp;B45)</f>
        <v>43</v>
      </c>
      <c r="E44" s="54" t="n">
        <v>40</v>
      </c>
      <c r="F44" s="61" t="n">
        <v>0.820463</v>
      </c>
      <c r="G44" s="61" t="n">
        <v>0.117532</v>
      </c>
      <c r="H44" s="34" t="n">
        <f aca="false">NORMSINV(F44)</f>
        <v>0.91713099683351</v>
      </c>
      <c r="I44" s="34" t="n">
        <f aca="false">NORMSINV(G44)</f>
        <v>-1.18741491425726</v>
      </c>
      <c r="J44" s="59" t="n">
        <f aca="false">mc_s0*EXP((mc_mu-mc_vol^2/2)*mc_t1+mc_vol*SQRT(mc_t1)*H44)</f>
        <v>1251.21763350216</v>
      </c>
      <c r="K44" s="59" t="n">
        <f aca="false">J44*EXP((mc_mu-mc_vol^2/2)*(mc_t2-mc_t1)+mc_vol*SQRT(mc_t2-mc_t1)*I44)</f>
        <v>1056.68364802457</v>
      </c>
      <c r="L44" s="31" t="n">
        <f aca="false">(t1_usd*J44+t2_usd*K44)/1000</f>
        <v>10766.2223657618</v>
      </c>
    </row>
    <row r="45" customFormat="false" ht="15" hidden="false" customHeight="false" outlineLevel="0" collapsed="false">
      <c r="B45" s="60" t="n">
        <v>12250</v>
      </c>
      <c r="C45" s="62" t="n">
        <f aca="false">COUNTIFS($L$5:$L$2004,"&gt;="&amp;B45,$L$5:$L$2004,"&lt;"&amp;B46)</f>
        <v>26</v>
      </c>
      <c r="E45" s="54" t="n">
        <v>41</v>
      </c>
      <c r="F45" s="61" t="n">
        <v>0.231641</v>
      </c>
      <c r="G45" s="61" t="n">
        <v>0.750757</v>
      </c>
      <c r="H45" s="34" t="n">
        <f aca="false">NORMSINV(F45)</f>
        <v>-0.733453301493345</v>
      </c>
      <c r="I45" s="34" t="n">
        <f aca="false">NORMSINV(G45)</f>
        <v>0.676873845159892</v>
      </c>
      <c r="J45" s="59" t="n">
        <f aca="false">mc_s0*EXP((mc_mu-mc_vol^2/2)*mc_t1+mc_vol*SQRT(mc_t1)*H45)</f>
        <v>1068.70650007331</v>
      </c>
      <c r="K45" s="59" t="n">
        <f aca="false">J45*EXP((mc_mu-mc_vol^2/2)*(mc_t2-mc_t1)+mc_vol*SQRT(mc_t2-mc_t1)*I45)</f>
        <v>1210.78202730821</v>
      </c>
      <c r="L45" s="31" t="n">
        <f aca="false">(t1_usd*J45+t2_usd*K45)/1000</f>
        <v>9781.43135239874</v>
      </c>
    </row>
    <row r="46" customFormat="false" ht="15" hidden="false" customHeight="false" outlineLevel="0" collapsed="false">
      <c r="B46" s="60" t="n">
        <v>12500</v>
      </c>
      <c r="C46" s="62" t="n">
        <f aca="false">COUNTIFS($L$5:$L$2004,"&gt;="&amp;B46,$L$5:$L$2004,"&lt;"&amp;B47)</f>
        <v>24</v>
      </c>
      <c r="E46" s="54" t="n">
        <v>42</v>
      </c>
      <c r="F46" s="61" t="n">
        <v>0.006345</v>
      </c>
      <c r="G46" s="61" t="n">
        <v>0.702847</v>
      </c>
      <c r="H46" s="34" t="n">
        <f aca="false">NORMSINV(F46)</f>
        <v>-2.49235257253147</v>
      </c>
      <c r="I46" s="34" t="n">
        <f aca="false">NORMSINV(G46)</f>
        <v>0.532606502436636</v>
      </c>
      <c r="J46" s="59" t="n">
        <f aca="false">mc_s0*EXP((mc_mu-mc_vol^2/2)*mc_t1+mc_vol*SQRT(mc_t1)*H46)</f>
        <v>903.421879485084</v>
      </c>
      <c r="K46" s="59" t="n">
        <f aca="false">J46*EXP((mc_mu-mc_vol^2/2)*(mc_t2-mc_t1)+mc_vol*SQRT(mc_t2-mc_t1)*I46)</f>
        <v>1000.51635982622</v>
      </c>
      <c r="L46" s="31" t="n">
        <f aca="false">(t1_usd*J46+t2_usd*K46)/1000</f>
        <v>8224.93424006541</v>
      </c>
    </row>
    <row r="47" customFormat="false" ht="15" hidden="false" customHeight="false" outlineLevel="0" collapsed="false">
      <c r="B47" s="60" t="n">
        <v>12750</v>
      </c>
      <c r="C47" s="62" t="n">
        <f aca="false">COUNTIFS($L$5:$L$2004,"&gt;="&amp;B47,$L$5:$L$2004,"&lt;"&amp;B48)</f>
        <v>11</v>
      </c>
      <c r="E47" s="54" t="n">
        <v>43</v>
      </c>
      <c r="F47" s="61" t="n">
        <v>0.018122</v>
      </c>
      <c r="G47" s="61" t="n">
        <v>0.043616</v>
      </c>
      <c r="H47" s="34" t="n">
        <f aca="false">NORMSINV(F47)</f>
        <v>-2.09417942383548</v>
      </c>
      <c r="I47" s="34" t="n">
        <f aca="false">NORMSINV(G47)</f>
        <v>-1.71018320718155</v>
      </c>
      <c r="J47" s="59" t="n">
        <f aca="false">mc_s0*EXP((mc_mu-mc_vol^2/2)*mc_t1+mc_vol*SQRT(mc_t1)*H47)</f>
        <v>938.444940174817</v>
      </c>
      <c r="K47" s="59" t="n">
        <f aca="false">J47*EXP((mc_mu-mc_vol^2/2)*(mc_t2-mc_t1)+mc_vol*SQRT(mc_t2-mc_t1)*I47)</f>
        <v>729.863583287666</v>
      </c>
      <c r="L47" s="31" t="n">
        <f aca="false">(t1_usd*J47+t2_usd*K47)/1000</f>
        <v>7955.85538947029</v>
      </c>
    </row>
    <row r="48" customFormat="false" ht="15" hidden="false" customHeight="false" outlineLevel="0" collapsed="false">
      <c r="B48" s="60" t="n">
        <v>13000</v>
      </c>
      <c r="C48" s="62" t="n">
        <f aca="false">COUNTIFS($L$5:$L$2004,"&gt;="&amp;B48,$L$5:$L$2004,"&lt;"&amp;1000000000)</f>
        <v>17</v>
      </c>
      <c r="E48" s="54" t="n">
        <v>44</v>
      </c>
      <c r="F48" s="61" t="n">
        <v>0.166881</v>
      </c>
      <c r="G48" s="61" t="n">
        <v>0.496682</v>
      </c>
      <c r="H48" s="34" t="n">
        <f aca="false">NORMSINV(F48)</f>
        <v>-0.966564076948867</v>
      </c>
      <c r="I48" s="34" t="n">
        <f aca="false">NORMSINV(G48)</f>
        <v>-0.00831708850189018</v>
      </c>
      <c r="J48" s="59" t="n">
        <f aca="false">mc_s0*EXP((mc_mu-mc_vol^2/2)*mc_t1+mc_vol*SQRT(mc_t1)*H48)</f>
        <v>1045.17223030938</v>
      </c>
      <c r="K48" s="59" t="n">
        <f aca="false">J48*EXP((mc_mu-mc_vol^2/2)*(mc_t2-mc_t1)+mc_vol*SQRT(mc_t2-mc_t1)*I48)</f>
        <v>1062.91769564096</v>
      </c>
      <c r="L48" s="31" t="n">
        <f aca="false">(t1_usd*J48+t2_usd*K48)/1000</f>
        <v>9335.74923388349</v>
      </c>
    </row>
    <row r="49" customFormat="false" ht="15" hidden="false" customHeight="false" outlineLevel="0" collapsed="false">
      <c r="E49" s="54" t="n">
        <v>45</v>
      </c>
      <c r="F49" s="61" t="n">
        <v>0.467736</v>
      </c>
      <c r="G49" s="61" t="n">
        <v>0.929605</v>
      </c>
      <c r="H49" s="34" t="n">
        <f aca="false">NORMSINV(F49)</f>
        <v>-0.0809622173658925</v>
      </c>
      <c r="I49" s="34" t="n">
        <f aca="false">NORMSINV(G49)</f>
        <v>1.47285551246272</v>
      </c>
      <c r="J49" s="59" t="n">
        <f aca="false">mc_s0*EXP((mc_mu-mc_vol^2/2)*mc_t1+mc_vol*SQRT(mc_t1)*H49)</f>
        <v>1137.43610632912</v>
      </c>
      <c r="K49" s="59" t="n">
        <f aca="false">J49*EXP((mc_mu-mc_vol^2/2)*(mc_t2-mc_t1)+mc_vol*SQRT(mc_t2-mc_t1)*I49)</f>
        <v>1460.87476896247</v>
      </c>
      <c r="L49" s="31" t="n">
        <f aca="false">(t1_usd*J49+t2_usd*K49)/1000</f>
        <v>10737.7148053325</v>
      </c>
    </row>
    <row r="50" customFormat="false" ht="15" hidden="false" customHeight="false" outlineLevel="0" collapsed="false">
      <c r="B50" s="17" t="s">
        <v>466</v>
      </c>
      <c r="E50" s="54" t="n">
        <v>46</v>
      </c>
      <c r="F50" s="61" t="n">
        <v>0.155353</v>
      </c>
      <c r="G50" s="61" t="n">
        <v>0.700278</v>
      </c>
      <c r="H50" s="34" t="n">
        <f aca="false">NORMSINV(F50)</f>
        <v>-1.01374174315087</v>
      </c>
      <c r="I50" s="34" t="n">
        <f aca="false">NORMSINV(G50)</f>
        <v>0.525200237279731</v>
      </c>
      <c r="J50" s="59" t="n">
        <f aca="false">mc_s0*EXP((mc_mu-mc_vol^2/2)*mc_t1+mc_vol*SQRT(mc_t1)*H50)</f>
        <v>1040.47272276927</v>
      </c>
      <c r="K50" s="59" t="n">
        <f aca="false">J50*EXP((mc_mu-mc_vol^2/2)*(mc_t2-mc_t1)+mc_vol*SQRT(mc_t2-mc_t1)*I50)</f>
        <v>1150.95247367454</v>
      </c>
      <c r="L50" s="31" t="n">
        <f aca="false">(t1_usd*J50+t2_usd*K50)/1000</f>
        <v>9470.11875936651</v>
      </c>
    </row>
    <row r="51" customFormat="false" ht="15" hidden="false" customHeight="false" outlineLevel="0" collapsed="false">
      <c r="E51" s="54" t="n">
        <v>47</v>
      </c>
      <c r="F51" s="61" t="n">
        <v>0.236246</v>
      </c>
      <c r="G51" s="61" t="n">
        <v>0.925454</v>
      </c>
      <c r="H51" s="34" t="n">
        <f aca="false">NORMSINV(F51)</f>
        <v>-0.718430315830155</v>
      </c>
      <c r="I51" s="34" t="n">
        <f aca="false">NORMSINV(G51)</f>
        <v>1.44274612743453</v>
      </c>
      <c r="J51" s="59" t="n">
        <f aca="false">mc_s0*EXP((mc_mu-mc_vol^2/2)*mc_t1+mc_vol*SQRT(mc_t1)*H51)</f>
        <v>1070.24123226975</v>
      </c>
      <c r="K51" s="59" t="n">
        <f aca="false">J51*EXP((mc_mu-mc_vol^2/2)*(mc_t2-mc_t1)+mc_vol*SQRT(mc_t2-mc_t1)*I51)</f>
        <v>1368.06557444301</v>
      </c>
      <c r="L51" s="31" t="n">
        <f aca="false">(t1_usd*J51+t2_usd*K51)/1000</f>
        <v>10091.01321733</v>
      </c>
    </row>
    <row r="52" customFormat="false" ht="15" hidden="false" customHeight="false" outlineLevel="0" collapsed="false">
      <c r="E52" s="54" t="n">
        <v>48</v>
      </c>
      <c r="F52" s="61" t="n">
        <v>0.204394</v>
      </c>
      <c r="G52" s="61" t="n">
        <v>0.457197</v>
      </c>
      <c r="H52" s="34" t="n">
        <f aca="false">NORMSINV(F52)</f>
        <v>-0.826028367705347</v>
      </c>
      <c r="I52" s="34" t="n">
        <f aca="false">NORMSINV(G52)</f>
        <v>-0.107497888941527</v>
      </c>
      <c r="J52" s="59" t="n">
        <f aca="false">mc_s0*EXP((mc_mu-mc_vol^2/2)*mc_t1+mc_vol*SQRT(mc_t1)*H52)</f>
        <v>1059.29757715622</v>
      </c>
      <c r="K52" s="59" t="n">
        <f aca="false">J52*EXP((mc_mu-mc_vol^2/2)*(mc_t2-mc_t1)+mc_vol*SQRT(mc_t2-mc_t1)*I52)</f>
        <v>1060.57561113142</v>
      </c>
      <c r="L52" s="31" t="n">
        <f aca="false">(t1_usd*J52+t2_usd*K52)/1000</f>
        <v>9430.17670124326</v>
      </c>
    </row>
    <row r="53" customFormat="false" ht="15" hidden="false" customHeight="false" outlineLevel="0" collapsed="false">
      <c r="E53" s="54" t="n">
        <v>49</v>
      </c>
      <c r="F53" s="61" t="n">
        <v>0.905776</v>
      </c>
      <c r="G53" s="61" t="n">
        <v>0.337078</v>
      </c>
      <c r="H53" s="34" t="n">
        <f aca="false">NORMSINV(F53)</f>
        <v>1.31518421161106</v>
      </c>
      <c r="I53" s="34" t="n">
        <f aca="false">NORMSINV(G53)</f>
        <v>-0.420451024615452</v>
      </c>
      <c r="J53" s="59" t="n">
        <f aca="false">mc_s0*EXP((mc_mu-mc_vol^2/2)*mc_t1+mc_vol*SQRT(mc_t1)*H53)</f>
        <v>1299.70884241691</v>
      </c>
      <c r="K53" s="59" t="n">
        <f aca="false">J53*EXP((mc_mu-mc_vol^2/2)*(mc_t2-mc_t1)+mc_vol*SQRT(mc_t2-mc_t1)*I53)</f>
        <v>1238.65578945444</v>
      </c>
      <c r="L53" s="31" t="n">
        <f aca="false">(t1_usd*J53+t2_usd*K53)/1000</f>
        <v>11451.4078968818</v>
      </c>
    </row>
    <row r="54" customFormat="false" ht="15" hidden="false" customHeight="false" outlineLevel="0" collapsed="false">
      <c r="E54" s="54" t="n">
        <v>50</v>
      </c>
      <c r="F54" s="61" t="n">
        <v>0.626158</v>
      </c>
      <c r="G54" s="61" t="n">
        <v>0.119886</v>
      </c>
      <c r="H54" s="34" t="n">
        <f aca="false">NORMSINV(F54)</f>
        <v>0.321694691268966</v>
      </c>
      <c r="I54" s="34" t="n">
        <f aca="false">NORMSINV(G54)</f>
        <v>-1.17555686762609</v>
      </c>
      <c r="J54" s="59" t="n">
        <f aca="false">mc_s0*EXP((mc_mu-mc_vol^2/2)*mc_t1+mc_vol*SQRT(mc_t1)*H54)</f>
        <v>1182.03738249203</v>
      </c>
      <c r="K54" s="59" t="n">
        <f aca="false">J54*EXP((mc_mu-mc_vol^2/2)*(mc_t2-mc_t1)+mc_vol*SQRT(mc_t2-mc_t1)*I54)</f>
        <v>1000.12648625721</v>
      </c>
      <c r="L54" s="31" t="n">
        <f aca="false">(t1_usd*J54+t2_usd*K54)/1000</f>
        <v>10174.5020013329</v>
      </c>
    </row>
    <row r="55" customFormat="false" ht="15" hidden="false" customHeight="false" outlineLevel="0" collapsed="false">
      <c r="E55" s="54" t="n">
        <v>51</v>
      </c>
      <c r="F55" s="61" t="n">
        <v>0.400248</v>
      </c>
      <c r="G55" s="61" t="n">
        <v>0.1604</v>
      </c>
      <c r="H55" s="34" t="n">
        <f aca="false">NORMSINV(F55)</f>
        <v>-0.252705237868969</v>
      </c>
      <c r="I55" s="34" t="n">
        <f aca="false">NORMSINV(G55)</f>
        <v>-0.992815243359168</v>
      </c>
      <c r="J55" s="59" t="n">
        <f aca="false">mc_s0*EXP((mc_mu-mc_vol^2/2)*mc_t1+mc_vol*SQRT(mc_t1)*H55)</f>
        <v>1118.92830405466</v>
      </c>
      <c r="K55" s="59" t="n">
        <f aca="false">J55*EXP((mc_mu-mc_vol^2/2)*(mc_t2-mc_t1)+mc_vol*SQRT(mc_t2-mc_t1)*I55)</f>
        <v>974.39075138859</v>
      </c>
      <c r="L55" s="31" t="n">
        <f aca="false">(t1_usd*J55+t2_usd*K55)/1000</f>
        <v>9683.84055602095</v>
      </c>
    </row>
    <row r="56" customFormat="false" ht="15" hidden="false" customHeight="false" outlineLevel="0" collapsed="false">
      <c r="E56" s="54" t="n">
        <v>52</v>
      </c>
      <c r="F56" s="61" t="n">
        <v>0.873137</v>
      </c>
      <c r="G56" s="61" t="n">
        <v>0.86742</v>
      </c>
      <c r="H56" s="34" t="n">
        <f aca="false">NORMSINV(F56)</f>
        <v>1.14134592002851</v>
      </c>
      <c r="I56" s="34" t="n">
        <f aca="false">NORMSINV(G56)</f>
        <v>1.11427786486669</v>
      </c>
      <c r="J56" s="59" t="n">
        <f aca="false">mc_s0*EXP((mc_mu-mc_vol^2/2)*mc_t1+mc_vol*SQRT(mc_t1)*H56)</f>
        <v>1278.30474487176</v>
      </c>
      <c r="K56" s="59" t="n">
        <f aca="false">J56*EXP((mc_mu-mc_vol^2/2)*(mc_t2-mc_t1)+mc_vol*SQRT(mc_t2-mc_t1)*I56)</f>
        <v>1551.5960277956</v>
      </c>
      <c r="L56" s="31" t="n">
        <f aca="false">(t1_usd*J56+t2_usd*K56)/1000</f>
        <v>11896.165666914</v>
      </c>
    </row>
    <row r="57" customFormat="false" ht="15" hidden="false" customHeight="false" outlineLevel="0" collapsed="false">
      <c r="E57" s="54" t="n">
        <v>53</v>
      </c>
      <c r="F57" s="61" t="n">
        <v>0.464628</v>
      </c>
      <c r="G57" s="61" t="n">
        <v>0.660663</v>
      </c>
      <c r="H57" s="34" t="n">
        <f aca="false">NORMSINV(F57)</f>
        <v>-0.0887809469749747</v>
      </c>
      <c r="I57" s="34" t="n">
        <f aca="false">NORMSINV(G57)</f>
        <v>0.414273252784505</v>
      </c>
      <c r="J57" s="59" t="n">
        <f aca="false">mc_s0*EXP((mc_mu-mc_vol^2/2)*mc_t1+mc_vol*SQRT(mc_t1)*H57)</f>
        <v>1136.58691161111</v>
      </c>
      <c r="K57" s="59" t="n">
        <f aca="false">J57*EXP((mc_mu-mc_vol^2/2)*(mc_t2-mc_t1)+mc_vol*SQRT(mc_t2-mc_t1)*I57)</f>
        <v>1235.48447747748</v>
      </c>
      <c r="L57" s="31" t="n">
        <f aca="false">(t1_usd*J57+t2_usd*K57)/1000</f>
        <v>10303.528888485</v>
      </c>
    </row>
    <row r="58" customFormat="false" ht="15" hidden="false" customHeight="false" outlineLevel="0" collapsed="false">
      <c r="E58" s="54" t="n">
        <v>54</v>
      </c>
      <c r="F58" s="61" t="n">
        <v>0.735729</v>
      </c>
      <c r="G58" s="61" t="n">
        <v>0.44437</v>
      </c>
      <c r="H58" s="34" t="n">
        <f aca="false">NORMSINV(F58)</f>
        <v>0.630233231520179</v>
      </c>
      <c r="I58" s="34" t="n">
        <f aca="false">NORMSINV(G58)</f>
        <v>-0.139898735992613</v>
      </c>
      <c r="J58" s="59" t="n">
        <f aca="false">mc_s0*EXP((mc_mu-mc_vol^2/2)*mc_t1+mc_vol*SQRT(mc_t1)*H58)</f>
        <v>1217.39332770248</v>
      </c>
      <c r="K58" s="59" t="n">
        <f aca="false">J58*EXP((mc_mu-mc_vol^2/2)*(mc_t2-mc_t1)+mc_vol*SQRT(mc_t2-mc_t1)*I58)</f>
        <v>1212.65426892894</v>
      </c>
      <c r="L58" s="31" t="n">
        <f aca="false">(t1_usd*J58+t2_usd*K58)/1000</f>
        <v>10825.7964048823</v>
      </c>
    </row>
    <row r="59" customFormat="false" ht="15" hidden="false" customHeight="false" outlineLevel="0" collapsed="false">
      <c r="E59" s="54" t="n">
        <v>55</v>
      </c>
      <c r="F59" s="61" t="n">
        <v>0.305739</v>
      </c>
      <c r="G59" s="61" t="n">
        <v>0.943781</v>
      </c>
      <c r="H59" s="34" t="n">
        <f aca="false">NORMSINV(F59)</f>
        <v>-0.507964841492655</v>
      </c>
      <c r="I59" s="34" t="n">
        <f aca="false">NORMSINV(G59)</f>
        <v>1.58732966466374</v>
      </c>
      <c r="J59" s="59" t="n">
        <f aca="false">mc_s0*EXP((mc_mu-mc_vol^2/2)*mc_t1+mc_vol*SQRT(mc_t1)*H59)</f>
        <v>1091.97533317245</v>
      </c>
      <c r="K59" s="59" t="n">
        <f aca="false">J59*EXP((mc_mu-mc_vol^2/2)*(mc_t2-mc_t1)+mc_vol*SQRT(mc_t2-mc_t1)*I59)</f>
        <v>1428.01782936063</v>
      </c>
      <c r="L59" s="31" t="n">
        <f aca="false">(t1_usd*J59+t2_usd*K59)/1000</f>
        <v>10357.0612079923</v>
      </c>
    </row>
    <row r="60" customFormat="false" ht="15" hidden="false" customHeight="false" outlineLevel="0" collapsed="false">
      <c r="E60" s="54" t="n">
        <v>56</v>
      </c>
      <c r="F60" s="61" t="n">
        <v>0.713512</v>
      </c>
      <c r="G60" s="61" t="n">
        <v>0.982367</v>
      </c>
      <c r="H60" s="34" t="n">
        <f aca="false">NORMSINV(F60)</f>
        <v>0.563674022157215</v>
      </c>
      <c r="I60" s="34" t="n">
        <f aca="false">NORMSINV(G60)</f>
        <v>2.10529082826895</v>
      </c>
      <c r="J60" s="59" t="n">
        <f aca="false">mc_s0*EXP((mc_mu-mc_vol^2/2)*mc_t1+mc_vol*SQRT(mc_t1)*H60)</f>
        <v>1209.67780329167</v>
      </c>
      <c r="K60" s="59" t="n">
        <f aca="false">J60*EXP((mc_mu-mc_vol^2/2)*(mc_t2-mc_t1)+mc_vol*SQRT(mc_t2-mc_t1)*I60)</f>
        <v>1716.48786403205</v>
      </c>
      <c r="L60" s="31" t="n">
        <f aca="false">(t1_usd*J60+t2_usd*K60)/1000</f>
        <v>11729.0715647026</v>
      </c>
    </row>
    <row r="61" customFormat="false" ht="15" hidden="false" customHeight="false" outlineLevel="0" collapsed="false">
      <c r="E61" s="54" t="n">
        <v>57</v>
      </c>
      <c r="F61" s="61" t="n">
        <v>0.626159</v>
      </c>
      <c r="G61" s="61" t="n">
        <v>0.157007</v>
      </c>
      <c r="H61" s="34" t="n">
        <f aca="false">NORMSINV(F61)</f>
        <v>0.321697331014951</v>
      </c>
      <c r="I61" s="34" t="n">
        <f aca="false">NORMSINV(G61)</f>
        <v>-1.0068351501593</v>
      </c>
      <c r="J61" s="59" t="n">
        <f aca="false">mc_s0*EXP((mc_mu-mc_vol^2/2)*mc_t1+mc_vol*SQRT(mc_t1)*H61)</f>
        <v>1182.03768054925</v>
      </c>
      <c r="K61" s="59" t="n">
        <f aca="false">J61*EXP((mc_mu-mc_vol^2/2)*(mc_t2-mc_t1)+mc_vol*SQRT(mc_t2-mc_t1)*I61)</f>
        <v>1027.07620078365</v>
      </c>
      <c r="L61" s="31" t="n">
        <f aca="false">(t1_usd*J61+t2_usd*K61)/1000</f>
        <v>10225.7085453337</v>
      </c>
    </row>
    <row r="62" customFormat="false" ht="15" hidden="false" customHeight="false" outlineLevel="0" collapsed="false">
      <c r="E62" s="54" t="n">
        <v>58</v>
      </c>
      <c r="F62" s="61" t="n">
        <v>0.265272</v>
      </c>
      <c r="G62" s="61" t="n">
        <v>0.554662</v>
      </c>
      <c r="H62" s="34" t="n">
        <f aca="false">NORMSINV(F62)</f>
        <v>-0.627175806835521</v>
      </c>
      <c r="I62" s="34" t="n">
        <f aca="false">NORMSINV(G62)</f>
        <v>0.137448876191182</v>
      </c>
      <c r="J62" s="59" t="n">
        <f aca="false">mc_s0*EXP((mc_mu-mc_vol^2/2)*mc_t1+mc_vol*SQRT(mc_t1)*H62)</f>
        <v>1079.61116514958</v>
      </c>
      <c r="K62" s="59" t="n">
        <f aca="false">J62*EXP((mc_mu-mc_vol^2/2)*(mc_t2-mc_t1)+mc_vol*SQRT(mc_t2-mc_t1)*I62)</f>
        <v>1123.45488165335</v>
      </c>
      <c r="L62" s="31" t="n">
        <f aca="false">(t1_usd*J62+t2_usd*K62)/1000</f>
        <v>9691.84243118839</v>
      </c>
    </row>
    <row r="63" customFormat="false" ht="15" hidden="false" customHeight="false" outlineLevel="0" collapsed="false">
      <c r="E63" s="54" t="n">
        <v>59</v>
      </c>
      <c r="F63" s="61" t="n">
        <v>0.64868</v>
      </c>
      <c r="G63" s="61" t="n">
        <v>0.914645</v>
      </c>
      <c r="H63" s="34" t="n">
        <f aca="false">NORMSINV(F63)</f>
        <v>0.381759178973363</v>
      </c>
      <c r="I63" s="34" t="n">
        <f aca="false">NORMSINV(G63)</f>
        <v>1.3699260083597</v>
      </c>
      <c r="J63" s="59" t="n">
        <f aca="false">mc_s0*EXP((mc_mu-mc_vol^2/2)*mc_t1+mc_vol*SQRT(mc_t1)*H63)</f>
        <v>1188.83883578301</v>
      </c>
      <c r="K63" s="59" t="n">
        <f aca="false">J63*EXP((mc_mu-mc_vol^2/2)*(mc_t2-mc_t1)+mc_vol*SQRT(mc_t2-mc_t1)*I63)</f>
        <v>1502.32631855349</v>
      </c>
      <c r="L63" s="31" t="n">
        <f aca="false">(t1_usd*J63+t2_usd*K63)/1000</f>
        <v>11176.2918557327</v>
      </c>
    </row>
    <row r="64" customFormat="false" ht="15" hidden="false" customHeight="false" outlineLevel="0" collapsed="false">
      <c r="E64" s="54" t="n">
        <v>60</v>
      </c>
      <c r="F64" s="61" t="n">
        <v>0.337487</v>
      </c>
      <c r="G64" s="61" t="n">
        <v>0.268969</v>
      </c>
      <c r="H64" s="34" t="n">
        <f aca="false">NORMSINV(F64)</f>
        <v>-0.419331333615387</v>
      </c>
      <c r="I64" s="34" t="n">
        <f aca="false">NORMSINV(G64)</f>
        <v>-0.615934121979969</v>
      </c>
      <c r="J64" s="59" t="n">
        <f aca="false">mc_s0*EXP((mc_mu-mc_vol^2/2)*mc_t1+mc_vol*SQRT(mc_t1)*H64)</f>
        <v>1101.25979618999</v>
      </c>
      <c r="K64" s="59" t="n">
        <f aca="false">J64*EXP((mc_mu-mc_vol^2/2)*(mc_t2-mc_t1)+mc_vol*SQRT(mc_t2-mc_t1)*I64)</f>
        <v>1017.68909710408</v>
      </c>
      <c r="L64" s="31" t="n">
        <f aca="false">(t1_usd*J64+t2_usd*K64)/1000</f>
        <v>9642.42785782767</v>
      </c>
    </row>
    <row r="65" customFormat="false" ht="15" hidden="false" customHeight="false" outlineLevel="0" collapsed="false">
      <c r="E65" s="54" t="n">
        <v>61</v>
      </c>
      <c r="F65" s="61" t="n">
        <v>0.12965</v>
      </c>
      <c r="G65" s="61" t="n">
        <v>0.223983</v>
      </c>
      <c r="H65" s="34" t="n">
        <f aca="false">NORMSINV(F65)</f>
        <v>-1.12804716683836</v>
      </c>
      <c r="I65" s="34" t="n">
        <f aca="false">NORMSINV(G65)</f>
        <v>-0.758810372376254</v>
      </c>
      <c r="J65" s="59" t="n">
        <f aca="false">mc_s0*EXP((mc_mu-mc_vol^2/2)*mc_t1+mc_vol*SQRT(mc_t1)*H65)</f>
        <v>1029.17385395766</v>
      </c>
      <c r="K65" s="59" t="n">
        <f aca="false">J65*EXP((mc_mu-mc_vol^2/2)*(mc_t2-mc_t1)+mc_vol*SQRT(mc_t2-mc_t1)*I65)</f>
        <v>929.898111477798</v>
      </c>
      <c r="L65" s="31" t="n">
        <f aca="false">(t1_usd*J65+t2_usd*K65)/1000</f>
        <v>8971.02338951147</v>
      </c>
    </row>
    <row r="66" customFormat="false" ht="15" hidden="false" customHeight="false" outlineLevel="0" collapsed="false">
      <c r="E66" s="54" t="n">
        <v>62</v>
      </c>
      <c r="F66" s="61" t="n">
        <v>0.628142</v>
      </c>
      <c r="G66" s="61" t="n">
        <v>0.815871</v>
      </c>
      <c r="H66" s="34" t="n">
        <f aca="false">NORMSINV(F66)</f>
        <v>0.326936385909586</v>
      </c>
      <c r="I66" s="34" t="n">
        <f aca="false">NORMSINV(G66)</f>
        <v>0.899741185831361</v>
      </c>
      <c r="J66" s="59" t="n">
        <f aca="false">mc_s0*EXP((mc_mu-mc_vol^2/2)*mc_t1+mc_vol*SQRT(mc_t1)*H66)</f>
        <v>1182.62937731418</v>
      </c>
      <c r="K66" s="59" t="n">
        <f aca="false">J66*EXP((mc_mu-mc_vol^2/2)*(mc_t2-mc_t1)+mc_vol*SQRT(mc_t2-mc_t1)*I66)</f>
        <v>1387.74487597672</v>
      </c>
      <c r="L66" s="31" t="n">
        <f aca="false">(t1_usd*J66+t2_usd*K66)/1000</f>
        <v>10915.120905555</v>
      </c>
    </row>
    <row r="67" customFormat="false" ht="15" hidden="false" customHeight="false" outlineLevel="0" collapsed="false">
      <c r="E67" s="54" t="n">
        <v>63</v>
      </c>
      <c r="F67" s="61" t="n">
        <v>0.937033</v>
      </c>
      <c r="G67" s="61" t="n">
        <v>0.822245</v>
      </c>
      <c r="H67" s="34" t="n">
        <f aca="false">NORMSINV(F67)</f>
        <v>1.53033430924295</v>
      </c>
      <c r="I67" s="34" t="n">
        <f aca="false">NORMSINV(G67)</f>
        <v>0.92395451118051</v>
      </c>
      <c r="J67" s="59" t="n">
        <f aca="false">mc_s0*EXP((mc_mu-mc_vol^2/2)*mc_t1+mc_vol*SQRT(mc_t1)*H67)</f>
        <v>1326.69644206115</v>
      </c>
      <c r="K67" s="59" t="n">
        <f aca="false">J67*EXP((mc_mu-mc_vol^2/2)*(mc_t2-mc_t1)+mc_vol*SQRT(mc_t2-mc_t1)*I67)</f>
        <v>1562.75083229514</v>
      </c>
      <c r="L67" s="31" t="n">
        <f aca="false">(t1_usd*J67+t2_usd*K67)/1000</f>
        <v>12256.1016757888</v>
      </c>
    </row>
    <row r="68" customFormat="false" ht="15" hidden="false" customHeight="false" outlineLevel="0" collapsed="false">
      <c r="E68" s="54" t="n">
        <v>64</v>
      </c>
      <c r="F68" s="61" t="n">
        <v>0.452034</v>
      </c>
      <c r="G68" s="61" t="n">
        <v>0.007386</v>
      </c>
      <c r="H68" s="34" t="n">
        <f aca="false">NORMSINV(F68)</f>
        <v>-0.120524087066247</v>
      </c>
      <c r="I68" s="34" t="n">
        <f aca="false">NORMSINV(G68)</f>
        <v>-2.43792104659419</v>
      </c>
      <c r="J68" s="59" t="n">
        <f aca="false">mc_s0*EXP((mc_mu-mc_vol^2/2)*mc_t1+mc_vol*SQRT(mc_t1)*H68)</f>
        <v>1133.14578604095</v>
      </c>
      <c r="K68" s="59" t="n">
        <f aca="false">J68*EXP((mc_mu-mc_vol^2/2)*(mc_t2-mc_t1)+mc_vol*SQRT(mc_t2-mc_t1)*I68)</f>
        <v>785.798068488445</v>
      </c>
      <c r="L68" s="31" t="n">
        <f aca="false">(t1_usd*J68+t2_usd*K68)/1000</f>
        <v>9425.03683241472</v>
      </c>
    </row>
    <row r="69" customFormat="false" ht="15" hidden="false" customHeight="false" outlineLevel="0" collapsed="false">
      <c r="E69" s="54" t="n">
        <v>65</v>
      </c>
      <c r="F69" s="61" t="n">
        <v>0.93252</v>
      </c>
      <c r="G69" s="61" t="n">
        <v>0.44235</v>
      </c>
      <c r="H69" s="34" t="n">
        <f aca="false">NORMSINV(F69)</f>
        <v>1.49482545955314</v>
      </c>
      <c r="I69" s="34" t="n">
        <f aca="false">NORMSINV(G69)</f>
        <v>-0.145013769778488</v>
      </c>
      <c r="J69" s="59" t="n">
        <f aca="false">mc_s0*EXP((mc_mu-mc_vol^2/2)*mc_t1+mc_vol*SQRT(mc_t1)*H69)</f>
        <v>1322.20404552154</v>
      </c>
      <c r="K69" s="59" t="n">
        <f aca="false">J69*EXP((mc_mu-mc_vol^2/2)*(mc_t2-mc_t1)+mc_vol*SQRT(mc_t2-mc_t1)*I69)</f>
        <v>1315.99573579478</v>
      </c>
      <c r="L69" s="31" t="n">
        <f aca="false">(t1_usd*J69+t2_usd*K69)/1000</f>
        <v>11755.8202166608</v>
      </c>
    </row>
    <row r="70" customFormat="false" ht="15" hidden="false" customHeight="false" outlineLevel="0" collapsed="false">
      <c r="E70" s="54" t="n">
        <v>66</v>
      </c>
      <c r="F70" s="61" t="n">
        <v>0.646809</v>
      </c>
      <c r="G70" s="61" t="n">
        <v>0.573658</v>
      </c>
      <c r="H70" s="34" t="n">
        <f aca="false">NORMSINV(F70)</f>
        <v>0.376719593947038</v>
      </c>
      <c r="I70" s="34" t="n">
        <f aca="false">NORMSINV(G70)</f>
        <v>0.185694935668899</v>
      </c>
      <c r="J70" s="59" t="n">
        <f aca="false">mc_s0*EXP((mc_mu-mc_vol^2/2)*mc_t1+mc_vol*SQRT(mc_t1)*H70)</f>
        <v>1188.26667316413</v>
      </c>
      <c r="K70" s="59" t="n">
        <f aca="false">J70*EXP((mc_mu-mc_vol^2/2)*(mc_t2-mc_t1)+mc_vol*SQRT(mc_t2-mc_t1)*I70)</f>
        <v>1245.96038737751</v>
      </c>
      <c r="L70" s="31" t="n">
        <f aca="false">(t1_usd*J70+t2_usd*K70)/1000</f>
        <v>10685.1914481662</v>
      </c>
    </row>
    <row r="71" customFormat="false" ht="15" hidden="false" customHeight="false" outlineLevel="0" collapsed="false">
      <c r="E71" s="54" t="n">
        <v>67</v>
      </c>
      <c r="F71" s="61" t="n">
        <v>0.308291</v>
      </c>
      <c r="G71" s="61" t="n">
        <v>0.305288</v>
      </c>
      <c r="H71" s="34" t="n">
        <f aca="false">NORMSINV(F71)</f>
        <v>-0.500700386826075</v>
      </c>
      <c r="I71" s="34" t="n">
        <f aca="false">NORMSINV(G71)</f>
        <v>-0.509251426930938</v>
      </c>
      <c r="J71" s="59" t="n">
        <f aca="false">mc_s0*EXP((mc_mu-mc_vol^2/2)*mc_t1+mc_vol*SQRT(mc_t1)*H71)</f>
        <v>1092.73333942289</v>
      </c>
      <c r="K71" s="59" t="n">
        <f aca="false">J71*EXP((mc_mu-mc_vol^2/2)*(mc_t2-mc_t1)+mc_vol*SQRT(mc_t2-mc_t1)*I71)</f>
        <v>1026.93059417796</v>
      </c>
      <c r="L71" s="31" t="n">
        <f aca="false">(t1_usd*J71+t2_usd*K71)/1000</f>
        <v>9600.30150489835</v>
      </c>
    </row>
    <row r="72" customFormat="false" ht="15" hidden="false" customHeight="false" outlineLevel="0" collapsed="false">
      <c r="E72" s="54" t="n">
        <v>68</v>
      </c>
      <c r="F72" s="61" t="n">
        <v>0.691036</v>
      </c>
      <c r="G72" s="61" t="n">
        <v>0.908587</v>
      </c>
      <c r="H72" s="34" t="n">
        <f aca="false">NORMSINV(F72)</f>
        <v>0.498789053469933</v>
      </c>
      <c r="I72" s="34" t="n">
        <f aca="false">NORMSINV(G72)</f>
        <v>1.33210404905335</v>
      </c>
      <c r="J72" s="59" t="n">
        <f aca="false">mc_s0*EXP((mc_mu-mc_vol^2/2)*mc_t1+mc_vol*SQRT(mc_t1)*H72)</f>
        <v>1202.20342833482</v>
      </c>
      <c r="K72" s="59" t="n">
        <f aca="false">J72*EXP((mc_mu-mc_vol^2/2)*(mc_t2-mc_t1)+mc_vol*SQRT(mc_t2-mc_t1)*I72)</f>
        <v>1510.18672638553</v>
      </c>
      <c r="L72" s="31" t="n">
        <f aca="false">(t1_usd*J72+t2_usd*K72)/1000</f>
        <v>11284.7787784763</v>
      </c>
    </row>
    <row r="73" customFormat="false" ht="15" hidden="false" customHeight="false" outlineLevel="0" collapsed="false">
      <c r="E73" s="54" t="n">
        <v>69</v>
      </c>
      <c r="F73" s="61" t="n">
        <v>0.62084</v>
      </c>
      <c r="G73" s="61" t="n">
        <v>0.684527</v>
      </c>
      <c r="H73" s="34" t="n">
        <f aca="false">NORMSINV(F73)</f>
        <v>0.3076876736649</v>
      </c>
      <c r="I73" s="34" t="n">
        <f aca="false">NORMSINV(G73)</f>
        <v>0.480395772181562</v>
      </c>
      <c r="J73" s="59" t="n">
        <f aca="false">mc_s0*EXP((mc_mu-mc_vol^2/2)*mc_t1+mc_vol*SQRT(mc_t1)*H73)</f>
        <v>1180.45688930725</v>
      </c>
      <c r="K73" s="59" t="n">
        <f aca="false">J73*EXP((mc_mu-mc_vol^2/2)*(mc_t2-mc_t1)+mc_vol*SQRT(mc_t2-mc_t1)*I73)</f>
        <v>1296.61285152321</v>
      </c>
      <c r="L73" s="31" t="n">
        <f aca="false">(t1_usd*J73+t2_usd*K73)/1000</f>
        <v>10726.7626430448</v>
      </c>
    </row>
    <row r="74" customFormat="false" ht="15" hidden="false" customHeight="false" outlineLevel="0" collapsed="false">
      <c r="E74" s="54" t="n">
        <v>70</v>
      </c>
      <c r="F74" s="61" t="n">
        <v>0.256449</v>
      </c>
      <c r="G74" s="61" t="n">
        <v>0.417042</v>
      </c>
      <c r="H74" s="34" t="n">
        <f aca="false">NORMSINV(F74)</f>
        <v>-0.654331897158611</v>
      </c>
      <c r="I74" s="34" t="n">
        <f aca="false">NORMSINV(G74)</f>
        <v>-0.209466608157503</v>
      </c>
      <c r="J74" s="59" t="n">
        <f aca="false">mc_s0*EXP((mc_mu-mc_vol^2/2)*mc_t1+mc_vol*SQRT(mc_t1)*H74)</f>
        <v>1076.81426025903</v>
      </c>
      <c r="K74" s="59" t="n">
        <f aca="false">J74*EXP((mc_mu-mc_vol^2/2)*(mc_t2-mc_t1)+mc_vol*SQRT(mc_t2-mc_t1)*I74)</f>
        <v>1060.92706023312</v>
      </c>
      <c r="L74" s="31" t="n">
        <f aca="false">(t1_usd*J74+t2_usd*K74)/1000</f>
        <v>9553.46123625617</v>
      </c>
    </row>
    <row r="75" customFormat="false" ht="15" hidden="false" customHeight="false" outlineLevel="0" collapsed="false">
      <c r="E75" s="54" t="n">
        <v>71</v>
      </c>
      <c r="F75" s="61" t="n">
        <v>0.479689</v>
      </c>
      <c r="G75" s="61" t="n">
        <v>0.53314</v>
      </c>
      <c r="H75" s="34" t="n">
        <f aca="false">NORMSINV(F75)</f>
        <v>-0.0509341412798848</v>
      </c>
      <c r="I75" s="34" t="n">
        <f aca="false">NORMSINV(G75)</f>
        <v>0.0831654304367619</v>
      </c>
      <c r="J75" s="59" t="n">
        <f aca="false">mc_s0*EXP((mc_mu-mc_vol^2/2)*mc_t1+mc_vol*SQRT(mc_t1)*H75)</f>
        <v>1140.7033669063</v>
      </c>
      <c r="K75" s="59" t="n">
        <f aca="false">J75*EXP((mc_mu-mc_vol^2/2)*(mc_t2-mc_t1)+mc_vol*SQRT(mc_t2-mc_t1)*I75)</f>
        <v>1176.91671790568</v>
      </c>
      <c r="L75" s="31" t="n">
        <f aca="false">(t1_usd*J75+t2_usd*K75)/1000</f>
        <v>10221.0653323649</v>
      </c>
    </row>
    <row r="76" customFormat="false" ht="15" hidden="false" customHeight="false" outlineLevel="0" collapsed="false">
      <c r="E76" s="54" t="n">
        <v>72</v>
      </c>
      <c r="F76" s="61" t="n">
        <v>0.028321</v>
      </c>
      <c r="G76" s="61" t="n">
        <v>0.436876</v>
      </c>
      <c r="H76" s="34" t="n">
        <f aca="false">NORMSINV(F76)</f>
        <v>-1.90606324987049</v>
      </c>
      <c r="I76" s="34" t="n">
        <f aca="false">NORMSINV(G76)</f>
        <v>-0.158894492396071</v>
      </c>
      <c r="J76" s="59" t="n">
        <f aca="false">mc_s0*EXP((mc_mu-mc_vol^2/2)*mc_t1+mc_vol*SQRT(mc_t1)*H76)</f>
        <v>955.460608888026</v>
      </c>
      <c r="K76" s="59" t="n">
        <f aca="false">J76*EXP((mc_mu-mc_vol^2/2)*(mc_t2-mc_t1)+mc_vol*SQRT(mc_t2-mc_t1)*I76)</f>
        <v>948.896325610765</v>
      </c>
      <c r="L76" s="31" t="n">
        <f aca="false">(t1_usd*J76+t2_usd*K76)/1000</f>
        <v>8491.12728087664</v>
      </c>
    </row>
    <row r="77" customFormat="false" ht="15" hidden="false" customHeight="false" outlineLevel="0" collapsed="false">
      <c r="E77" s="54" t="n">
        <v>73</v>
      </c>
      <c r="F77" s="61" t="n">
        <v>0.036441</v>
      </c>
      <c r="G77" s="61" t="n">
        <v>0.67193</v>
      </c>
      <c r="H77" s="34" t="n">
        <f aca="false">NORMSINV(F77)</f>
        <v>-1.79356892618285</v>
      </c>
      <c r="I77" s="34" t="n">
        <f aca="false">NORMSINV(G77)</f>
        <v>0.445248750193813</v>
      </c>
      <c r="J77" s="59" t="n">
        <f aca="false">mc_s0*EXP((mc_mu-mc_vol^2/2)*mc_t1+mc_vol*SQRT(mc_t1)*H77)</f>
        <v>965.783114923243</v>
      </c>
      <c r="K77" s="59" t="n">
        <f aca="false">J77*EXP((mc_mu-mc_vol^2/2)*(mc_t2-mc_t1)+mc_vol*SQRT(mc_t2-mc_t1)*I77)</f>
        <v>1054.95581783921</v>
      </c>
      <c r="L77" s="31" t="n">
        <f aca="false">(t1_usd*J77+t2_usd*K77)/1000</f>
        <v>8764.89785835719</v>
      </c>
    </row>
    <row r="78" customFormat="false" ht="15" hidden="false" customHeight="false" outlineLevel="0" collapsed="false">
      <c r="E78" s="54" t="n">
        <v>74</v>
      </c>
      <c r="F78" s="61" t="n">
        <v>0.917547</v>
      </c>
      <c r="G78" s="61" t="n">
        <v>0.086112</v>
      </c>
      <c r="H78" s="34" t="n">
        <f aca="false">NORMSINV(F78)</f>
        <v>1.38875915292714</v>
      </c>
      <c r="I78" s="34" t="n">
        <f aca="false">NORMSINV(G78)</f>
        <v>-1.36509243318763</v>
      </c>
      <c r="J78" s="59" t="n">
        <f aca="false">mc_s0*EXP((mc_mu-mc_vol^2/2)*mc_t1+mc_vol*SQRT(mc_t1)*H78)</f>
        <v>1308.87546324575</v>
      </c>
      <c r="K78" s="59" t="n">
        <f aca="false">J78*EXP((mc_mu-mc_vol^2/2)*(mc_t2-mc_t1)+mc_vol*SQRT(mc_t2-mc_t1)*I78)</f>
        <v>1074.85499134777</v>
      </c>
      <c r="L78" s="31" t="n">
        <f aca="false">(t1_usd*J78+t2_usd*K78)/1000</f>
        <v>11204.352726281</v>
      </c>
    </row>
    <row r="79" customFormat="false" ht="15" hidden="false" customHeight="false" outlineLevel="0" collapsed="false">
      <c r="E79" s="54" t="n">
        <v>75</v>
      </c>
      <c r="F79" s="61" t="n">
        <v>0.197442</v>
      </c>
      <c r="G79" s="61" t="n">
        <v>0.129955</v>
      </c>
      <c r="H79" s="34" t="n">
        <f aca="false">NORMSINV(F79)</f>
        <v>-0.850793631427277</v>
      </c>
      <c r="I79" s="34" t="n">
        <f aca="false">NORMSINV(G79)</f>
        <v>-1.12660387511703</v>
      </c>
      <c r="J79" s="59" t="n">
        <f aca="false">mc_s0*EXP((mc_mu-mc_vol^2/2)*mc_t1+mc_vol*SQRT(mc_t1)*H79)</f>
        <v>1056.79461897418</v>
      </c>
      <c r="K79" s="59" t="n">
        <f aca="false">J79*EXP((mc_mu-mc_vol^2/2)*(mc_t2-mc_t1)+mc_vol*SQRT(mc_t2-mc_t1)*I79)</f>
        <v>901.082892008181</v>
      </c>
      <c r="L79" s="31" t="n">
        <f aca="false">(t1_usd*J79+t2_usd*K79)/1000</f>
        <v>9109.61982763479</v>
      </c>
    </row>
    <row r="80" customFormat="false" ht="15" hidden="false" customHeight="false" outlineLevel="0" collapsed="false">
      <c r="E80" s="54" t="n">
        <v>76</v>
      </c>
      <c r="F80" s="61" t="n">
        <v>0.031067</v>
      </c>
      <c r="G80" s="61" t="n">
        <v>0.323587</v>
      </c>
      <c r="H80" s="34" t="n">
        <f aca="false">NORMSINV(F80)</f>
        <v>-1.8653382990727</v>
      </c>
      <c r="I80" s="34" t="n">
        <f aca="false">NORMSINV(G80)</f>
        <v>-0.45769163305228</v>
      </c>
      <c r="J80" s="59" t="n">
        <f aca="false">mc_s0*EXP((mc_mu-mc_vol^2/2)*mc_t1+mc_vol*SQRT(mc_t1)*H80)</f>
        <v>959.184737017816</v>
      </c>
      <c r="K80" s="59" t="n">
        <f aca="false">J80*EXP((mc_mu-mc_vol^2/2)*(mc_t2-mc_t1)+mc_vol*SQRT(mc_t2-mc_t1)*I80)</f>
        <v>908.778421383126</v>
      </c>
      <c r="L80" s="31" t="n">
        <f aca="false">(t1_usd*J80+t2_usd*K80)/1000</f>
        <v>8440.97215975265</v>
      </c>
    </row>
    <row r="81" customFormat="false" ht="15" hidden="false" customHeight="false" outlineLevel="0" collapsed="false">
      <c r="E81" s="54" t="n">
        <v>77</v>
      </c>
      <c r="F81" s="61" t="n">
        <v>0.011074</v>
      </c>
      <c r="G81" s="61" t="n">
        <v>0.64311</v>
      </c>
      <c r="H81" s="34" t="n">
        <f aca="false">NORMSINV(F81)</f>
        <v>-2.28782009670822</v>
      </c>
      <c r="I81" s="34" t="n">
        <f aca="false">NORMSINV(G81)</f>
        <v>0.36678419207196</v>
      </c>
      <c r="J81" s="59" t="n">
        <f aca="false">mc_s0*EXP((mc_mu-mc_vol^2/2)*mc_t1+mc_vol*SQRT(mc_t1)*H81)</f>
        <v>921.246017896251</v>
      </c>
      <c r="K81" s="59" t="n">
        <f aca="false">J81*EXP((mc_mu-mc_vol^2/2)*(mc_t2-mc_t1)+mc_vol*SQRT(mc_t2-mc_t1)*I81)</f>
        <v>993.939675487559</v>
      </c>
      <c r="L81" s="31" t="n">
        <f aca="false">(t1_usd*J81+t2_usd*K81)/1000</f>
        <v>8337.20750870012</v>
      </c>
    </row>
    <row r="82" customFormat="false" ht="15" hidden="false" customHeight="false" outlineLevel="0" collapsed="false">
      <c r="E82" s="54" t="n">
        <v>78</v>
      </c>
      <c r="F82" s="61" t="n">
        <v>0.746621</v>
      </c>
      <c r="G82" s="61" t="n">
        <v>0.126013</v>
      </c>
      <c r="H82" s="34" t="n">
        <f aca="false">NORMSINV(F82)</f>
        <v>0.663894244835093</v>
      </c>
      <c r="I82" s="34" t="n">
        <f aca="false">NORMSINV(G82)</f>
        <v>-1.14544226216061</v>
      </c>
      <c r="J82" s="59" t="n">
        <f aca="false">mc_s0*EXP((mc_mu-mc_vol^2/2)*mc_t1+mc_vol*SQRT(mc_t1)*H82)</f>
        <v>1221.31401993097</v>
      </c>
      <c r="K82" s="59" t="n">
        <f aca="false">J82*EXP((mc_mu-mc_vol^2/2)*(mc_t2-mc_t1)+mc_vol*SQRT(mc_t2-mc_t1)*I82)</f>
        <v>1038.27443179878</v>
      </c>
      <c r="L82" s="31" t="n">
        <f aca="false">(t1_usd*J82+t2_usd*K82)/1000</f>
        <v>10521.9195599345</v>
      </c>
    </row>
    <row r="83" customFormat="false" ht="15" hidden="false" customHeight="false" outlineLevel="0" collapsed="false">
      <c r="E83" s="54" t="n">
        <v>79</v>
      </c>
      <c r="F83" s="61" t="n">
        <v>0.513657</v>
      </c>
      <c r="G83" s="61" t="n">
        <v>0.236076</v>
      </c>
      <c r="H83" s="34" t="n">
        <f aca="false">NORMSINV(F83)</f>
        <v>0.0342397113692838</v>
      </c>
      <c r="I83" s="34" t="n">
        <f aca="false">NORMSINV(G83)</f>
        <v>-0.718982016841351</v>
      </c>
      <c r="J83" s="59" t="n">
        <f aca="false">mc_s0*EXP((mc_mu-mc_vol^2/2)*mc_t1+mc_vol*SQRT(mc_t1)*H83)</f>
        <v>1150.02202074039</v>
      </c>
      <c r="K83" s="59" t="n">
        <f aca="false">J83*EXP((mc_mu-mc_vol^2/2)*(mc_t2-mc_t1)+mc_vol*SQRT(mc_t2-mc_t1)*I83)</f>
        <v>1045.6316111097</v>
      </c>
      <c r="L83" s="31" t="n">
        <f aca="false">(t1_usd*J83+t2_usd*K83)/1000</f>
        <v>10036.8542062912</v>
      </c>
    </row>
    <row r="84" customFormat="false" ht="15" hidden="false" customHeight="false" outlineLevel="0" collapsed="false">
      <c r="E84" s="54" t="n">
        <v>80</v>
      </c>
      <c r="F84" s="61" t="n">
        <v>0.11138</v>
      </c>
      <c r="G84" s="61" t="n">
        <v>0.780076</v>
      </c>
      <c r="H84" s="34" t="n">
        <f aca="false">NORMSINV(F84)</f>
        <v>-1.21922185249994</v>
      </c>
      <c r="I84" s="34" t="n">
        <f aca="false">NORMSINV(G84)</f>
        <v>0.772449915237661</v>
      </c>
      <c r="J84" s="59" t="n">
        <f aca="false">mc_s0*EXP((mc_mu-mc_vol^2/2)*mc_t1+mc_vol*SQRT(mc_t1)*H84)</f>
        <v>1020.24944522668</v>
      </c>
      <c r="K84" s="59" t="n">
        <f aca="false">J84*EXP((mc_mu-mc_vol^2/2)*(mc_t2-mc_t1)+mc_vol*SQRT(mc_t2-mc_t1)*I84)</f>
        <v>1173.42486265443</v>
      </c>
      <c r="L84" s="31" t="n">
        <f aca="false">(t1_usd*J84+t2_usd*K84)/1000</f>
        <v>9371.25335563017</v>
      </c>
    </row>
    <row r="85" customFormat="false" ht="15" hidden="false" customHeight="false" outlineLevel="0" collapsed="false">
      <c r="E85" s="54" t="n">
        <v>81</v>
      </c>
      <c r="F85" s="61" t="n">
        <v>0.282003</v>
      </c>
      <c r="G85" s="61" t="n">
        <v>0.010129</v>
      </c>
      <c r="H85" s="34" t="n">
        <f aca="false">NORMSINV(F85)</f>
        <v>-0.576901495916845</v>
      </c>
      <c r="I85" s="34" t="n">
        <f aca="false">NORMSINV(G85)</f>
        <v>-2.32153476598813</v>
      </c>
      <c r="J85" s="59" t="n">
        <f aca="false">mc_s0*EXP((mc_mu-mc_vol^2/2)*mc_t1+mc_vol*SQRT(mc_t1)*H85)</f>
        <v>1084.80828789628</v>
      </c>
      <c r="K85" s="59" t="n">
        <f aca="false">J85*EXP((mc_mu-mc_vol^2/2)*(mc_t2-mc_t1)+mc_vol*SQRT(mc_t2-mc_t1)*I85)</f>
        <v>766.203014989762</v>
      </c>
      <c r="L85" s="31" t="n">
        <f aca="false">(t1_usd*J85+t2_usd*K85)/1000</f>
        <v>9049.44374375452</v>
      </c>
    </row>
    <row r="86" customFormat="false" ht="15" hidden="false" customHeight="false" outlineLevel="0" collapsed="false">
      <c r="E86" s="54" t="n">
        <v>82</v>
      </c>
      <c r="F86" s="61" t="n">
        <v>0.41171</v>
      </c>
      <c r="G86" s="61" t="n">
        <v>0.495501</v>
      </c>
      <c r="H86" s="34" t="n">
        <f aca="false">NORMSINV(F86)</f>
        <v>-0.223148413046072</v>
      </c>
      <c r="I86" s="34" t="n">
        <f aca="false">NORMSINV(G86)</f>
        <v>-0.0112775596559772</v>
      </c>
      <c r="J86" s="59" t="n">
        <f aca="false">mc_s0*EXP((mc_mu-mc_vol^2/2)*mc_t1+mc_vol*SQRT(mc_t1)*H86)</f>
        <v>1122.09188909039</v>
      </c>
      <c r="K86" s="59" t="n">
        <f aca="false">J86*EXP((mc_mu-mc_vol^2/2)*(mc_t2-mc_t1)+mc_vol*SQRT(mc_t2-mc_t1)*I86)</f>
        <v>1140.61105909887</v>
      </c>
      <c r="L86" s="31" t="n">
        <f aca="false">(t1_usd*J86+t2_usd*K86)/1000</f>
        <v>10021.8042359206</v>
      </c>
    </row>
    <row r="87" customFormat="false" ht="15" hidden="false" customHeight="false" outlineLevel="0" collapsed="false">
      <c r="E87" s="54" t="n">
        <v>83</v>
      </c>
      <c r="F87" s="61" t="n">
        <v>0.504559</v>
      </c>
      <c r="G87" s="61" t="n">
        <v>0.747259</v>
      </c>
      <c r="H87" s="34" t="n">
        <f aca="false">NORMSINV(F87)</f>
        <v>0.0114279670449304</v>
      </c>
      <c r="I87" s="34" t="n">
        <f aca="false">NORMSINV(G87)</f>
        <v>0.665889081334691</v>
      </c>
      <c r="J87" s="59" t="n">
        <f aca="false">mc_s0*EXP((mc_mu-mc_vol^2/2)*mc_t1+mc_vol*SQRT(mc_t1)*H87)</f>
        <v>1147.51880768692</v>
      </c>
      <c r="K87" s="59" t="n">
        <f aca="false">J87*EXP((mc_mu-mc_vol^2/2)*(mc_t2-mc_t1)+mc_vol*SQRT(mc_t2-mc_t1)*I87)</f>
        <v>1297.82312872928</v>
      </c>
      <c r="L87" s="31" t="n">
        <f aca="false">(t1_usd*J87+t2_usd*K87)/1000</f>
        <v>10498.4955983941</v>
      </c>
    </row>
    <row r="88" customFormat="false" ht="15" hidden="false" customHeight="false" outlineLevel="0" collapsed="false">
      <c r="E88" s="54" t="n">
        <v>84</v>
      </c>
      <c r="F88" s="61" t="n">
        <v>0.362931</v>
      </c>
      <c r="G88" s="61" t="n">
        <v>0.293636</v>
      </c>
      <c r="H88" s="34" t="n">
        <f aca="false">NORMSINV(F88)</f>
        <v>-0.350635260415701</v>
      </c>
      <c r="I88" s="34" t="n">
        <f aca="false">NORMSINV(G88)</f>
        <v>-0.54279348414361</v>
      </c>
      <c r="J88" s="59" t="n">
        <f aca="false">mc_s0*EXP((mc_mu-mc_vol^2/2)*mc_t1+mc_vol*SQRT(mc_t1)*H88)</f>
        <v>1108.51005738135</v>
      </c>
      <c r="K88" s="59" t="n">
        <f aca="false">J88*EXP((mc_mu-mc_vol^2/2)*(mc_t2-mc_t1)+mc_vol*SQRT(mc_t2-mc_t1)*I88)</f>
        <v>1036.26506177468</v>
      </c>
      <c r="L88" s="31" t="n">
        <f aca="false">(t1_usd*J88+t2_usd*K88)/1000</f>
        <v>9728.47401904132</v>
      </c>
    </row>
    <row r="89" customFormat="false" ht="15" hidden="false" customHeight="false" outlineLevel="0" collapsed="false">
      <c r="E89" s="54" t="n">
        <v>85</v>
      </c>
      <c r="F89" s="61" t="n">
        <v>0.798936</v>
      </c>
      <c r="G89" s="61" t="n">
        <v>0.205922</v>
      </c>
      <c r="H89" s="34" t="n">
        <f aca="false">NORMSINV(F89)</f>
        <v>0.837826772838443</v>
      </c>
      <c r="I89" s="34" t="n">
        <f aca="false">NORMSINV(G89)</f>
        <v>-0.820652911122677</v>
      </c>
      <c r="J89" s="59" t="n">
        <f aca="false">mc_s0*EXP((mc_mu-mc_vol^2/2)*mc_t1+mc_vol*SQRT(mc_t1)*H89)</f>
        <v>1241.77503556407</v>
      </c>
      <c r="K89" s="59" t="n">
        <f aca="false">J89*EXP((mc_mu-mc_vol^2/2)*(mc_t2-mc_t1)+mc_vol*SQRT(mc_t2-mc_t1)*I89)</f>
        <v>1111.10967098021</v>
      </c>
      <c r="L89" s="31" t="n">
        <f aca="false">(t1_usd*J89+t2_usd*K89)/1000</f>
        <v>10803.5336238109</v>
      </c>
    </row>
    <row r="90" customFormat="false" ht="15" hidden="false" customHeight="false" outlineLevel="0" collapsed="false">
      <c r="E90" s="54" t="n">
        <v>86</v>
      </c>
      <c r="F90" s="61" t="n">
        <v>0.47849</v>
      </c>
      <c r="G90" s="61" t="n">
        <v>0.639071</v>
      </c>
      <c r="H90" s="34" t="n">
        <f aca="false">NORMSINV(F90)</f>
        <v>-0.053943724808078</v>
      </c>
      <c r="I90" s="34" t="n">
        <f aca="false">NORMSINV(G90)</f>
        <v>0.355976719304129</v>
      </c>
      <c r="J90" s="59" t="n">
        <f aca="false">mc_s0*EXP((mc_mu-mc_vol^2/2)*mc_t1+mc_vol*SQRT(mc_t1)*H90)</f>
        <v>1140.37548084924</v>
      </c>
      <c r="K90" s="59" t="n">
        <f aca="false">J90*EXP((mc_mu-mc_vol^2/2)*(mc_t2-mc_t1)+mc_vol*SQRT(mc_t2-mc_t1)*I90)</f>
        <v>1228.26645404675</v>
      </c>
      <c r="L90" s="31" t="n">
        <f aca="false">(t1_usd*J90+t2_usd*K90)/1000</f>
        <v>10316.3346286335</v>
      </c>
    </row>
    <row r="91" customFormat="false" ht="15" hidden="false" customHeight="false" outlineLevel="0" collapsed="false">
      <c r="E91" s="54" t="n">
        <v>87</v>
      </c>
      <c r="F91" s="61" t="n">
        <v>0.307843</v>
      </c>
      <c r="G91" s="61" t="n">
        <v>0.572448</v>
      </c>
      <c r="H91" s="34" t="n">
        <f aca="false">NORMSINV(F91)</f>
        <v>-0.50197373012502</v>
      </c>
      <c r="I91" s="34" t="n">
        <f aca="false">NORMSINV(G91)</f>
        <v>0.182610047687451</v>
      </c>
      <c r="J91" s="59" t="n">
        <f aca="false">mc_s0*EXP((mc_mu-mc_vol^2/2)*mc_t1+mc_vol*SQRT(mc_t1)*H91)</f>
        <v>1092.60043496814</v>
      </c>
      <c r="K91" s="59" t="n">
        <f aca="false">J91*EXP((mc_mu-mc_vol^2/2)*(mc_t2-mc_t1)+mc_vol*SQRT(mc_t2-mc_t1)*I91)</f>
        <v>1145.0924517514</v>
      </c>
      <c r="L91" s="31" t="n">
        <f aca="false">(t1_usd*J91+t2_usd*K91)/1000</f>
        <v>9823.87870310468</v>
      </c>
    </row>
    <row r="92" customFormat="false" ht="15" hidden="false" customHeight="false" outlineLevel="0" collapsed="false">
      <c r="E92" s="54" t="n">
        <v>88</v>
      </c>
      <c r="F92" s="61" t="n">
        <v>0.90183</v>
      </c>
      <c r="G92" s="61" t="n">
        <v>0.23044</v>
      </c>
      <c r="H92" s="34" t="n">
        <f aca="false">NORMSINV(F92)</f>
        <v>1.29204950818833</v>
      </c>
      <c r="I92" s="34" t="n">
        <f aca="false">NORMSINV(G92)</f>
        <v>-0.73739857795362</v>
      </c>
      <c r="J92" s="59" t="n">
        <f aca="false">mc_s0*EXP((mc_mu-mc_vol^2/2)*mc_t1+mc_vol*SQRT(mc_t1)*H92)</f>
        <v>1296.83980325282</v>
      </c>
      <c r="K92" s="59" t="n">
        <f aca="false">J92*EXP((mc_mu-mc_vol^2/2)*(mc_t2-mc_t1)+mc_vol*SQRT(mc_t2-mc_t1)*I92)</f>
        <v>1175.70513717232</v>
      </c>
      <c r="L92" s="31" t="n">
        <f aca="false">(t1_usd*J92+t2_usd*K92)/1000</f>
        <v>11311.7183833972</v>
      </c>
    </row>
    <row r="93" customFormat="false" ht="15" hidden="false" customHeight="false" outlineLevel="0" collapsed="false">
      <c r="E93" s="54" t="n">
        <v>89</v>
      </c>
      <c r="F93" s="61" t="n">
        <v>0.235543</v>
      </c>
      <c r="G93" s="61" t="n">
        <v>0.804926</v>
      </c>
      <c r="H93" s="34" t="n">
        <f aca="false">NORMSINV(F93)</f>
        <v>-0.720713182585208</v>
      </c>
      <c r="I93" s="34" t="n">
        <f aca="false">NORMSINV(G93)</f>
        <v>0.85934899620896</v>
      </c>
      <c r="J93" s="59" t="n">
        <f aca="false">mc_s0*EXP((mc_mu-mc_vol^2/2)*mc_t1+mc_vol*SQRT(mc_t1)*H93)</f>
        <v>1070.00787510472</v>
      </c>
      <c r="K93" s="59" t="n">
        <f aca="false">J93*EXP((mc_mu-mc_vol^2/2)*(mc_t2-mc_t1)+mc_vol*SQRT(mc_t2-mc_t1)*I93)</f>
        <v>1247.62315702732</v>
      </c>
      <c r="L93" s="31" t="n">
        <f aca="false">(t1_usd*J93+t2_usd*K93)/1000</f>
        <v>9860.53912408492</v>
      </c>
    </row>
    <row r="94" customFormat="false" ht="15" hidden="false" customHeight="false" outlineLevel="0" collapsed="false">
      <c r="E94" s="54" t="n">
        <v>90</v>
      </c>
      <c r="F94" s="61" t="n">
        <v>0.211776</v>
      </c>
      <c r="G94" s="61" t="n">
        <v>0.74583</v>
      </c>
      <c r="H94" s="34" t="n">
        <f aca="false">NORMSINV(F94)</f>
        <v>-0.80027410978858</v>
      </c>
      <c r="I94" s="34" t="n">
        <f aca="false">NORMSINV(G94)</f>
        <v>0.661424684463565</v>
      </c>
      <c r="J94" s="59" t="n">
        <f aca="false">mc_s0*EXP((mc_mu-mc_vol^2/2)*mc_t1+mc_vol*SQRT(mc_t1)*H94)</f>
        <v>1061.90677845135</v>
      </c>
      <c r="K94" s="59" t="n">
        <f aca="false">J94*EXP((mc_mu-mc_vol^2/2)*(mc_t2-mc_t1)+mc_vol*SQRT(mc_t2-mc_t1)*I94)</f>
        <v>1200.1527888395</v>
      </c>
      <c r="L94" s="31" t="n">
        <f aca="false">(t1_usd*J94+t2_usd*K94)/1000</f>
        <v>9713.63774795448</v>
      </c>
    </row>
    <row r="95" customFormat="false" ht="15" hidden="false" customHeight="false" outlineLevel="0" collapsed="false">
      <c r="E95" s="54" t="n">
        <v>91</v>
      </c>
      <c r="F95" s="61" t="n">
        <v>0.006095</v>
      </c>
      <c r="G95" s="61" t="n">
        <v>0.891874</v>
      </c>
      <c r="H95" s="34" t="n">
        <f aca="false">NORMSINV(F95)</f>
        <v>-2.50659585644897</v>
      </c>
      <c r="I95" s="34" t="n">
        <f aca="false">NORMSINV(G95)</f>
        <v>1.23655590177134</v>
      </c>
      <c r="J95" s="59" t="n">
        <f aca="false">mc_s0*EXP((mc_mu-mc_vol^2/2)*mc_t1+mc_vol*SQRT(mc_t1)*H95)</f>
        <v>902.193559331787</v>
      </c>
      <c r="K95" s="59" t="n">
        <f aca="false">J95*EXP((mc_mu-mc_vol^2/2)*(mc_t2-mc_t1)+mc_vol*SQRT(mc_t2-mc_t1)*I95)</f>
        <v>1116.3822336772</v>
      </c>
      <c r="L95" s="31" t="n">
        <f aca="false">(t1_usd*J95+t2_usd*K95)/1000</f>
        <v>8436.48115930919</v>
      </c>
    </row>
    <row r="96" customFormat="false" ht="15" hidden="false" customHeight="false" outlineLevel="0" collapsed="false">
      <c r="E96" s="54" t="n">
        <v>92</v>
      </c>
      <c r="F96" s="61" t="n">
        <v>0.301305</v>
      </c>
      <c r="G96" s="61" t="n">
        <v>0.371253</v>
      </c>
      <c r="H96" s="34" t="n">
        <f aca="false">NORMSINV(F96)</f>
        <v>-0.520650877524421</v>
      </c>
      <c r="I96" s="34" t="n">
        <f aca="false">NORMSINV(G96)</f>
        <v>-0.328536567963777</v>
      </c>
      <c r="J96" s="59" t="n">
        <f aca="false">mc_s0*EXP((mc_mu-mc_vol^2/2)*mc_t1+mc_vol*SQRT(mc_t1)*H96)</f>
        <v>1090.65287512185</v>
      </c>
      <c r="K96" s="59" t="n">
        <f aca="false">J96*EXP((mc_mu-mc_vol^2/2)*(mc_t2-mc_t1)+mc_vol*SQRT(mc_t2-mc_t1)*I96)</f>
        <v>1054.5857724265</v>
      </c>
      <c r="L96" s="31" t="n">
        <f aca="false">(t1_usd*J96+t2_usd*K96)/1000</f>
        <v>9638.2830934633</v>
      </c>
    </row>
    <row r="97" customFormat="false" ht="15" hidden="false" customHeight="false" outlineLevel="0" collapsed="false">
      <c r="E97" s="54" t="n">
        <v>93</v>
      </c>
      <c r="F97" s="61" t="n">
        <v>0.310205</v>
      </c>
      <c r="G97" s="61" t="n">
        <v>0.734874</v>
      </c>
      <c r="H97" s="34" t="n">
        <f aca="false">NORMSINV(F97)</f>
        <v>-0.495269354581413</v>
      </c>
      <c r="I97" s="34" t="n">
        <f aca="false">NORMSINV(G97)</f>
        <v>0.627621379195176</v>
      </c>
      <c r="J97" s="59" t="n">
        <f aca="false">mc_s0*EXP((mc_mu-mc_vol^2/2)*mc_t1+mc_vol*SQRT(mc_t1)*H97)</f>
        <v>1093.3003817551</v>
      </c>
      <c r="K97" s="59" t="n">
        <f aca="false">J97*EXP((mc_mu-mc_vol^2/2)*(mc_t2-mc_t1)+mc_vol*SQRT(mc_t2-mc_t1)*I97)</f>
        <v>1229.06848918805</v>
      </c>
      <c r="L97" s="31" t="n">
        <f aca="false">(t1_usd*J97+t2_usd*K97)/1000</f>
        <v>9988.33280174299</v>
      </c>
    </row>
    <row r="98" customFormat="false" ht="15" hidden="false" customHeight="false" outlineLevel="0" collapsed="false">
      <c r="E98" s="54" t="n">
        <v>94</v>
      </c>
      <c r="F98" s="61" t="n">
        <v>0.968883</v>
      </c>
      <c r="G98" s="61" t="n">
        <v>0.902286</v>
      </c>
      <c r="H98" s="34" t="n">
        <f aca="false">NORMSINV(F98)</f>
        <v>1.86462490092944</v>
      </c>
      <c r="I98" s="34" t="n">
        <f aca="false">NORMSINV(G98)</f>
        <v>1.29468765581174</v>
      </c>
      <c r="J98" s="59" t="n">
        <f aca="false">mc_s0*EXP((mc_mu-mc_vol^2/2)*mc_t1+mc_vol*SQRT(mc_t1)*H98)</f>
        <v>1369.74458619638</v>
      </c>
      <c r="K98" s="59" t="n">
        <f aca="false">J98*EXP((mc_mu-mc_vol^2/2)*(mc_t2-mc_t1)+mc_vol*SQRT(mc_t2-mc_t1)*I98)</f>
        <v>1710.53290038048</v>
      </c>
      <c r="L98" s="31" t="n">
        <f aca="false">(t1_usd*J98+t2_usd*K98)/1000</f>
        <v>12838.2246140976</v>
      </c>
    </row>
    <row r="99" customFormat="false" ht="15" hidden="false" customHeight="false" outlineLevel="0" collapsed="false">
      <c r="E99" s="54" t="n">
        <v>95</v>
      </c>
      <c r="F99" s="61" t="n">
        <v>0.824673</v>
      </c>
      <c r="G99" s="61" t="n">
        <v>0.759147</v>
      </c>
      <c r="H99" s="34" t="n">
        <f aca="false">NORMSINV(F99)</f>
        <v>0.933321495311674</v>
      </c>
      <c r="I99" s="34" t="n">
        <f aca="false">NORMSINV(G99)</f>
        <v>0.703561330758802</v>
      </c>
      <c r="J99" s="59" t="n">
        <f aca="false">mc_s0*EXP((mc_mu-mc_vol^2/2)*mc_t1+mc_vol*SQRT(mc_t1)*H99)</f>
        <v>1253.15421242145</v>
      </c>
      <c r="K99" s="59" t="n">
        <f aca="false">J99*EXP((mc_mu-mc_vol^2/2)*(mc_t2-mc_t1)+mc_vol*SQRT(mc_t2-mc_t1)*I99)</f>
        <v>1425.7342223519</v>
      </c>
      <c r="L99" s="31" t="n">
        <f aca="false">(t1_usd*J99+t2_usd*K99)/1000</f>
        <v>11480.9745094188</v>
      </c>
    </row>
    <row r="100" customFormat="false" ht="15" hidden="false" customHeight="false" outlineLevel="0" collapsed="false">
      <c r="E100" s="54" t="n">
        <v>96</v>
      </c>
      <c r="F100" s="61" t="n">
        <v>0.082671</v>
      </c>
      <c r="G100" s="61" t="n">
        <v>0.851311</v>
      </c>
      <c r="H100" s="34" t="n">
        <f aca="false">NORMSINV(F100)</f>
        <v>-1.38732724152511</v>
      </c>
      <c r="I100" s="34" t="n">
        <f aca="false">NORMSINV(G100)</f>
        <v>1.04207264496888</v>
      </c>
      <c r="J100" s="59" t="n">
        <f aca="false">mc_s0*EXP((mc_mu-mc_vol^2/2)*mc_t1+mc_vol*SQRT(mc_t1)*H100)</f>
        <v>1003.99725126101</v>
      </c>
      <c r="K100" s="59" t="n">
        <f aca="false">J100*EXP((mc_mu-mc_vol^2/2)*(mc_t2-mc_t1)+mc_vol*SQRT(mc_t2-mc_t1)*I100)</f>
        <v>1204.85538385133</v>
      </c>
      <c r="L100" s="31" t="n">
        <f aca="false">(t1_usd*J100+t2_usd*K100)/1000</f>
        <v>9317.20598814462</v>
      </c>
    </row>
    <row r="101" customFormat="false" ht="15" hidden="false" customHeight="false" outlineLevel="0" collapsed="false">
      <c r="E101" s="54" t="n">
        <v>97</v>
      </c>
      <c r="F101" s="61" t="n">
        <v>0.378037</v>
      </c>
      <c r="G101" s="61" t="n">
        <v>0.49377</v>
      </c>
      <c r="H101" s="34" t="n">
        <f aca="false">NORMSINV(F101)</f>
        <v>-0.310640414219185</v>
      </c>
      <c r="I101" s="34" t="n">
        <f aca="false">NORMSINV(G101)</f>
        <v>-0.0156169289258768</v>
      </c>
      <c r="J101" s="59" t="n">
        <f aca="false">mc_s0*EXP((mc_mu-mc_vol^2/2)*mc_t1+mc_vol*SQRT(mc_t1)*H101)</f>
        <v>1112.75312325501</v>
      </c>
      <c r="K101" s="59" t="n">
        <f aca="false">J101*EXP((mc_mu-mc_vol^2/2)*(mc_t2-mc_t1)+mc_vol*SQRT(mc_t2-mc_t1)*I101)</f>
        <v>1130.34490841309</v>
      </c>
      <c r="L101" s="31" t="n">
        <f aca="false">(t1_usd*J101+t2_usd*K101)/1000</f>
        <v>9936.92718876995</v>
      </c>
    </row>
    <row r="102" customFormat="false" ht="15" hidden="false" customHeight="false" outlineLevel="0" collapsed="false">
      <c r="E102" s="54" t="n">
        <v>98</v>
      </c>
      <c r="F102" s="61" t="n">
        <v>0.361148</v>
      </c>
      <c r="G102" s="61" t="n">
        <v>0.821601</v>
      </c>
      <c r="H102" s="34" t="n">
        <f aca="false">NORMSINV(F102)</f>
        <v>-0.355391921622889</v>
      </c>
      <c r="I102" s="34" t="n">
        <f aca="false">NORMSINV(G102)</f>
        <v>0.92148359934769</v>
      </c>
      <c r="J102" s="59" t="n">
        <f aca="false">mc_s0*EXP((mc_mu-mc_vol^2/2)*mc_t1+mc_vol*SQRT(mc_t1)*H102)</f>
        <v>1108.00649944417</v>
      </c>
      <c r="K102" s="59" t="n">
        <f aca="false">J102*EXP((mc_mu-mc_vol^2/2)*(mc_t2-mc_t1)+mc_vol*SQRT(mc_t2-mc_t1)*I102)</f>
        <v>1304.64203909523</v>
      </c>
      <c r="L102" s="31" t="n">
        <f aca="false">(t1_usd*J102+t2_usd*K102)/1000</f>
        <v>10234.8653703902</v>
      </c>
    </row>
    <row r="103" customFormat="false" ht="15" hidden="false" customHeight="false" outlineLevel="0" collapsed="false">
      <c r="E103" s="54" t="n">
        <v>99</v>
      </c>
      <c r="F103" s="61" t="n">
        <v>0.945091</v>
      </c>
      <c r="G103" s="61" t="n">
        <v>0.551674</v>
      </c>
      <c r="H103" s="34" t="n">
        <f aca="false">NORMSINV(F103)</f>
        <v>1.59901171314791</v>
      </c>
      <c r="I103" s="34" t="n">
        <f aca="false">NORMSINV(G103)</f>
        <v>0.129891840417808</v>
      </c>
      <c r="J103" s="59" t="n">
        <f aca="false">mc_s0*EXP((mc_mu-mc_vol^2/2)*mc_t1+mc_vol*SQRT(mc_t1)*H103)</f>
        <v>1335.42850790233</v>
      </c>
      <c r="K103" s="59" t="n">
        <f aca="false">J103*EXP((mc_mu-mc_vol^2/2)*(mc_t2-mc_t1)+mc_vol*SQRT(mc_t2-mc_t1)*I103)</f>
        <v>1388.00711987179</v>
      </c>
      <c r="L103" s="31" t="n">
        <f aca="false">(t1_usd*J103+t2_usd*K103)/1000</f>
        <v>11985.2130830727</v>
      </c>
    </row>
    <row r="104" customFormat="false" ht="15" hidden="false" customHeight="false" outlineLevel="0" collapsed="false">
      <c r="E104" s="54" t="n">
        <v>100</v>
      </c>
      <c r="F104" s="61" t="n">
        <v>0.539242</v>
      </c>
      <c r="G104" s="61" t="n">
        <v>0.616526</v>
      </c>
      <c r="H104" s="34" t="n">
        <f aca="false">NORMSINV(F104)</f>
        <v>0.0985242713074885</v>
      </c>
      <c r="I104" s="34" t="n">
        <f aca="false">NORMSINV(G104)</f>
        <v>0.296369388787015</v>
      </c>
      <c r="J104" s="59" t="n">
        <f aca="false">mc_s0*EXP((mc_mu-mc_vol^2/2)*mc_t1+mc_vol*SQRT(mc_t1)*H104)</f>
        <v>1157.10560695483</v>
      </c>
      <c r="K104" s="59" t="n">
        <f aca="false">J104*EXP((mc_mu-mc_vol^2/2)*(mc_t2-mc_t1)+mc_vol*SQRT(mc_t2-mc_t1)*I104)</f>
        <v>1234.63357004794</v>
      </c>
      <c r="L104" s="31" t="n">
        <f aca="false">(t1_usd*J104+t2_usd*K104)/1000</f>
        <v>10445.5430317749</v>
      </c>
    </row>
    <row r="105" customFormat="false" ht="15" hidden="false" customHeight="false" outlineLevel="0" collapsed="false">
      <c r="E105" s="54" t="n">
        <v>101</v>
      </c>
      <c r="F105" s="61" t="n">
        <v>0.153914</v>
      </c>
      <c r="G105" s="61" t="n">
        <v>0.819979</v>
      </c>
      <c r="H105" s="34" t="n">
        <f aca="false">NORMSINV(F105)</f>
        <v>-1.01979014088719</v>
      </c>
      <c r="I105" s="34" t="n">
        <f aca="false">NORMSINV(G105)</f>
        <v>0.915285060291519</v>
      </c>
      <c r="J105" s="59" t="n">
        <f aca="false">mc_s0*EXP((mc_mu-mc_vol^2/2)*mc_t1+mc_vol*SQRT(mc_t1)*H105)</f>
        <v>1039.87175409072</v>
      </c>
      <c r="K105" s="59" t="n">
        <f aca="false">J105*EXP((mc_mu-mc_vol^2/2)*(mc_t2-mc_t1)+mc_vol*SQRT(mc_t2-mc_t1)*I105)</f>
        <v>1223.22008304627</v>
      </c>
      <c r="L105" s="31" t="n">
        <f aca="false">(t1_usd*J105+t2_usd*K105)/1000</f>
        <v>9603.22043642299</v>
      </c>
    </row>
    <row r="106" customFormat="false" ht="15" hidden="false" customHeight="false" outlineLevel="0" collapsed="false">
      <c r="E106" s="54" t="n">
        <v>102</v>
      </c>
      <c r="F106" s="61" t="n">
        <v>0.546498</v>
      </c>
      <c r="G106" s="61" t="n">
        <v>0.801058</v>
      </c>
      <c r="H106" s="34" t="n">
        <f aca="false">NORMSINV(F106)</f>
        <v>0.11681835266992</v>
      </c>
      <c r="I106" s="34" t="n">
        <f aca="false">NORMSINV(G106)</f>
        <v>0.845406350571624</v>
      </c>
      <c r="J106" s="59" t="n">
        <f aca="false">mc_s0*EXP((mc_mu-mc_vol^2/2)*mc_t1+mc_vol*SQRT(mc_t1)*H106)</f>
        <v>1159.1294152579</v>
      </c>
      <c r="K106" s="59" t="n">
        <f aca="false">J106*EXP((mc_mu-mc_vol^2/2)*(mc_t2-mc_t1)+mc_vol*SQRT(mc_t2-mc_t1)*I106)</f>
        <v>1348.57194171446</v>
      </c>
      <c r="L106" s="31" t="n">
        <f aca="false">(t1_usd*J106+t2_usd*K106)/1000</f>
        <v>10676.1925960627</v>
      </c>
    </row>
    <row r="107" customFormat="false" ht="15" hidden="false" customHeight="false" outlineLevel="0" collapsed="false">
      <c r="E107" s="54" t="n">
        <v>103</v>
      </c>
      <c r="F107" s="61" t="n">
        <v>0.55676</v>
      </c>
      <c r="G107" s="61" t="n">
        <v>0.374719</v>
      </c>
      <c r="H107" s="34" t="n">
        <f aca="false">NORMSINV(F107)</f>
        <v>0.142759656620847</v>
      </c>
      <c r="I107" s="34" t="n">
        <f aca="false">NORMSINV(G107)</f>
        <v>-0.319380494588466</v>
      </c>
      <c r="J107" s="59" t="n">
        <f aca="false">mc_s0*EXP((mc_mu-mc_vol^2/2)*mc_t1+mc_vol*SQRT(mc_t1)*H107)</f>
        <v>1162.005278147</v>
      </c>
      <c r="K107" s="59" t="n">
        <f aca="false">J107*EXP((mc_mu-mc_vol^2/2)*(mc_t2-mc_t1)+mc_vol*SQRT(mc_t2-mc_t1)*I107)</f>
        <v>1125.20102404494</v>
      </c>
      <c r="L107" s="31" t="n">
        <f aca="false">(t1_usd*J107+t2_usd*K107)/1000</f>
        <v>10271.9188927144</v>
      </c>
    </row>
    <row r="108" customFormat="false" ht="15" hidden="false" customHeight="false" outlineLevel="0" collapsed="false">
      <c r="E108" s="54" t="n">
        <v>104</v>
      </c>
      <c r="F108" s="61" t="n">
        <v>0.592242</v>
      </c>
      <c r="G108" s="61" t="n">
        <v>0.148936</v>
      </c>
      <c r="H108" s="34" t="n">
        <f aca="false">NORMSINV(F108)</f>
        <v>0.233316045353145</v>
      </c>
      <c r="I108" s="34" t="n">
        <f aca="false">NORMSINV(G108)</f>
        <v>-1.04100764526216</v>
      </c>
      <c r="J108" s="59" t="n">
        <f aca="false">mc_s0*EXP((mc_mu-mc_vol^2/2)*mc_t1+mc_vol*SQRT(mc_t1)*H108)</f>
        <v>1172.1004371283</v>
      </c>
      <c r="K108" s="59" t="n">
        <f aca="false">J108*EXP((mc_mu-mc_vol^2/2)*(mc_t2-mc_t1)+mc_vol*SQRT(mc_t2-mc_t1)*I108)</f>
        <v>1012.97177327981</v>
      </c>
      <c r="L108" s="31" t="n">
        <f aca="false">(t1_usd*J108+t2_usd*K108)/1000</f>
        <v>10129.3494291297</v>
      </c>
    </row>
    <row r="109" customFormat="false" ht="15" hidden="false" customHeight="false" outlineLevel="0" collapsed="false">
      <c r="E109" s="54" t="n">
        <v>105</v>
      </c>
      <c r="F109" s="61" t="n">
        <v>0.223393</v>
      </c>
      <c r="G109" s="61" t="n">
        <v>0.758255</v>
      </c>
      <c r="H109" s="34" t="n">
        <f aca="false">NORMSINV(F109)</f>
        <v>-0.760784154971217</v>
      </c>
      <c r="I109" s="34" t="n">
        <f aca="false">NORMSINV(G109)</f>
        <v>0.700700410221139</v>
      </c>
      <c r="J109" s="59" t="n">
        <f aca="false">mc_s0*EXP((mc_mu-mc_vol^2/2)*mc_t1+mc_vol*SQRT(mc_t1)*H109)</f>
        <v>1065.9200510143</v>
      </c>
      <c r="K109" s="59" t="n">
        <f aca="false">J109*EXP((mc_mu-mc_vol^2/2)*(mc_t2-mc_t1)+mc_vol*SQRT(mc_t2-mc_t1)*I109)</f>
        <v>1212.16818454606</v>
      </c>
      <c r="L109" s="31" t="n">
        <f aca="false">(t1_usd*J109+t2_usd*K109)/1000</f>
        <v>9764.55990773758</v>
      </c>
    </row>
    <row r="110" customFormat="false" ht="15" hidden="false" customHeight="false" outlineLevel="0" collapsed="false">
      <c r="E110" s="54" t="n">
        <v>106</v>
      </c>
      <c r="F110" s="61" t="n">
        <v>0.891555</v>
      </c>
      <c r="G110" s="61" t="n">
        <v>0.940674</v>
      </c>
      <c r="H110" s="34" t="n">
        <f aca="false">NORMSINV(F110)</f>
        <v>1.23484015383449</v>
      </c>
      <c r="I110" s="34" t="n">
        <f aca="false">NORMSINV(G110)</f>
        <v>1.56045667779574</v>
      </c>
      <c r="J110" s="59" t="n">
        <f aca="false">mc_s0*EXP((mc_mu-mc_vol^2/2)*mc_t1+mc_vol*SQRT(mc_t1)*H110)</f>
        <v>1289.77217815626</v>
      </c>
      <c r="K110" s="59" t="n">
        <f aca="false">J110*EXP((mc_mu-mc_vol^2/2)*(mc_t2-mc_t1)+mc_vol*SQRT(mc_t2-mc_t1)*I110)</f>
        <v>1679.5563106183</v>
      </c>
      <c r="L110" s="31" t="n">
        <f aca="false">(t1_usd*J110+t2_usd*K110)/1000</f>
        <v>12219.5622372686</v>
      </c>
    </row>
    <row r="111" customFormat="false" ht="15" hidden="false" customHeight="false" outlineLevel="0" collapsed="false">
      <c r="E111" s="54" t="n">
        <v>107</v>
      </c>
      <c r="F111" s="61" t="n">
        <v>0.275531</v>
      </c>
      <c r="G111" s="61" t="n">
        <v>0.649739</v>
      </c>
      <c r="H111" s="34" t="n">
        <f aca="false">NORMSINV(F111)</f>
        <v>-0.596169498153898</v>
      </c>
      <c r="I111" s="34" t="n">
        <f aca="false">NORMSINV(G111)</f>
        <v>0.384615916470122</v>
      </c>
      <c r="J111" s="59" t="n">
        <f aca="false">mc_s0*EXP((mc_mu-mc_vol^2/2)*mc_t1+mc_vol*SQRT(mc_t1)*H111)</f>
        <v>1082.81350182476</v>
      </c>
      <c r="K111" s="59" t="n">
        <f aca="false">J111*EXP((mc_mu-mc_vol^2/2)*(mc_t2-mc_t1)+mc_vol*SQRT(mc_t2-mc_t1)*I111)</f>
        <v>1171.54372441603</v>
      </c>
      <c r="L111" s="31" t="n">
        <f aca="false">(t1_usd*J111+t2_usd*K111)/1000</f>
        <v>9805.62758916379</v>
      </c>
    </row>
    <row r="112" customFormat="false" ht="15" hidden="false" customHeight="false" outlineLevel="0" collapsed="false">
      <c r="E112" s="54" t="n">
        <v>108</v>
      </c>
      <c r="F112" s="61" t="n">
        <v>0.810077</v>
      </c>
      <c r="G112" s="61" t="n">
        <v>0.587741</v>
      </c>
      <c r="H112" s="34" t="n">
        <f aca="false">NORMSINV(F112)</f>
        <v>0.878180080782356</v>
      </c>
      <c r="I112" s="34" t="n">
        <f aca="false">NORMSINV(G112)</f>
        <v>0.221737803035143</v>
      </c>
      <c r="J112" s="59" t="n">
        <f aca="false">mc_s0*EXP((mc_mu-mc_vol^2/2)*mc_t1+mc_vol*SQRT(mc_t1)*H112)</f>
        <v>1246.57088579193</v>
      </c>
      <c r="K112" s="59" t="n">
        <f aca="false">J112*EXP((mc_mu-mc_vol^2/2)*(mc_t2-mc_t1)+mc_vol*SQRT(mc_t2-mc_t1)*I112)</f>
        <v>1314.54100743295</v>
      </c>
      <c r="L112" s="31" t="n">
        <f aca="false">(t1_usd*J112+t2_usd*K112)/1000</f>
        <v>11223.6241146661</v>
      </c>
    </row>
    <row r="113" customFormat="false" ht="15" hidden="false" customHeight="false" outlineLevel="0" collapsed="false">
      <c r="E113" s="54" t="n">
        <v>109</v>
      </c>
      <c r="F113" s="61" t="n">
        <v>0.019199</v>
      </c>
      <c r="G113" s="61" t="n">
        <v>0.716141</v>
      </c>
      <c r="H113" s="34" t="n">
        <f aca="false">NORMSINV(F113)</f>
        <v>-2.07058067134675</v>
      </c>
      <c r="I113" s="34" t="n">
        <f aca="false">NORMSINV(G113)</f>
        <v>0.571415536422577</v>
      </c>
      <c r="J113" s="59" t="n">
        <f aca="false">mc_s0*EXP((mc_mu-mc_vol^2/2)*mc_t1+mc_vol*SQRT(mc_t1)*H113)</f>
        <v>940.562782776175</v>
      </c>
      <c r="K113" s="59" t="n">
        <f aca="false">J113*EXP((mc_mu-mc_vol^2/2)*(mc_t2-mc_t1)+mc_vol*SQRT(mc_t2-mc_t1)*I113)</f>
        <v>1048.03923754473</v>
      </c>
      <c r="L113" s="31" t="n">
        <f aca="false">(t1_usd*J113+t2_usd*K113)/1000</f>
        <v>8575.21403076822</v>
      </c>
    </row>
    <row r="114" customFormat="false" ht="15" hidden="false" customHeight="false" outlineLevel="0" collapsed="false">
      <c r="E114" s="54" t="n">
        <v>110</v>
      </c>
      <c r="F114" s="61" t="n">
        <v>0.194117</v>
      </c>
      <c r="G114" s="61" t="n">
        <v>0.937536</v>
      </c>
      <c r="H114" s="34" t="n">
        <f aca="false">NORMSINV(F114)</f>
        <v>-0.862824439176205</v>
      </c>
      <c r="I114" s="34" t="n">
        <f aca="false">NORMSINV(G114)</f>
        <v>1.53441333123626</v>
      </c>
      <c r="J114" s="59" t="n">
        <f aca="false">mc_s0*EXP((mc_mu-mc_vol^2/2)*mc_t1+mc_vol*SQRT(mc_t1)*H114)</f>
        <v>1055.58083302837</v>
      </c>
      <c r="K114" s="59" t="n">
        <f aca="false">J114*EXP((mc_mu-mc_vol^2/2)*(mc_t2-mc_t1)+mc_vol*SQRT(mc_t2-mc_t1)*I114)</f>
        <v>1368.9595171736</v>
      </c>
      <c r="L114" s="31" t="n">
        <f aca="false">(t1_usd*J114+t2_usd*K114)/1000</f>
        <v>9990.08891382845</v>
      </c>
    </row>
    <row r="115" customFormat="false" ht="15" hidden="false" customHeight="false" outlineLevel="0" collapsed="false">
      <c r="E115" s="54" t="n">
        <v>111</v>
      </c>
      <c r="F115" s="61" t="n">
        <v>0.422894</v>
      </c>
      <c r="G115" s="61" t="n">
        <v>0.748259</v>
      </c>
      <c r="H115" s="34" t="n">
        <f aca="false">NORMSINV(F115)</f>
        <v>-0.194495396457687</v>
      </c>
      <c r="I115" s="34" t="n">
        <f aca="false">NORMSINV(G115)</f>
        <v>0.66902112875462</v>
      </c>
      <c r="J115" s="59" t="n">
        <f aca="false">mc_s0*EXP((mc_mu-mc_vol^2/2)*mc_t1+mc_vol*SQRT(mc_t1)*H115)</f>
        <v>1125.16727410353</v>
      </c>
      <c r="K115" s="59" t="n">
        <f aca="false">J115*EXP((mc_mu-mc_vol^2/2)*(mc_t2-mc_t1)+mc_vol*SQRT(mc_t2-mc_t1)*I115)</f>
        <v>1273.17221553847</v>
      </c>
      <c r="L115" s="31" t="n">
        <f aca="false">(t1_usd*J115+t2_usd*K115)/1000</f>
        <v>10295.1981282478</v>
      </c>
    </row>
    <row r="116" customFormat="false" ht="15" hidden="false" customHeight="false" outlineLevel="0" collapsed="false">
      <c r="E116" s="54" t="n">
        <v>112</v>
      </c>
      <c r="F116" s="61" t="n">
        <v>0.22279</v>
      </c>
      <c r="G116" s="61" t="n">
        <v>0.206945</v>
      </c>
      <c r="H116" s="34" t="n">
        <f aca="false">NORMSINV(F116)</f>
        <v>-0.762804494981372</v>
      </c>
      <c r="I116" s="34" t="n">
        <f aca="false">NORMSINV(G116)</f>
        <v>-0.8170672455538</v>
      </c>
      <c r="J116" s="59" t="n">
        <f aca="false">mc_s0*EXP((mc_mu-mc_vol^2/2)*mc_t1+mc_vol*SQRT(mc_t1)*H116)</f>
        <v>1065.71436089056</v>
      </c>
      <c r="K116" s="59" t="n">
        <f aca="false">J116*EXP((mc_mu-mc_vol^2/2)*(mc_t2-mc_t1)+mc_vol*SQRT(mc_t2-mc_t1)*I116)</f>
        <v>954.11391722766</v>
      </c>
      <c r="L116" s="31" t="n">
        <f aca="false">(t1_usd*J116+t2_usd*K116)/1000</f>
        <v>9272.81696896646</v>
      </c>
    </row>
    <row r="117" customFormat="false" ht="15" hidden="false" customHeight="false" outlineLevel="0" collapsed="false">
      <c r="E117" s="54" t="n">
        <v>113</v>
      </c>
      <c r="F117" s="61" t="n">
        <v>0.719873</v>
      </c>
      <c r="G117" s="61" t="n">
        <v>0.333587</v>
      </c>
      <c r="H117" s="34" t="n">
        <f aca="false">NORMSINV(F117)</f>
        <v>0.582464272466175</v>
      </c>
      <c r="I117" s="34" t="n">
        <f aca="false">NORMSINV(G117)</f>
        <v>-0.430029750508809</v>
      </c>
      <c r="J117" s="59" t="n">
        <f aca="false">mc_s0*EXP((mc_mu-mc_vol^2/2)*mc_t1+mc_vol*SQRT(mc_t1)*H117)</f>
        <v>1211.85099650977</v>
      </c>
      <c r="K117" s="59" t="n">
        <f aca="false">J117*EXP((mc_mu-mc_vol^2/2)*(mc_t2-mc_t1)+mc_vol*SQRT(mc_t2-mc_t1)*I117)</f>
        <v>1153.18292114412</v>
      </c>
      <c r="L117" s="31" t="n">
        <f aca="false">(t1_usd*J117+t2_usd*K117)/1000</f>
        <v>10674.0045257422</v>
      </c>
    </row>
    <row r="118" customFormat="false" ht="15" hidden="false" customHeight="false" outlineLevel="0" collapsed="false">
      <c r="E118" s="54" t="n">
        <v>114</v>
      </c>
      <c r="F118" s="61" t="n">
        <v>0.048024</v>
      </c>
      <c r="G118" s="61" t="n">
        <v>0.007824</v>
      </c>
      <c r="H118" s="34" t="n">
        <f aca="false">NORMSINV(F118)</f>
        <v>-1.66432249176324</v>
      </c>
      <c r="I118" s="34" t="n">
        <f aca="false">NORMSINV(G118)</f>
        <v>-2.41702365902121</v>
      </c>
      <c r="J118" s="59" t="n">
        <f aca="false">mc_s0*EXP((mc_mu-mc_vol^2/2)*mc_t1+mc_vol*SQRT(mc_t1)*H118)</f>
        <v>977.780540854481</v>
      </c>
      <c r="K118" s="59" t="n">
        <f aca="false">J118*EXP((mc_mu-mc_vol^2/2)*(mc_t2-mc_t1)+mc_vol*SQRT(mc_t2-mc_t1)*I118)</f>
        <v>680.294272970639</v>
      </c>
      <c r="L118" s="31" t="n">
        <f aca="false">(t1_usd*J118+t2_usd*K118)/1000</f>
        <v>8137.02290462558</v>
      </c>
    </row>
    <row r="119" customFormat="false" ht="15" hidden="false" customHeight="false" outlineLevel="0" collapsed="false">
      <c r="E119" s="54" t="n">
        <v>115</v>
      </c>
      <c r="F119" s="61" t="n">
        <v>0.382935</v>
      </c>
      <c r="G119" s="61" t="n">
        <v>0.262011</v>
      </c>
      <c r="H119" s="34" t="n">
        <f aca="false">NORMSINV(F119)</f>
        <v>-0.29778141513381</v>
      </c>
      <c r="I119" s="34" t="n">
        <f aca="false">NORMSINV(G119)</f>
        <v>-0.637157895830379</v>
      </c>
      <c r="J119" s="59" t="n">
        <f aca="false">mc_s0*EXP((mc_mu-mc_vol^2/2)*mc_t1+mc_vol*SQRT(mc_t1)*H119)</f>
        <v>1114.12078591954</v>
      </c>
      <c r="K119" s="59" t="n">
        <f aca="false">J119*EXP((mc_mu-mc_vol^2/2)*(mc_t2-mc_t1)+mc_vol*SQRT(mc_t2-mc_t1)*I119)</f>
        <v>1026.13622492706</v>
      </c>
      <c r="L119" s="31" t="n">
        <f aca="false">(t1_usd*J119+t2_usd*K119)/1000</f>
        <v>9748.5043287982</v>
      </c>
    </row>
    <row r="120" customFormat="false" ht="15" hidden="false" customHeight="false" outlineLevel="0" collapsed="false">
      <c r="E120" s="54" t="n">
        <v>116</v>
      </c>
      <c r="F120" s="61" t="n">
        <v>0.572554</v>
      </c>
      <c r="G120" s="61" t="n">
        <v>0.033635</v>
      </c>
      <c r="H120" s="34" t="n">
        <f aca="false">NORMSINV(F120)</f>
        <v>0.182880224207305</v>
      </c>
      <c r="I120" s="34" t="n">
        <f aca="false">NORMSINV(G120)</f>
        <v>-1.82986585728681</v>
      </c>
      <c r="J120" s="59" t="n">
        <f aca="false">mc_s0*EXP((mc_mu-mc_vol^2/2)*mc_t1+mc_vol*SQRT(mc_t1)*H120)</f>
        <v>1166.46711703155</v>
      </c>
      <c r="K120" s="59" t="n">
        <f aca="false">J120*EXP((mc_mu-mc_vol^2/2)*(mc_t2-mc_t1)+mc_vol*SQRT(mc_t2-mc_t1)*I120)</f>
        <v>890.254331810152</v>
      </c>
      <c r="L120" s="31" t="n">
        <f aca="false">(t1_usd*J120+t2_usd*K120)/1000</f>
        <v>9856.75304966012</v>
      </c>
    </row>
    <row r="121" customFormat="false" ht="15" hidden="false" customHeight="false" outlineLevel="0" collapsed="false">
      <c r="E121" s="54" t="n">
        <v>117</v>
      </c>
      <c r="F121" s="61" t="n">
        <v>0.012035</v>
      </c>
      <c r="G121" s="61" t="n">
        <v>0.738855</v>
      </c>
      <c r="H121" s="34" t="n">
        <f aca="false">NORMSINV(F121)</f>
        <v>-2.25601007775337</v>
      </c>
      <c r="I121" s="34" t="n">
        <f aca="false">NORMSINV(G121)</f>
        <v>0.639819428699855</v>
      </c>
      <c r="J121" s="59" t="n">
        <f aca="false">mc_s0*EXP((mc_mu-mc_vol^2/2)*mc_t1+mc_vol*SQRT(mc_t1)*H121)</f>
        <v>924.049551631437</v>
      </c>
      <c r="K121" s="59" t="n">
        <f aca="false">J121*EXP((mc_mu-mc_vol^2/2)*(mc_t2-mc_t1)+mc_vol*SQRT(mc_t2-mc_t1)*I121)</f>
        <v>1040.79860733515</v>
      </c>
      <c r="L121" s="31" t="n">
        <f aca="false">(t1_usd*J121+t2_usd*K121)/1000</f>
        <v>8445.86421535684</v>
      </c>
    </row>
    <row r="122" customFormat="false" ht="15" hidden="false" customHeight="false" outlineLevel="0" collapsed="false">
      <c r="E122" s="54" t="n">
        <v>118</v>
      </c>
      <c r="F122" s="61" t="n">
        <v>0.911343</v>
      </c>
      <c r="G122" s="61" t="n">
        <v>0.67954</v>
      </c>
      <c r="H122" s="34" t="n">
        <f aca="false">NORMSINV(F122)</f>
        <v>1.34907150439408</v>
      </c>
      <c r="I122" s="34" t="n">
        <f aca="false">NORMSINV(G122)</f>
        <v>0.466412871452035</v>
      </c>
      <c r="J122" s="59" t="n">
        <f aca="false">mc_s0*EXP((mc_mu-mc_vol^2/2)*mc_t1+mc_vol*SQRT(mc_t1)*H122)</f>
        <v>1303.92282070599</v>
      </c>
      <c r="K122" s="59" t="n">
        <f aca="false">J122*EXP((mc_mu-mc_vol^2/2)*(mc_t2-mc_t1)+mc_vol*SQRT(mc_t2-mc_t1)*I122)</f>
        <v>1429.07512982652</v>
      </c>
      <c r="L122" s="31" t="n">
        <f aca="false">(t1_usd*J122+t2_usd*K122)/1000</f>
        <v>11842.7024916123</v>
      </c>
    </row>
    <row r="123" customFormat="false" ht="15" hidden="false" customHeight="false" outlineLevel="0" collapsed="false">
      <c r="E123" s="54" t="n">
        <v>119</v>
      </c>
      <c r="F123" s="61" t="n">
        <v>0.337247</v>
      </c>
      <c r="G123" s="61" t="n">
        <v>0.264</v>
      </c>
      <c r="H123" s="34" t="n">
        <f aca="false">NORMSINV(F123)</f>
        <v>-0.419988301182757</v>
      </c>
      <c r="I123" s="34" t="n">
        <f aca="false">NORMSINV(G123)</f>
        <v>-0.631061979059499</v>
      </c>
      <c r="J123" s="59" t="n">
        <f aca="false">mc_s0*EXP((mc_mu-mc_vol^2/2)*mc_t1+mc_vol*SQRT(mc_t1)*H123)</f>
        <v>1101.19068850625</v>
      </c>
      <c r="K123" s="59" t="n">
        <f aca="false">J123*EXP((mc_mu-mc_vol^2/2)*(mc_t2-mc_t1)+mc_vol*SQRT(mc_t2-mc_t1)*I123)</f>
        <v>1015.20205660258</v>
      </c>
      <c r="L123" s="31" t="n">
        <f aca="false">(t1_usd*J123+t2_usd*K123)/1000</f>
        <v>9637.21872708865</v>
      </c>
    </row>
    <row r="124" customFormat="false" ht="15" hidden="false" customHeight="false" outlineLevel="0" collapsed="false">
      <c r="E124" s="54" t="n">
        <v>120</v>
      </c>
      <c r="F124" s="61" t="n">
        <v>0.858337</v>
      </c>
      <c r="G124" s="61" t="n">
        <v>0.683499</v>
      </c>
      <c r="H124" s="34" t="n">
        <f aca="false">NORMSINV(F124)</f>
        <v>1.07287768377309</v>
      </c>
      <c r="I124" s="34" t="n">
        <f aca="false">NORMSINV(G124)</f>
        <v>0.477505788390796</v>
      </c>
      <c r="J124" s="59" t="n">
        <f aca="false">mc_s0*EXP((mc_mu-mc_vol^2/2)*mc_t1+mc_vol*SQRT(mc_t1)*H124)</f>
        <v>1269.97157252134</v>
      </c>
      <c r="K124" s="59" t="n">
        <f aca="false">J124*EXP((mc_mu-mc_vol^2/2)*(mc_t2-mc_t1)+mc_vol*SQRT(mc_t2-mc_t1)*I124)</f>
        <v>1394.30053669782</v>
      </c>
      <c r="L124" s="31" t="n">
        <f aca="false">(t1_usd*J124+t2_usd*K124)/1000</f>
        <v>11538.9720273752</v>
      </c>
    </row>
    <row r="125" customFormat="false" ht="15" hidden="false" customHeight="false" outlineLevel="0" collapsed="false">
      <c r="E125" s="54" t="n">
        <v>121</v>
      </c>
      <c r="F125" s="61" t="n">
        <v>0.613356</v>
      </c>
      <c r="G125" s="61" t="n">
        <v>0.655442</v>
      </c>
      <c r="H125" s="34" t="n">
        <f aca="false">NORMSINV(F125)</f>
        <v>0.288076736128797</v>
      </c>
      <c r="I125" s="34" t="n">
        <f aca="false">NORMSINV(G125)</f>
        <v>0.400055010195922</v>
      </c>
      <c r="J125" s="59" t="n">
        <f aca="false">mc_s0*EXP((mc_mu-mc_vol^2/2)*mc_t1+mc_vol*SQRT(mc_t1)*H125)</f>
        <v>1178.24762324631</v>
      </c>
      <c r="K125" s="59" t="n">
        <f aca="false">J125*EXP((mc_mu-mc_vol^2/2)*(mc_t2-mc_t1)+mc_vol*SQRT(mc_t2-mc_t1)*I125)</f>
        <v>1277.90359581532</v>
      </c>
      <c r="L125" s="31" t="n">
        <f aca="false">(t1_usd*J125+t2_usd*K125)/1000</f>
        <v>10675.7501947733</v>
      </c>
    </row>
    <row r="126" customFormat="false" ht="15" hidden="false" customHeight="false" outlineLevel="0" collapsed="false">
      <c r="E126" s="54" t="n">
        <v>122</v>
      </c>
      <c r="F126" s="61" t="n">
        <v>0.610784</v>
      </c>
      <c r="G126" s="61" t="n">
        <v>0.397174</v>
      </c>
      <c r="H126" s="34" t="n">
        <f aca="false">NORMSINV(F126)</f>
        <v>0.281362992146275</v>
      </c>
      <c r="I126" s="34" t="n">
        <f aca="false">NORMSINV(G126)</f>
        <v>-0.260668707176169</v>
      </c>
      <c r="J126" s="59" t="n">
        <f aca="false">mc_s0*EXP((mc_mu-mc_vol^2/2)*mc_t1+mc_vol*SQRT(mc_t1)*H126)</f>
        <v>1177.49223826554</v>
      </c>
      <c r="K126" s="59" t="n">
        <f aca="false">J126*EXP((mc_mu-mc_vol^2/2)*(mc_t2-mc_t1)+mc_vol*SQRT(mc_t2-mc_t1)*I126)</f>
        <v>1150.79618845739</v>
      </c>
      <c r="L126" s="31" t="n">
        <f aca="false">(t1_usd*J126+t2_usd*K126)/1000</f>
        <v>10428.9584259278</v>
      </c>
    </row>
    <row r="127" customFormat="false" ht="15" hidden="false" customHeight="false" outlineLevel="0" collapsed="false">
      <c r="E127" s="54" t="n">
        <v>123</v>
      </c>
      <c r="F127" s="61" t="n">
        <v>0.86234</v>
      </c>
      <c r="G127" s="61" t="n">
        <v>0.030094</v>
      </c>
      <c r="H127" s="34" t="n">
        <f aca="false">NORMSINV(F127)</f>
        <v>1.09089292644662</v>
      </c>
      <c r="I127" s="34" t="n">
        <f aca="false">NORMSINV(G127)</f>
        <v>-1.87941389875121</v>
      </c>
      <c r="J127" s="59" t="n">
        <f aca="false">mc_s0*EXP((mc_mu-mc_vol^2/2)*mc_t1+mc_vol*SQRT(mc_t1)*H127)</f>
        <v>1272.15890146561</v>
      </c>
      <c r="K127" s="59" t="n">
        <f aca="false">J127*EXP((mc_mu-mc_vol^2/2)*(mc_t2-mc_t1)+mc_vol*SQRT(mc_t2-mc_t1)*I127)</f>
        <v>963.367068096685</v>
      </c>
      <c r="L127" s="31" t="n">
        <f aca="false">(t1_usd*J127+t2_usd*K127)/1000</f>
        <v>10735.509739643</v>
      </c>
    </row>
    <row r="128" customFormat="false" ht="15" hidden="false" customHeight="false" outlineLevel="0" collapsed="false">
      <c r="E128" s="54" t="n">
        <v>124</v>
      </c>
      <c r="F128" s="61" t="n">
        <v>0.283036</v>
      </c>
      <c r="G128" s="61" t="n">
        <v>0.826715</v>
      </c>
      <c r="H128" s="34" t="n">
        <f aca="false">NORMSINV(F128)</f>
        <v>-0.573846025797816</v>
      </c>
      <c r="I128" s="34" t="n">
        <f aca="false">NORMSINV(G128)</f>
        <v>0.941263192795554</v>
      </c>
      <c r="J128" s="59" t="n">
        <f aca="false">mc_s0*EXP((mc_mu-mc_vol^2/2)*mc_t1+mc_vol*SQRT(mc_t1)*H128)</f>
        <v>1085.12495333337</v>
      </c>
      <c r="K128" s="59" t="n">
        <f aca="false">J128*EXP((mc_mu-mc_vol^2/2)*(mc_t2-mc_t1)+mc_vol*SQRT(mc_t2-mc_t1)*I128)</f>
        <v>1281.68872333586</v>
      </c>
      <c r="L128" s="31" t="n">
        <f aca="false">(t1_usd*J128+t2_usd*K128)/1000</f>
        <v>10031.0832476717</v>
      </c>
    </row>
    <row r="129" customFormat="false" ht="15" hidden="false" customHeight="false" outlineLevel="0" collapsed="false">
      <c r="E129" s="54" t="n">
        <v>125</v>
      </c>
      <c r="F129" s="61" t="n">
        <v>0.22688</v>
      </c>
      <c r="G129" s="61" t="n">
        <v>0.137819</v>
      </c>
      <c r="H129" s="34" t="n">
        <f aca="false">NORMSINV(F129)</f>
        <v>-0.749161285938107</v>
      </c>
      <c r="I129" s="34" t="n">
        <f aca="false">NORMSINV(G129)</f>
        <v>-1.09017060338221</v>
      </c>
      <c r="J129" s="59" t="n">
        <f aca="false">mc_s0*EXP((mc_mu-mc_vol^2/2)*mc_t1+mc_vol*SQRT(mc_t1)*H129)</f>
        <v>1067.10414270809</v>
      </c>
      <c r="K129" s="59" t="n">
        <f aca="false">J129*EXP((mc_mu-mc_vol^2/2)*(mc_t2-mc_t1)+mc_vol*SQRT(mc_t2-mc_t1)*I129)</f>
        <v>915.112563272072</v>
      </c>
      <c r="L129" s="31" t="n">
        <f aca="false">(t1_usd*J129+t2_usd*K129)/1000</f>
        <v>9208.44286917359</v>
      </c>
    </row>
    <row r="130" customFormat="false" ht="15" hidden="false" customHeight="false" outlineLevel="0" collapsed="false">
      <c r="E130" s="54" t="n">
        <v>126</v>
      </c>
      <c r="F130" s="61" t="n">
        <v>0.807507</v>
      </c>
      <c r="G130" s="61" t="n">
        <v>0.675202</v>
      </c>
      <c r="H130" s="34" t="n">
        <f aca="false">NORMSINV(F130)</f>
        <v>0.868746137124825</v>
      </c>
      <c r="I130" s="34" t="n">
        <f aca="false">NORMSINV(G130)</f>
        <v>0.454323505983621</v>
      </c>
      <c r="J130" s="59" t="n">
        <f aca="false">mc_s0*EXP((mc_mu-mc_vol^2/2)*mc_t1+mc_vol*SQRT(mc_t1)*H130)</f>
        <v>1245.44803813173</v>
      </c>
      <c r="K130" s="59" t="n">
        <f aca="false">J130*EXP((mc_mu-mc_vol^2/2)*(mc_t2-mc_t1)+mc_vol*SQRT(mc_t2-mc_t1)*I130)</f>
        <v>1362.38975548723</v>
      </c>
      <c r="L130" s="31" t="n">
        <f aca="false">(t1_usd*J130+t2_usd*K130)/1000</f>
        <v>11306.6768023479</v>
      </c>
    </row>
    <row r="131" customFormat="false" ht="15" hidden="false" customHeight="false" outlineLevel="0" collapsed="false">
      <c r="E131" s="54" t="n">
        <v>127</v>
      </c>
      <c r="F131" s="61" t="n">
        <v>0.228385</v>
      </c>
      <c r="G131" s="61" t="n">
        <v>0.510416</v>
      </c>
      <c r="H131" s="34" t="n">
        <f aca="false">NORMSINV(F131)</f>
        <v>-0.744176009159135</v>
      </c>
      <c r="I131" s="34" t="n">
        <f aca="false">NORMSINV(G131)</f>
        <v>0.0261120071601738</v>
      </c>
      <c r="J131" s="59" t="n">
        <f aca="false">mc_s0*EXP((mc_mu-mc_vol^2/2)*mc_t1+mc_vol*SQRT(mc_t1)*H131)</f>
        <v>1067.61242589155</v>
      </c>
      <c r="K131" s="59" t="n">
        <f aca="false">J131*EXP((mc_mu-mc_vol^2/2)*(mc_t2-mc_t1)+mc_vol*SQRT(mc_t2-mc_t1)*I131)</f>
        <v>1091.64589553082</v>
      </c>
      <c r="L131" s="31" t="n">
        <f aca="false">(t1_usd*J131+t2_usd*K131)/1000</f>
        <v>9547.41418274939</v>
      </c>
    </row>
    <row r="132" customFormat="false" ht="15" hidden="false" customHeight="false" outlineLevel="0" collapsed="false">
      <c r="E132" s="54" t="n">
        <v>128</v>
      </c>
      <c r="F132" s="61" t="n">
        <v>0.679356</v>
      </c>
      <c r="G132" s="61" t="n">
        <v>0.61298</v>
      </c>
      <c r="H132" s="34" t="n">
        <f aca="false">NORMSINV(F132)</f>
        <v>0.465898716382563</v>
      </c>
      <c r="I132" s="34" t="n">
        <f aca="false">NORMSINV(G132)</f>
        <v>0.287094452150205</v>
      </c>
      <c r="J132" s="59" t="n">
        <f aca="false">mc_s0*EXP((mc_mu-mc_vol^2/2)*mc_t1+mc_vol*SQRT(mc_t1)*H132)</f>
        <v>1198.43230715977</v>
      </c>
      <c r="K132" s="59" t="n">
        <f aca="false">J132*EXP((mc_mu-mc_vol^2/2)*(mc_t2-mc_t1)+mc_vol*SQRT(mc_t2-mc_t1)*I132)</f>
        <v>1276.86151566334</v>
      </c>
      <c r="L132" s="31" t="n">
        <f aca="false">(t1_usd*J132+t2_usd*K132)/1000</f>
        <v>10815.0630298787</v>
      </c>
    </row>
    <row r="133" customFormat="false" ht="15" hidden="false" customHeight="false" outlineLevel="0" collapsed="false">
      <c r="E133" s="54" t="n">
        <v>129</v>
      </c>
      <c r="F133" s="61" t="n">
        <v>0.828803</v>
      </c>
      <c r="G133" s="61" t="n">
        <v>0.972314</v>
      </c>
      <c r="H133" s="34" t="n">
        <f aca="false">NORMSINV(F133)</f>
        <v>0.949445654054279</v>
      </c>
      <c r="I133" s="34" t="n">
        <f aca="false">NORMSINV(G133)</f>
        <v>1.9159457602927</v>
      </c>
      <c r="J133" s="59" t="n">
        <f aca="false">mc_s0*EXP((mc_mu-mc_vol^2/2)*mc_t1+mc_vol*SQRT(mc_t1)*H133)</f>
        <v>1255.08583525535</v>
      </c>
      <c r="K133" s="59" t="n">
        <f aca="false">J133*EXP((mc_mu-mc_vol^2/2)*(mc_t2-mc_t1)+mc_vol*SQRT(mc_t2-mc_t1)*I133)</f>
        <v>1728.5634497375</v>
      </c>
      <c r="L133" s="31" t="n">
        <f aca="false">(t1_usd*J133+t2_usd*K133)/1000</f>
        <v>12069.8714012887</v>
      </c>
    </row>
    <row r="134" customFormat="false" ht="15" hidden="false" customHeight="false" outlineLevel="0" collapsed="false">
      <c r="E134" s="54" t="n">
        <v>130</v>
      </c>
      <c r="F134" s="61" t="n">
        <v>0.74286</v>
      </c>
      <c r="G134" s="61" t="n">
        <v>0.579665</v>
      </c>
      <c r="H134" s="34" t="n">
        <f aca="false">NORMSINV(F134)</f>
        <v>0.652187845328348</v>
      </c>
      <c r="I134" s="34" t="n">
        <f aca="false">NORMSINV(G134)</f>
        <v>0.201036543199221</v>
      </c>
      <c r="J134" s="59" t="n">
        <f aca="false">mc_s0*EXP((mc_mu-mc_vol^2/2)*mc_t1+mc_vol*SQRT(mc_t1)*H134)</f>
        <v>1219.94907812391</v>
      </c>
      <c r="K134" s="59" t="n">
        <f aca="false">J134*EXP((mc_mu-mc_vol^2/2)*(mc_t2-mc_t1)+mc_vol*SQRT(mc_t2-mc_t1)*I134)</f>
        <v>1282.27752285976</v>
      </c>
      <c r="L134" s="31" t="n">
        <f aca="false">(t1_usd*J134+t2_usd*K134)/1000</f>
        <v>10975.9708403009</v>
      </c>
    </row>
    <row r="135" customFormat="false" ht="15" hidden="false" customHeight="false" outlineLevel="0" collapsed="false">
      <c r="E135" s="54" t="n">
        <v>131</v>
      </c>
      <c r="F135" s="61" t="n">
        <v>0.138642</v>
      </c>
      <c r="G135" s="61" t="n">
        <v>0.011653</v>
      </c>
      <c r="H135" s="34" t="n">
        <f aca="false">NORMSINV(F135)</f>
        <v>-1.08644084288581</v>
      </c>
      <c r="I135" s="34" t="n">
        <f aca="false">NORMSINV(G135)</f>
        <v>-2.26838091464438</v>
      </c>
      <c r="J135" s="59" t="n">
        <f aca="false">mc_s0*EXP((mc_mu-mc_vol^2/2)*mc_t1+mc_vol*SQRT(mc_t1)*H135)</f>
        <v>1033.2722851095</v>
      </c>
      <c r="K135" s="59" t="n">
        <f aca="false">J135*EXP((mc_mu-mc_vol^2/2)*(mc_t2-mc_t1)+mc_vol*SQRT(mc_t2-mc_t1)*I135)</f>
        <v>735.942003982621</v>
      </c>
      <c r="L135" s="31" t="n">
        <f aca="false">(t1_usd*J135+t2_usd*K135)/1000</f>
        <v>8631.19580333347</v>
      </c>
    </row>
    <row r="136" customFormat="false" ht="15" hidden="false" customHeight="false" outlineLevel="0" collapsed="false">
      <c r="E136" s="54" t="n">
        <v>132</v>
      </c>
      <c r="F136" s="61" t="n">
        <v>0.235386</v>
      </c>
      <c r="G136" s="61" t="n">
        <v>0.638571</v>
      </c>
      <c r="H136" s="34" t="n">
        <f aca="false">NORMSINV(F136)</f>
        <v>-0.721223525063992</v>
      </c>
      <c r="I136" s="34" t="n">
        <f aca="false">NORMSINV(G136)</f>
        <v>0.354641742732509</v>
      </c>
      <c r="J136" s="59" t="n">
        <f aca="false">mc_s0*EXP((mc_mu-mc_vol^2/2)*mc_t1+mc_vol*SQRT(mc_t1)*H136)</f>
        <v>1069.95571429118</v>
      </c>
      <c r="K136" s="59" t="n">
        <f aca="false">J136*EXP((mc_mu-mc_vol^2/2)*(mc_t2-mc_t1)+mc_vol*SQRT(mc_t2-mc_t1)*I136)</f>
        <v>1152.17687388164</v>
      </c>
      <c r="L136" s="31" t="n">
        <f aca="false">(t1_usd*J136+t2_usd*K136)/1000</f>
        <v>9678.82606041341</v>
      </c>
    </row>
    <row r="137" customFormat="false" ht="15" hidden="false" customHeight="false" outlineLevel="0" collapsed="false">
      <c r="E137" s="54" t="n">
        <v>133</v>
      </c>
      <c r="F137" s="61" t="n">
        <v>0.758466</v>
      </c>
      <c r="G137" s="61" t="n">
        <v>0.062808</v>
      </c>
      <c r="H137" s="34" t="n">
        <f aca="false">NORMSINV(F137)</f>
        <v>0.701376634085245</v>
      </c>
      <c r="I137" s="34" t="n">
        <f aca="false">NORMSINV(G137)</f>
        <v>-1.53162094852837</v>
      </c>
      <c r="J137" s="59" t="n">
        <f aca="false">mc_s0*EXP((mc_mu-mc_vol^2/2)*mc_t1+mc_vol*SQRT(mc_t1)*H137)</f>
        <v>1225.69467005143</v>
      </c>
      <c r="K137" s="59" t="n">
        <f aca="false">J137*EXP((mc_mu-mc_vol^2/2)*(mc_t2-mc_t1)+mc_vol*SQRT(mc_t2-mc_t1)*I137)</f>
        <v>980.474556231766</v>
      </c>
      <c r="L137" s="31" t="n">
        <f aca="false">(t1_usd*J137+t2_usd*K137)/1000</f>
        <v>10442.7643472003</v>
      </c>
    </row>
    <row r="138" customFormat="false" ht="15" hidden="false" customHeight="false" outlineLevel="0" collapsed="false">
      <c r="E138" s="54" t="n">
        <v>134</v>
      </c>
      <c r="F138" s="61" t="n">
        <v>0.041855</v>
      </c>
      <c r="G138" s="61" t="n">
        <v>0.513989</v>
      </c>
      <c r="H138" s="34" t="n">
        <f aca="false">NORMSINV(F138)</f>
        <v>-1.72955394784301</v>
      </c>
      <c r="I138" s="34" t="n">
        <f aca="false">NORMSINV(G138)</f>
        <v>0.0350724118847583</v>
      </c>
      <c r="J138" s="59" t="n">
        <f aca="false">mc_s0*EXP((mc_mu-mc_vol^2/2)*mc_t1+mc_vol*SQRT(mc_t1)*H138)</f>
        <v>971.706854616286</v>
      </c>
      <c r="K138" s="59" t="n">
        <f aca="false">J138*EXP((mc_mu-mc_vol^2/2)*(mc_t2-mc_t1)+mc_vol*SQRT(mc_t2-mc_t1)*I138)</f>
        <v>994.985380009358</v>
      </c>
      <c r="L138" s="31" t="n">
        <f aca="false">(t1_usd*J138+t2_usd*K138)/1000</f>
        <v>8692.42020433178</v>
      </c>
    </row>
    <row r="139" customFormat="false" ht="15" hidden="false" customHeight="false" outlineLevel="0" collapsed="false">
      <c r="E139" s="54" t="n">
        <v>135</v>
      </c>
      <c r="F139" s="61" t="n">
        <v>0.07159</v>
      </c>
      <c r="G139" s="61" t="n">
        <v>0.382042</v>
      </c>
      <c r="H139" s="34" t="n">
        <f aca="false">NORMSINV(F139)</f>
        <v>-1.46405105164246</v>
      </c>
      <c r="I139" s="34" t="n">
        <f aca="false">NORMSINV(G139)</f>
        <v>-0.300122129398366</v>
      </c>
      <c r="J139" s="59" t="n">
        <f aca="false">mc_s0*EXP((mc_mu-mc_vol^2/2)*mc_t1+mc_vol*SQRT(mc_t1)*H139)</f>
        <v>996.665993905574</v>
      </c>
      <c r="K139" s="59" t="n">
        <f aca="false">J139*EXP((mc_mu-mc_vol^2/2)*(mc_t2-mc_t1)+mc_vol*SQRT(mc_t2-mc_t1)*I139)</f>
        <v>968.032050845611</v>
      </c>
      <c r="L139" s="31" t="n">
        <f aca="false">(t1_usd*J139+t2_usd*K139)/1000</f>
        <v>8815.92285394568</v>
      </c>
    </row>
    <row r="140" customFormat="false" ht="15" hidden="false" customHeight="false" outlineLevel="0" collapsed="false">
      <c r="E140" s="54" t="n">
        <v>136</v>
      </c>
      <c r="F140" s="61" t="n">
        <v>0.913442</v>
      </c>
      <c r="G140" s="61" t="n">
        <v>0.377789</v>
      </c>
      <c r="H140" s="34" t="n">
        <f aca="false">NORMSINV(F140)</f>
        <v>1.36225951313989</v>
      </c>
      <c r="I140" s="34" t="n">
        <f aca="false">NORMSINV(G140)</f>
        <v>-0.31129285306963</v>
      </c>
      <c r="J140" s="59" t="n">
        <f aca="false">mc_s0*EXP((mc_mu-mc_vol^2/2)*mc_t1+mc_vol*SQRT(mc_t1)*H140)</f>
        <v>1305.56647675599</v>
      </c>
      <c r="K140" s="59" t="n">
        <f aca="false">J140*EXP((mc_mu-mc_vol^2/2)*(mc_t2-mc_t1)+mc_vol*SQRT(mc_t2-mc_t1)*I140)</f>
        <v>1265.82754329082</v>
      </c>
      <c r="L140" s="31" t="n">
        <f aca="false">(t1_usd*J140+t2_usd*K140)/1000</f>
        <v>11544.0376695445</v>
      </c>
    </row>
    <row r="141" customFormat="false" ht="15" hidden="false" customHeight="false" outlineLevel="0" collapsed="false">
      <c r="E141" s="54" t="n">
        <v>137</v>
      </c>
      <c r="F141" s="61" t="n">
        <v>0.864561</v>
      </c>
      <c r="G141" s="61" t="n">
        <v>0.781685</v>
      </c>
      <c r="H141" s="34" t="n">
        <f aca="false">NORMSINV(F141)</f>
        <v>1.10104286885117</v>
      </c>
      <c r="I141" s="34" t="n">
        <f aca="false">NORMSINV(G141)</f>
        <v>0.777896553938976</v>
      </c>
      <c r="J141" s="59" t="n">
        <f aca="false">mc_s0*EXP((mc_mu-mc_vol^2/2)*mc_t1+mc_vol*SQRT(mc_t1)*H141)</f>
        <v>1273.39292016342</v>
      </c>
      <c r="K141" s="59" t="n">
        <f aca="false">J141*EXP((mc_mu-mc_vol^2/2)*(mc_t2-mc_t1)+mc_vol*SQRT(mc_t2-mc_t1)*I141)</f>
        <v>1465.83176101368</v>
      </c>
      <c r="L141" s="31" t="n">
        <f aca="false">(t1_usd*J141+t2_usd*K141)/1000</f>
        <v>11698.8307870699</v>
      </c>
    </row>
    <row r="142" customFormat="false" ht="15" hidden="false" customHeight="false" outlineLevel="0" collapsed="false">
      <c r="E142" s="54" t="n">
        <v>138</v>
      </c>
      <c r="F142" s="61" t="n">
        <v>0.761048</v>
      </c>
      <c r="G142" s="61" t="n">
        <v>0.351809</v>
      </c>
      <c r="H142" s="34" t="n">
        <f aca="false">NORMSINV(F142)</f>
        <v>0.709677738541263</v>
      </c>
      <c r="I142" s="34" t="n">
        <f aca="false">NORMSINV(G142)</f>
        <v>-0.380441114349733</v>
      </c>
      <c r="J142" s="59" t="n">
        <f aca="false">mc_s0*EXP((mc_mu-mc_vol^2/2)*mc_t1+mc_vol*SQRT(mc_t1)*H142)</f>
        <v>1226.66696185006</v>
      </c>
      <c r="K142" s="59" t="n">
        <f aca="false">J142*EXP((mc_mu-mc_vol^2/2)*(mc_t2-mc_t1)+mc_vol*SQRT(mc_t2-mc_t1)*I142)</f>
        <v>1176.43946306863</v>
      </c>
      <c r="L142" s="31" t="n">
        <f aca="false">(t1_usd*J142+t2_usd*K142)/1000</f>
        <v>10821.9037127808</v>
      </c>
    </row>
    <row r="143" customFormat="false" ht="15" hidden="false" customHeight="false" outlineLevel="0" collapsed="false">
      <c r="E143" s="54" t="n">
        <v>139</v>
      </c>
      <c r="F143" s="61" t="n">
        <v>0.118016</v>
      </c>
      <c r="G143" s="61" t="n">
        <v>0.197147</v>
      </c>
      <c r="H143" s="34" t="n">
        <f aca="false">NORMSINV(F143)</f>
        <v>-1.18496319309156</v>
      </c>
      <c r="I143" s="34" t="n">
        <f aca="false">NORMSINV(G143)</f>
        <v>-0.851856036856559</v>
      </c>
      <c r="J143" s="59" t="n">
        <f aca="false">mc_s0*EXP((mc_mu-mc_vol^2/2)*mc_t1+mc_vol*SQRT(mc_t1)*H143)</f>
        <v>1023.59365709719</v>
      </c>
      <c r="K143" s="59" t="n">
        <f aca="false">J143*EXP((mc_mu-mc_vol^2/2)*(mc_t2-mc_t1)+mc_vol*SQRT(mc_t2-mc_t1)*I143)</f>
        <v>911.393630780836</v>
      </c>
      <c r="L143" s="31" t="n">
        <f aca="false">(t1_usd*J143+t2_usd*K143)/1000</f>
        <v>8896.80349816394</v>
      </c>
    </row>
    <row r="144" customFormat="false" ht="15" hidden="false" customHeight="false" outlineLevel="0" collapsed="false">
      <c r="E144" s="54" t="n">
        <v>140</v>
      </c>
      <c r="F144" s="61" t="n">
        <v>0.318433</v>
      </c>
      <c r="G144" s="61" t="n">
        <v>0.568977</v>
      </c>
      <c r="H144" s="34" t="n">
        <f aca="false">NORMSINV(F144)</f>
        <v>-0.472085166277333</v>
      </c>
      <c r="I144" s="34" t="n">
        <f aca="false">NORMSINV(G144)</f>
        <v>0.173770282709599</v>
      </c>
      <c r="J144" s="59" t="n">
        <f aca="false">mc_s0*EXP((mc_mu-mc_vol^2/2)*mc_t1+mc_vol*SQRT(mc_t1)*H144)</f>
        <v>1095.72430370085</v>
      </c>
      <c r="K144" s="59" t="n">
        <f aca="false">J144*EXP((mc_mu-mc_vol^2/2)*(mc_t2-mc_t1)+mc_vol*SQRT(mc_t2-mc_t1)*I144)</f>
        <v>1146.76774079209</v>
      </c>
      <c r="L144" s="31" t="n">
        <f aca="false">(t1_usd*J144+t2_usd*K144)/1000</f>
        <v>9848.92883341091</v>
      </c>
    </row>
    <row r="145" customFormat="false" ht="15" hidden="false" customHeight="false" outlineLevel="0" collapsed="false">
      <c r="E145" s="54" t="n">
        <v>141</v>
      </c>
      <c r="F145" s="61" t="n">
        <v>0.60654</v>
      </c>
      <c r="G145" s="61" t="n">
        <v>0.157675</v>
      </c>
      <c r="H145" s="34" t="n">
        <f aca="false">NORMSINV(F145)</f>
        <v>0.270312304470253</v>
      </c>
      <c r="I145" s="34" t="n">
        <f aca="false">NORMSINV(G145)</f>
        <v>-1.00405936535848</v>
      </c>
      <c r="J145" s="59" t="n">
        <f aca="false">mc_s0*EXP((mc_mu-mc_vol^2/2)*mc_t1+mc_vol*SQRT(mc_t1)*H145)</f>
        <v>1176.24994420582</v>
      </c>
      <c r="K145" s="59" t="n">
        <f aca="false">J145*EXP((mc_mu-mc_vol^2/2)*(mc_t2-mc_t1)+mc_vol*SQRT(mc_t2-mc_t1)*I145)</f>
        <v>1022.49440580438</v>
      </c>
      <c r="L145" s="31" t="n">
        <f aca="false">(t1_usd*J145+t2_usd*K145)/1000</f>
        <v>10176.488980469</v>
      </c>
    </row>
    <row r="146" customFormat="false" ht="15" hidden="false" customHeight="false" outlineLevel="0" collapsed="false">
      <c r="E146" s="54" t="n">
        <v>142</v>
      </c>
      <c r="F146" s="61" t="n">
        <v>0.238994</v>
      </c>
      <c r="G146" s="61" t="n">
        <v>0.636488</v>
      </c>
      <c r="H146" s="34" t="n">
        <f aca="false">NORMSINV(F146)</f>
        <v>-0.709542318502249</v>
      </c>
      <c r="I146" s="34" t="n">
        <f aca="false">NORMSINV(G146)</f>
        <v>0.349086994558201</v>
      </c>
      <c r="J146" s="59" t="n">
        <f aca="false">mc_s0*EXP((mc_mu-mc_vol^2/2)*mc_t1+mc_vol*SQRT(mc_t1)*H146)</f>
        <v>1071.15025808197</v>
      </c>
      <c r="K146" s="59" t="n">
        <f aca="false">J146*EXP((mc_mu-mc_vol^2/2)*(mc_t2-mc_t1)+mc_vol*SQRT(mc_t2-mc_t1)*I146)</f>
        <v>1152.45392389656</v>
      </c>
      <c r="L146" s="31" t="n">
        <f aca="false">(t1_usd*J146+t2_usd*K146)/1000</f>
        <v>9687.71426197723</v>
      </c>
    </row>
    <row r="147" customFormat="false" ht="15" hidden="false" customHeight="false" outlineLevel="0" collapsed="false">
      <c r="E147" s="54" t="n">
        <v>143</v>
      </c>
      <c r="F147" s="61" t="n">
        <v>0.478049</v>
      </c>
      <c r="G147" s="61" t="n">
        <v>0.918546</v>
      </c>
      <c r="H147" s="34" t="n">
        <f aca="false">NORMSINV(F147)</f>
        <v>-0.055050790679204</v>
      </c>
      <c r="I147" s="34" t="n">
        <f aca="false">NORMSINV(G147)</f>
        <v>1.39535770118322</v>
      </c>
      <c r="J147" s="59" t="n">
        <f aca="false">mc_s0*EXP((mc_mu-mc_vol^2/2)*mc_t1+mc_vol*SQRT(mc_t1)*H147)</f>
        <v>1140.25489270281</v>
      </c>
      <c r="K147" s="59" t="n">
        <f aca="false">J147*EXP((mc_mu-mc_vol^2/2)*(mc_t2-mc_t1)+mc_vol*SQRT(mc_t2-mc_t1)*I147)</f>
        <v>1446.71781181478</v>
      </c>
      <c r="L147" s="31" t="n">
        <f aca="false">(t1_usd*J147+t2_usd*K147)/1000</f>
        <v>10730.5480913677</v>
      </c>
    </row>
    <row r="148" customFormat="false" ht="15" hidden="false" customHeight="false" outlineLevel="0" collapsed="false">
      <c r="E148" s="54" t="n">
        <v>144</v>
      </c>
      <c r="F148" s="61" t="n">
        <v>0.530338</v>
      </c>
      <c r="G148" s="61" t="n">
        <v>0.75701</v>
      </c>
      <c r="H148" s="34" t="n">
        <f aca="false">NORMSINV(F148)</f>
        <v>0.0761195331733154</v>
      </c>
      <c r="I148" s="34" t="n">
        <f aca="false">NORMSINV(G148)</f>
        <v>0.696716868581109</v>
      </c>
      <c r="J148" s="59" t="n">
        <f aca="false">mc_s0*EXP((mc_mu-mc_vol^2/2)*mc_t1+mc_vol*SQRT(mc_t1)*H148)</f>
        <v>1154.63186455599</v>
      </c>
      <c r="K148" s="59" t="n">
        <f aca="false">J148*EXP((mc_mu-mc_vol^2/2)*(mc_t2-mc_t1)+mc_vol*SQRT(mc_t2-mc_t1)*I148)</f>
        <v>1312.22753607948</v>
      </c>
      <c r="L148" s="31" t="n">
        <f aca="false">(t1_usd*J148+t2_usd*K148)/1000</f>
        <v>10575.655370443</v>
      </c>
    </row>
    <row r="149" customFormat="false" ht="15" hidden="false" customHeight="false" outlineLevel="0" collapsed="false">
      <c r="E149" s="54" t="n">
        <v>145</v>
      </c>
      <c r="F149" s="61" t="n">
        <v>0.201486</v>
      </c>
      <c r="G149" s="61" t="n">
        <v>0.77729</v>
      </c>
      <c r="H149" s="34" t="n">
        <f aca="false">NORMSINV(F149)</f>
        <v>-0.83632516461146</v>
      </c>
      <c r="I149" s="34" t="n">
        <f aca="false">NORMSINV(G149)</f>
        <v>0.763072767371817</v>
      </c>
      <c r="J149" s="59" t="n">
        <f aca="false">mc_s0*EXP((mc_mu-mc_vol^2/2)*mc_t1+mc_vol*SQRT(mc_t1)*H149)</f>
        <v>1058.25618857465</v>
      </c>
      <c r="K149" s="59" t="n">
        <f aca="false">J149*EXP((mc_mu-mc_vol^2/2)*(mc_t2-mc_t1)+mc_vol*SQRT(mc_t2-mc_t1)*I149)</f>
        <v>1215.34043128525</v>
      </c>
      <c r="L149" s="31" t="n">
        <f aca="false">(t1_usd*J149+t2_usd*K149)/1000</f>
        <v>9716.9401394645</v>
      </c>
    </row>
    <row r="150" customFormat="false" ht="15" hidden="false" customHeight="false" outlineLevel="0" collapsed="false">
      <c r="E150" s="54" t="n">
        <v>146</v>
      </c>
      <c r="F150" s="61" t="n">
        <v>0.321582</v>
      </c>
      <c r="G150" s="61" t="n">
        <v>0.558959</v>
      </c>
      <c r="H150" s="34" t="n">
        <f aca="false">NORMSINV(F150)</f>
        <v>-0.463279552967917</v>
      </c>
      <c r="I150" s="34" t="n">
        <f aca="false">NORMSINV(G150)</f>
        <v>0.148330431664775</v>
      </c>
      <c r="J150" s="59" t="n">
        <f aca="false">mc_s0*EXP((mc_mu-mc_vol^2/2)*mc_t1+mc_vol*SQRT(mc_t1)*H150)</f>
        <v>1096.64634381707</v>
      </c>
      <c r="K150" s="59" t="n">
        <f aca="false">J150*EXP((mc_mu-mc_vol^2/2)*(mc_t2-mc_t1)+mc_vol*SQRT(mc_t2-mc_t1)*I150)</f>
        <v>1143.14051516362</v>
      </c>
      <c r="L150" s="31" t="n">
        <f aca="false">(t1_usd*J150+t2_usd*K150)/1000</f>
        <v>9848.49138553035</v>
      </c>
    </row>
    <row r="151" customFormat="false" ht="15" hidden="false" customHeight="false" outlineLevel="0" collapsed="false">
      <c r="E151" s="54" t="n">
        <v>147</v>
      </c>
      <c r="F151" s="61" t="n">
        <v>0.3051</v>
      </c>
      <c r="G151" s="61" t="n">
        <v>0.985424</v>
      </c>
      <c r="H151" s="34" t="n">
        <f aca="false">NORMSINV(F151)</f>
        <v>-0.509787990837107</v>
      </c>
      <c r="I151" s="34" t="n">
        <f aca="false">NORMSINV(G151)</f>
        <v>2.18142494847312</v>
      </c>
      <c r="J151" s="59" t="n">
        <f aca="false">mc_s0*EXP((mc_mu-mc_vol^2/2)*mc_t1+mc_vol*SQRT(mc_t1)*H151)</f>
        <v>1091.78518002999</v>
      </c>
      <c r="K151" s="59" t="n">
        <f aca="false">J151*EXP((mc_mu-mc_vol^2/2)*(mc_t2-mc_t1)+mc_vol*SQRT(mc_t2-mc_t1)*I151)</f>
        <v>1567.90224116349</v>
      </c>
      <c r="L151" s="31" t="n">
        <f aca="false">(t1_usd*J151+t2_usd*K151)/1000</f>
        <v>10621.5105184205</v>
      </c>
    </row>
    <row r="152" customFormat="false" ht="15" hidden="false" customHeight="false" outlineLevel="0" collapsed="false">
      <c r="E152" s="54" t="n">
        <v>148</v>
      </c>
      <c r="F152" s="61" t="n">
        <v>0.231145</v>
      </c>
      <c r="G152" s="61" t="n">
        <v>0.826916</v>
      </c>
      <c r="H152" s="34" t="n">
        <f aca="false">NORMSINV(F152)</f>
        <v>-0.735081270867756</v>
      </c>
      <c r="I152" s="34" t="n">
        <f aca="false">NORMSINV(G152)</f>
        <v>0.942048127971169</v>
      </c>
      <c r="J152" s="59" t="n">
        <f aca="false">mc_s0*EXP((mc_mu-mc_vol^2/2)*mc_t1+mc_vol*SQRT(mc_t1)*H152)</f>
        <v>1068.5403206823</v>
      </c>
      <c r="K152" s="59" t="n">
        <f aca="false">J152*EXP((mc_mu-mc_vol^2/2)*(mc_t2-mc_t1)+mc_vol*SQRT(mc_t2-mc_t1)*I152)</f>
        <v>1262.25601756038</v>
      </c>
      <c r="L152" s="31" t="n">
        <f aca="false">(t1_usd*J152+t2_usd*K152)/1000</f>
        <v>9878.06867814085</v>
      </c>
    </row>
    <row r="153" customFormat="false" ht="15" hidden="false" customHeight="false" outlineLevel="0" collapsed="false">
      <c r="E153" s="54" t="n">
        <v>149</v>
      </c>
      <c r="F153" s="61" t="n">
        <v>0.41037</v>
      </c>
      <c r="G153" s="61" t="n">
        <v>0.699985</v>
      </c>
      <c r="H153" s="34" t="n">
        <f aca="false">NORMSINV(F153)</f>
        <v>-0.226593303371431</v>
      </c>
      <c r="I153" s="34" t="n">
        <f aca="false">NORMSINV(G153)</f>
        <v>0.524357371641137</v>
      </c>
      <c r="J153" s="59" t="n">
        <f aca="false">mc_s0*EXP((mc_mu-mc_vol^2/2)*mc_t1+mc_vol*SQRT(mc_t1)*H153)</f>
        <v>1121.72270870513</v>
      </c>
      <c r="K153" s="59" t="n">
        <f aca="false">J153*EXP((mc_mu-mc_vol^2/2)*(mc_t2-mc_t1)+mc_vol*SQRT(mc_t2-mc_t1)*I153)</f>
        <v>1240.66495885115</v>
      </c>
      <c r="L153" s="31" t="n">
        <f aca="false">(t1_usd*J153+t2_usd*K153)/1000</f>
        <v>10209.3223827531</v>
      </c>
    </row>
    <row r="154" customFormat="false" ht="15" hidden="false" customHeight="false" outlineLevel="0" collapsed="false">
      <c r="E154" s="54" t="n">
        <v>150</v>
      </c>
      <c r="F154" s="61" t="n">
        <v>0.261349</v>
      </c>
      <c r="G154" s="61" t="n">
        <v>0.937556</v>
      </c>
      <c r="H154" s="34" t="n">
        <f aca="false">NORMSINV(F154)</f>
        <v>-0.63919205502631</v>
      </c>
      <c r="I154" s="34" t="n">
        <f aca="false">NORMSINV(G154)</f>
        <v>1.53457604746914</v>
      </c>
      <c r="J154" s="59" t="n">
        <f aca="false">mc_s0*EXP((mc_mu-mc_vol^2/2)*mc_t1+mc_vol*SQRT(mc_t1)*H154)</f>
        <v>1078.37267292712</v>
      </c>
      <c r="K154" s="59" t="n">
        <f aca="false">J154*EXP((mc_mu-mc_vol^2/2)*(mc_t2-mc_t1)+mc_vol*SQRT(mc_t2-mc_t1)*I154)</f>
        <v>1398.55361461321</v>
      </c>
      <c r="L154" s="31" t="n">
        <f aca="false">(t1_usd*J154+t2_usd*K154)/1000</f>
        <v>10205.8605782549</v>
      </c>
    </row>
    <row r="155" customFormat="false" ht="15" hidden="false" customHeight="false" outlineLevel="0" collapsed="false">
      <c r="E155" s="54" t="n">
        <v>151</v>
      </c>
      <c r="F155" s="61" t="n">
        <v>0.033594</v>
      </c>
      <c r="G155" s="61" t="n">
        <v>0.64157</v>
      </c>
      <c r="H155" s="34" t="n">
        <f aca="false">NORMSINV(F155)</f>
        <v>-1.83041437358398</v>
      </c>
      <c r="I155" s="34" t="n">
        <f aca="false">NORMSINV(G155)</f>
        <v>0.362658505714313</v>
      </c>
      <c r="J155" s="59" t="n">
        <f aca="false">mc_s0*EXP((mc_mu-mc_vol^2/2)*mc_t1+mc_vol*SQRT(mc_t1)*H155)</f>
        <v>962.389944675912</v>
      </c>
      <c r="K155" s="59" t="n">
        <f aca="false">J155*EXP((mc_mu-mc_vol^2/2)*(mc_t2-mc_t1)+mc_vol*SQRT(mc_t2-mc_t1)*I155)</f>
        <v>1037.65530399037</v>
      </c>
      <c r="L155" s="31" t="n">
        <f aca="false">(t1_usd*J155+t2_usd*K155)/1000</f>
        <v>8708.27469031308</v>
      </c>
    </row>
    <row r="156" customFormat="false" ht="15" hidden="false" customHeight="false" outlineLevel="0" collapsed="false">
      <c r="E156" s="54" t="n">
        <v>152</v>
      </c>
      <c r="F156" s="61" t="n">
        <v>0.01297</v>
      </c>
      <c r="G156" s="61" t="n">
        <v>0.336874</v>
      </c>
      <c r="H156" s="34" t="n">
        <f aca="false">NORMSINV(F156)</f>
        <v>-2.22710884824359</v>
      </c>
      <c r="I156" s="34" t="n">
        <f aca="false">NORMSINV(G156)</f>
        <v>-0.421009698301198</v>
      </c>
      <c r="J156" s="59" t="n">
        <f aca="false">mc_s0*EXP((mc_mu-mc_vol^2/2)*mc_t1+mc_vol*SQRT(mc_t1)*H156)</f>
        <v>926.604119525588</v>
      </c>
      <c r="K156" s="59" t="n">
        <f aca="false">J156*EXP((mc_mu-mc_vol^2/2)*(mc_t2-mc_t1)+mc_vol*SQRT(mc_t2-mc_t1)*I156)</f>
        <v>882.999694386768</v>
      </c>
      <c r="L156" s="31" t="n">
        <f aca="false">(t1_usd*J156+t2_usd*K156)/1000</f>
        <v>8163.92825601397</v>
      </c>
    </row>
    <row r="157" customFormat="false" ht="15" hidden="false" customHeight="false" outlineLevel="0" collapsed="false">
      <c r="E157" s="54" t="n">
        <v>153</v>
      </c>
      <c r="F157" s="61" t="n">
        <v>0.309082</v>
      </c>
      <c r="G157" s="61" t="n">
        <v>0.947707</v>
      </c>
      <c r="H157" s="34" t="n">
        <f aca="false">NORMSINV(F157)</f>
        <v>-0.49845411899874</v>
      </c>
      <c r="I157" s="34" t="n">
        <f aca="false">NORMSINV(G157)</f>
        <v>1.62301592794112</v>
      </c>
      <c r="J157" s="59" t="n">
        <f aca="false">mc_s0*EXP((mc_mu-mc_vol^2/2)*mc_t1+mc_vol*SQRT(mc_t1)*H157)</f>
        <v>1092.96783171608</v>
      </c>
      <c r="K157" s="59" t="n">
        <f aca="false">J157*EXP((mc_mu-mc_vol^2/2)*(mc_t2-mc_t1)+mc_vol*SQRT(mc_t2-mc_t1)*I157)</f>
        <v>1437.37675011592</v>
      </c>
      <c r="L157" s="31" t="n">
        <f aca="false">(t1_usd*J157+t2_usd*K157)/1000</f>
        <v>10381.7906472328</v>
      </c>
    </row>
    <row r="158" customFormat="false" ht="15" hidden="false" customHeight="false" outlineLevel="0" collapsed="false">
      <c r="E158" s="54" t="n">
        <v>154</v>
      </c>
      <c r="F158" s="61" t="n">
        <v>0.050705</v>
      </c>
      <c r="G158" s="61" t="n">
        <v>0.366925</v>
      </c>
      <c r="H158" s="34" t="n">
        <f aca="false">NORMSINV(F158)</f>
        <v>-1.63805605966491</v>
      </c>
      <c r="I158" s="34" t="n">
        <f aca="false">NORMSINV(G158)</f>
        <v>-0.340008668384193</v>
      </c>
      <c r="J158" s="59" t="n">
        <f aca="false">mc_s0*EXP((mc_mu-mc_vol^2/2)*mc_t1+mc_vol*SQRT(mc_t1)*H158)</f>
        <v>980.236910196702</v>
      </c>
      <c r="K158" s="59" t="n">
        <f aca="false">J158*EXP((mc_mu-mc_vol^2/2)*(mc_t2-mc_t1)+mc_vol*SQRT(mc_t2-mc_t1)*I158)</f>
        <v>946.109142164758</v>
      </c>
      <c r="L158" s="31" t="n">
        <f aca="false">(t1_usd*J158+t2_usd*K158)/1000</f>
        <v>8659.26574148995</v>
      </c>
    </row>
    <row r="159" customFormat="false" ht="15" hidden="false" customHeight="false" outlineLevel="0" collapsed="false">
      <c r="E159" s="54" t="n">
        <v>155</v>
      </c>
      <c r="F159" s="61" t="n">
        <v>0.23324</v>
      </c>
      <c r="G159" s="61" t="n">
        <v>0.252241</v>
      </c>
      <c r="H159" s="34" t="n">
        <f aca="false">NORMSINV(F159)</f>
        <v>-0.728218243291181</v>
      </c>
      <c r="I159" s="34" t="n">
        <f aca="false">NORMSINV(G159)</f>
        <v>-0.667454286601758</v>
      </c>
      <c r="J159" s="59" t="n">
        <f aca="false">mc_s0*EXP((mc_mu-mc_vol^2/2)*mc_t1+mc_vol*SQRT(mc_t1)*H159)</f>
        <v>1069.24105804096</v>
      </c>
      <c r="K159" s="59" t="n">
        <f aca="false">J159*EXP((mc_mu-mc_vol^2/2)*(mc_t2-mc_t1)+mc_vol*SQRT(mc_t2-mc_t1)*I159)</f>
        <v>980.110018179841</v>
      </c>
      <c r="L159" s="31" t="n">
        <f aca="false">(t1_usd*J159+t2_usd*K159)/1000</f>
        <v>9346.8964408284</v>
      </c>
    </row>
    <row r="160" customFormat="false" ht="15" hidden="false" customHeight="false" outlineLevel="0" collapsed="false">
      <c r="E160" s="54" t="n">
        <v>156</v>
      </c>
      <c r="F160" s="61" t="n">
        <v>0.75845</v>
      </c>
      <c r="G160" s="61" t="n">
        <v>0.140038</v>
      </c>
      <c r="H160" s="34" t="n">
        <f aca="false">NORMSINV(F160)</f>
        <v>0.701325345210564</v>
      </c>
      <c r="I160" s="34" t="n">
        <f aca="false">NORMSINV(G160)</f>
        <v>-1.08014862890071</v>
      </c>
      <c r="J160" s="59" t="n">
        <f aca="false">mc_s0*EXP((mc_mu-mc_vol^2/2)*mc_t1+mc_vol*SQRT(mc_t1)*H160)</f>
        <v>1225.68866508403</v>
      </c>
      <c r="K160" s="59" t="n">
        <f aca="false">J160*EXP((mc_mu-mc_vol^2/2)*(mc_t2-mc_t1)+mc_vol*SQRT(mc_t2-mc_t1)*I160)</f>
        <v>1052.7707356178</v>
      </c>
      <c r="L160" s="31" t="n">
        <f aca="false">(t1_usd*J160+t2_usd*K160)/1000</f>
        <v>10580.0850532621</v>
      </c>
    </row>
    <row r="161" customFormat="false" ht="15" hidden="false" customHeight="false" outlineLevel="0" collapsed="false">
      <c r="E161" s="54" t="n">
        <v>157</v>
      </c>
      <c r="F161" s="61" t="n">
        <v>0.564146</v>
      </c>
      <c r="G161" s="61" t="n">
        <v>0.010052</v>
      </c>
      <c r="H161" s="34" t="n">
        <f aca="false">NORMSINV(F161)</f>
        <v>0.161489348396775</v>
      </c>
      <c r="I161" s="34" t="n">
        <f aca="false">NORMSINV(G161)</f>
        <v>-2.32440122457092</v>
      </c>
      <c r="J161" s="59" t="n">
        <f aca="false">mc_s0*EXP((mc_mu-mc_vol^2/2)*mc_t1+mc_vol*SQRT(mc_t1)*H161)</f>
        <v>1164.08609347606</v>
      </c>
      <c r="K161" s="59" t="n">
        <f aca="false">J161*EXP((mc_mu-mc_vol^2/2)*(mc_t2-mc_t1)+mc_vol*SQRT(mc_t2-mc_t1)*I161)</f>
        <v>821.825811718246</v>
      </c>
      <c r="L161" s="31" t="n">
        <f aca="false">(t1_usd*J161+t2_usd*K161)/1000</f>
        <v>9710.07169659712</v>
      </c>
    </row>
    <row r="162" customFormat="false" ht="15" hidden="false" customHeight="false" outlineLevel="0" collapsed="false">
      <c r="E162" s="54" t="n">
        <v>158</v>
      </c>
      <c r="F162" s="61" t="n">
        <v>0.263057</v>
      </c>
      <c r="G162" s="61" t="n">
        <v>0.819426</v>
      </c>
      <c r="H162" s="34" t="n">
        <f aca="false">NORMSINV(F162)</f>
        <v>-0.633949162369729</v>
      </c>
      <c r="I162" s="34" t="n">
        <f aca="false">NORMSINV(G162)</f>
        <v>0.913179773413218</v>
      </c>
      <c r="J162" s="59" t="n">
        <f aca="false">mc_s0*EXP((mc_mu-mc_vol^2/2)*mc_t1+mc_vol*SQRT(mc_t1)*H162)</f>
        <v>1078.91287325601</v>
      </c>
      <c r="K162" s="59" t="n">
        <f aca="false">J162*EXP((mc_mu-mc_vol^2/2)*(mc_t2-mc_t1)+mc_vol*SQRT(mc_t2-mc_t1)*I162)</f>
        <v>1268.72385692337</v>
      </c>
      <c r="L162" s="31" t="n">
        <f aca="false">(t1_usd*J162+t2_usd*K162)/1000</f>
        <v>9962.96544094647</v>
      </c>
    </row>
    <row r="163" customFormat="false" ht="15" hidden="false" customHeight="false" outlineLevel="0" collapsed="false">
      <c r="E163" s="54" t="n">
        <v>159</v>
      </c>
      <c r="F163" s="61" t="n">
        <v>0.449597</v>
      </c>
      <c r="G163" s="61" t="n">
        <v>0.28373</v>
      </c>
      <c r="H163" s="34" t="n">
        <f aca="false">NORMSINV(F163)</f>
        <v>-0.126679590628217</v>
      </c>
      <c r="I163" s="34" t="n">
        <f aca="false">NORMSINV(G163)</f>
        <v>-0.571796276753965</v>
      </c>
      <c r="J163" s="59" t="n">
        <f aca="false">mc_s0*EXP((mc_mu-mc_vol^2/2)*mc_t1+mc_vol*SQRT(mc_t1)*H163)</f>
        <v>1132.47970365354</v>
      </c>
      <c r="K163" s="59" t="n">
        <f aca="false">J163*EXP((mc_mu-mc_vol^2/2)*(mc_t2-mc_t1)+mc_vol*SQRT(mc_t2-mc_t1)*I163)</f>
        <v>1053.84476013414</v>
      </c>
      <c r="L163" s="31" t="n">
        <f aca="false">(t1_usd*J163+t2_usd*K163)/1000</f>
        <v>9929.66296982964</v>
      </c>
    </row>
    <row r="164" customFormat="false" ht="15" hidden="false" customHeight="false" outlineLevel="0" collapsed="false">
      <c r="E164" s="54" t="n">
        <v>160</v>
      </c>
      <c r="F164" s="61" t="n">
        <v>0.715062</v>
      </c>
      <c r="G164" s="61" t="n">
        <v>0.496715</v>
      </c>
      <c r="H164" s="34" t="n">
        <f aca="false">NORMSINV(F164)</f>
        <v>0.568234129032861</v>
      </c>
      <c r="I164" s="34" t="n">
        <f aca="false">NORMSINV(G164)</f>
        <v>-0.00823436693614864</v>
      </c>
      <c r="J164" s="59" t="n">
        <f aca="false">mc_s0*EXP((mc_mu-mc_vol^2/2)*mc_t1+mc_vol*SQRT(mc_t1)*H164)</f>
        <v>1210.20484571421</v>
      </c>
      <c r="K164" s="59" t="n">
        <f aca="false">J164*EXP((mc_mu-mc_vol^2/2)*(mc_t2-mc_t1)+mc_vol*SQRT(mc_t2-mc_t1)*I164)</f>
        <v>1230.7683632976</v>
      </c>
      <c r="L164" s="31" t="n">
        <f aca="false">(t1_usd*J164+t2_usd*K164)/1000</f>
        <v>10809.8938102649</v>
      </c>
    </row>
    <row r="165" customFormat="false" ht="15" hidden="false" customHeight="false" outlineLevel="0" collapsed="false">
      <c r="E165" s="54" t="n">
        <v>161</v>
      </c>
      <c r="F165" s="61" t="n">
        <v>0.278197</v>
      </c>
      <c r="G165" s="61" t="n">
        <v>0.162091</v>
      </c>
      <c r="H165" s="34" t="n">
        <f aca="false">NORMSINV(F165)</f>
        <v>-0.588206045556197</v>
      </c>
      <c r="I165" s="34" t="n">
        <f aca="false">NORMSINV(G165)</f>
        <v>-0.985900380825512</v>
      </c>
      <c r="J165" s="59" t="n">
        <f aca="false">mc_s0*EXP((mc_mu-mc_vol^2/2)*mc_t1+mc_vol*SQRT(mc_t1)*H165)</f>
        <v>1083.63750048045</v>
      </c>
      <c r="K165" s="59" t="n">
        <f aca="false">J165*EXP((mc_mu-mc_vol^2/2)*(mc_t2-mc_t1)+mc_vol*SQRT(mc_t2-mc_t1)*I165)</f>
        <v>944.687535666806</v>
      </c>
      <c r="L165" s="31" t="n">
        <f aca="false">(t1_usd*J165+t2_usd*K165)/1000</f>
        <v>9380.36882113009</v>
      </c>
    </row>
    <row r="166" customFormat="false" ht="15" hidden="false" customHeight="false" outlineLevel="0" collapsed="false">
      <c r="E166" s="54" t="n">
        <v>162</v>
      </c>
      <c r="F166" s="61" t="n">
        <v>0.551966</v>
      </c>
      <c r="G166" s="61" t="n">
        <v>0.344294</v>
      </c>
      <c r="H166" s="34" t="n">
        <f aca="false">NORMSINV(F166)</f>
        <v>0.130630012013633</v>
      </c>
      <c r="I166" s="34" t="n">
        <f aca="false">NORMSINV(G166)</f>
        <v>-0.400771993920244</v>
      </c>
      <c r="J166" s="59" t="n">
        <f aca="false">mc_s0*EXP((mc_mu-mc_vol^2/2)*mc_t1+mc_vol*SQRT(mc_t1)*H166)</f>
        <v>1160.65969403082</v>
      </c>
      <c r="K166" s="59" t="n">
        <f aca="false">J166*EXP((mc_mu-mc_vol^2/2)*(mc_t2-mc_t1)+mc_vol*SQRT(mc_t2-mc_t1)*I166)</f>
        <v>1109.57416376567</v>
      </c>
      <c r="L166" s="31" t="n">
        <f aca="false">(t1_usd*J166+t2_usd*K166)/1000</f>
        <v>10232.8087693705</v>
      </c>
    </row>
    <row r="167" customFormat="false" ht="15" hidden="false" customHeight="false" outlineLevel="0" collapsed="false">
      <c r="E167" s="54" t="n">
        <v>163</v>
      </c>
      <c r="F167" s="61" t="n">
        <v>0.522208</v>
      </c>
      <c r="G167" s="61" t="n">
        <v>0.792455</v>
      </c>
      <c r="H167" s="34" t="n">
        <f aca="false">NORMSINV(F167)</f>
        <v>0.055695982546582</v>
      </c>
      <c r="I167" s="34" t="n">
        <f aca="false">NORMSINV(G167)</f>
        <v>0.814969095985693</v>
      </c>
      <c r="J167" s="59" t="n">
        <f aca="false">mc_s0*EXP((mc_mu-mc_vol^2/2)*mc_t1+mc_vol*SQRT(mc_t1)*H167)</f>
        <v>1152.38147622068</v>
      </c>
      <c r="K167" s="59" t="n">
        <f aca="false">J167*EXP((mc_mu-mc_vol^2/2)*(mc_t2-mc_t1)+mc_vol*SQRT(mc_t2-mc_t1)*I167)</f>
        <v>1334.30550836019</v>
      </c>
      <c r="L167" s="31" t="n">
        <f aca="false">(t1_usd*J167+t2_usd*K167)/1000</f>
        <v>10601.8507994291</v>
      </c>
    </row>
    <row r="168" customFormat="false" ht="15" hidden="false" customHeight="false" outlineLevel="0" collapsed="false">
      <c r="E168" s="54" t="n">
        <v>164</v>
      </c>
      <c r="F168" s="61" t="n">
        <v>0.559246</v>
      </c>
      <c r="G168" s="61" t="n">
        <v>0.274788</v>
      </c>
      <c r="H168" s="34" t="n">
        <f aca="false">NORMSINV(F168)</f>
        <v>0.149057831090364</v>
      </c>
      <c r="I168" s="34" t="n">
        <f aca="false">NORMSINV(G168)</f>
        <v>-0.598395601445041</v>
      </c>
      <c r="J168" s="59" t="n">
        <f aca="false">mc_s0*EXP((mc_mu-mc_vol^2/2)*mc_t1+mc_vol*SQRT(mc_t1)*H168)</f>
        <v>1162.70457195609</v>
      </c>
      <c r="K168" s="59" t="n">
        <f aca="false">J168*EXP((mc_mu-mc_vol^2/2)*(mc_t2-mc_t1)+mc_vol*SQRT(mc_t2-mc_t1)*I168)</f>
        <v>1077.4449407025</v>
      </c>
      <c r="L168" s="31" t="n">
        <f aca="false">(t1_usd*J168+t2_usd*K168)/1000</f>
        <v>10186.0773910274</v>
      </c>
    </row>
    <row r="169" customFormat="false" ht="15" hidden="false" customHeight="false" outlineLevel="0" collapsed="false">
      <c r="E169" s="54" t="n">
        <v>165</v>
      </c>
      <c r="F169" s="61" t="n">
        <v>0.519129</v>
      </c>
      <c r="G169" s="61" t="n">
        <v>0.86824</v>
      </c>
      <c r="H169" s="34" t="n">
        <f aca="false">NORMSINV(F169)</f>
        <v>0.0479676807117155</v>
      </c>
      <c r="I169" s="34" t="n">
        <f aca="false">NORMSINV(G169)</f>
        <v>1.11811003751079</v>
      </c>
      <c r="J169" s="59" t="n">
        <f aca="false">mc_s0*EXP((mc_mu-mc_vol^2/2)*mc_t1+mc_vol*SQRT(mc_t1)*H169)</f>
        <v>1151.53107025304</v>
      </c>
      <c r="K169" s="59" t="n">
        <f aca="false">J169*EXP((mc_mu-mc_vol^2/2)*(mc_t2-mc_t1)+mc_vol*SQRT(mc_t2-mc_t1)*I169)</f>
        <v>1398.56353177831</v>
      </c>
      <c r="L169" s="31" t="n">
        <f aca="false">(t1_usd*J169+t2_usd*K169)/1000</f>
        <v>10717.9882021501</v>
      </c>
    </row>
    <row r="170" customFormat="false" ht="15" hidden="false" customHeight="false" outlineLevel="0" collapsed="false">
      <c r="E170" s="54" t="n">
        <v>166</v>
      </c>
      <c r="F170" s="61" t="n">
        <v>0.260053</v>
      </c>
      <c r="G170" s="61" t="n">
        <v>0.211954</v>
      </c>
      <c r="H170" s="34" t="n">
        <f aca="false">NORMSINV(F170)</f>
        <v>-0.643182017914376</v>
      </c>
      <c r="I170" s="34" t="n">
        <f aca="false">NORMSINV(G170)</f>
        <v>-0.799659679421995</v>
      </c>
      <c r="J170" s="59" t="n">
        <f aca="false">mc_s0*EXP((mc_mu-mc_vol^2/2)*mc_t1+mc_vol*SQRT(mc_t1)*H170)</f>
        <v>1077.96174919839</v>
      </c>
      <c r="K170" s="59" t="n">
        <f aca="false">J170*EXP((mc_mu-mc_vol^2/2)*(mc_t2-mc_t1)+mc_vol*SQRT(mc_t2-mc_t1)*I170)</f>
        <v>967.729921359004</v>
      </c>
      <c r="L170" s="31" t="n">
        <f aca="false">(t1_usd*J170+t2_usd*K170)/1000</f>
        <v>9384.41909497087</v>
      </c>
    </row>
    <row r="171" customFormat="false" ht="15" hidden="false" customHeight="false" outlineLevel="0" collapsed="false">
      <c r="E171" s="54" t="n">
        <v>167</v>
      </c>
      <c r="F171" s="61" t="n">
        <v>0.687007</v>
      </c>
      <c r="G171" s="61" t="n">
        <v>0.940261</v>
      </c>
      <c r="H171" s="34" t="n">
        <f aca="false">NORMSINV(F171)</f>
        <v>0.487384324598336</v>
      </c>
      <c r="I171" s="34" t="n">
        <f aca="false">NORMSINV(G171)</f>
        <v>1.55696835002406</v>
      </c>
      <c r="J171" s="59" t="n">
        <f aca="false">mc_s0*EXP((mc_mu-mc_vol^2/2)*mc_t1+mc_vol*SQRT(mc_t1)*H171)</f>
        <v>1200.89444946602</v>
      </c>
      <c r="K171" s="59" t="n">
        <f aca="false">J171*EXP((mc_mu-mc_vol^2/2)*(mc_t2-mc_t1)+mc_vol*SQRT(mc_t2-mc_t1)*I171)</f>
        <v>1562.95924771021</v>
      </c>
      <c r="L171" s="31" t="n">
        <f aca="false">(t1_usd*J171+t2_usd*K171)/1000</f>
        <v>11375.8837169115</v>
      </c>
    </row>
    <row r="172" customFormat="false" ht="15" hidden="false" customHeight="false" outlineLevel="0" collapsed="false">
      <c r="E172" s="54" t="n">
        <v>168</v>
      </c>
      <c r="F172" s="61" t="n">
        <v>0.924304</v>
      </c>
      <c r="G172" s="61" t="n">
        <v>0.460759</v>
      </c>
      <c r="H172" s="34" t="n">
        <f aca="false">NORMSINV(F172)</f>
        <v>1.43463196788036</v>
      </c>
      <c r="I172" s="34" t="n">
        <f aca="false">NORMSINV(G172)</f>
        <v>-0.0985217524839943</v>
      </c>
      <c r="J172" s="59" t="n">
        <f aca="false">mc_s0*EXP((mc_mu-mc_vol^2/2)*mc_t1+mc_vol*SQRT(mc_t1)*H172)</f>
        <v>1314.62339800148</v>
      </c>
      <c r="K172" s="59" t="n">
        <f aca="false">J172*EXP((mc_mu-mc_vol^2/2)*(mc_t2-mc_t1)+mc_vol*SQRT(mc_t2-mc_t1)*I172)</f>
        <v>1318.07267908222</v>
      </c>
      <c r="L172" s="31" t="n">
        <f aca="false">(t1_usd*J172+t2_usd*K172)/1000</f>
        <v>11706.7018762666</v>
      </c>
    </row>
    <row r="173" customFormat="false" ht="15" hidden="false" customHeight="false" outlineLevel="0" collapsed="false">
      <c r="E173" s="54" t="n">
        <v>169</v>
      </c>
      <c r="F173" s="61" t="n">
        <v>0.497281</v>
      </c>
      <c r="G173" s="61" t="n">
        <v>0.001961</v>
      </c>
      <c r="H173" s="34" t="n">
        <f aca="false">NORMSINV(F173)</f>
        <v>-0.00681557504460787</v>
      </c>
      <c r="I173" s="34" t="n">
        <f aca="false">NORMSINV(G173)</f>
        <v>-2.88436811397331</v>
      </c>
      <c r="J173" s="59" t="n">
        <f aca="false">mc_s0*EXP((mc_mu-mc_vol^2/2)*mc_t1+mc_vol*SQRT(mc_t1)*H173)</f>
        <v>1145.52080134089</v>
      </c>
      <c r="K173" s="59" t="n">
        <f aca="false">J173*EXP((mc_mu-mc_vol^2/2)*(mc_t2-mc_t1)+mc_vol*SQRT(mc_t2-mc_t1)*I173)</f>
        <v>740.410352601716</v>
      </c>
      <c r="L173" s="31" t="n">
        <f aca="false">(t1_usd*J173+t2_usd*K173)/1000</f>
        <v>9425.42527932948</v>
      </c>
    </row>
    <row r="174" customFormat="false" ht="15" hidden="false" customHeight="false" outlineLevel="0" collapsed="false">
      <c r="E174" s="54" t="n">
        <v>170</v>
      </c>
      <c r="F174" s="61" t="n">
        <v>0.062732</v>
      </c>
      <c r="G174" s="61" t="n">
        <v>0.864149</v>
      </c>
      <c r="H174" s="34" t="n">
        <f aca="false">NORMSINV(F174)</f>
        <v>-1.53223684256034</v>
      </c>
      <c r="I174" s="34" t="n">
        <f aca="false">NORMSINV(G174)</f>
        <v>1.09915147609317</v>
      </c>
      <c r="J174" s="59" t="n">
        <f aca="false">mc_s0*EXP((mc_mu-mc_vol^2/2)*mc_t1+mc_vol*SQRT(mc_t1)*H174)</f>
        <v>990.195518395371</v>
      </c>
      <c r="K174" s="59" t="n">
        <f aca="false">J174*EXP((mc_mu-mc_vol^2/2)*(mc_t2-mc_t1)+mc_vol*SQRT(mc_t2-mc_t1)*I174)</f>
        <v>1199.0296880822</v>
      </c>
      <c r="L174" s="31" t="n">
        <f aca="false">(t1_usd*J174+t2_usd*K174)/1000</f>
        <v>9209.52503612378</v>
      </c>
    </row>
    <row r="175" customFormat="false" ht="15" hidden="false" customHeight="false" outlineLevel="0" collapsed="false">
      <c r="E175" s="54" t="n">
        <v>171</v>
      </c>
      <c r="F175" s="61" t="n">
        <v>0.69582</v>
      </c>
      <c r="G175" s="61" t="n">
        <v>0.706374</v>
      </c>
      <c r="H175" s="34" t="n">
        <f aca="false">NORMSINV(F175)</f>
        <v>0.512415850565798</v>
      </c>
      <c r="I175" s="34" t="n">
        <f aca="false">NORMSINV(G175)</f>
        <v>0.542822529072183</v>
      </c>
      <c r="J175" s="59" t="n">
        <f aca="false">mc_s0*EXP((mc_mu-mc_vol^2/2)*mc_t1+mc_vol*SQRT(mc_t1)*H175)</f>
        <v>1203.76931629468</v>
      </c>
      <c r="K175" s="59" t="n">
        <f aca="false">J175*EXP((mc_mu-mc_vol^2/2)*(mc_t2-mc_t1)+mc_vol*SQRT(mc_t2-mc_t1)*I175)</f>
        <v>1335.29143400982</v>
      </c>
      <c r="L175" s="31" t="n">
        <f aca="false">(t1_usd*J175+t2_usd*K175)/1000</f>
        <v>10963.4389386814</v>
      </c>
    </row>
    <row r="176" customFormat="false" ht="15" hidden="false" customHeight="false" outlineLevel="0" collapsed="false">
      <c r="E176" s="54" t="n">
        <v>172</v>
      </c>
      <c r="F176" s="61" t="n">
        <v>0.38003</v>
      </c>
      <c r="G176" s="61" t="n">
        <v>0.96222</v>
      </c>
      <c r="H176" s="34" t="n">
        <f aca="false">NORMSINV(F176)</f>
        <v>-0.305401998331655</v>
      </c>
      <c r="I176" s="34" t="n">
        <f aca="false">NORMSINV(G176)</f>
        <v>1.77705008292793</v>
      </c>
      <c r="J176" s="59" t="n">
        <f aca="false">mc_s0*EXP((mc_mu-mc_vol^2/2)*mc_t1+mc_vol*SQRT(mc_t1)*H176)</f>
        <v>1113.31007004903</v>
      </c>
      <c r="K176" s="59" t="n">
        <f aca="false">J176*EXP((mc_mu-mc_vol^2/2)*(mc_t2-mc_t1)+mc_vol*SQRT(mc_t2-mc_t1)*I176)</f>
        <v>1500.10533892956</v>
      </c>
      <c r="L176" s="31" t="n">
        <f aca="false">(t1_usd*J176+t2_usd*K176)/1000</f>
        <v>10643.3706343094</v>
      </c>
    </row>
    <row r="177" customFormat="false" ht="15" hidden="false" customHeight="false" outlineLevel="0" collapsed="false">
      <c r="E177" s="54" t="n">
        <v>173</v>
      </c>
      <c r="F177" s="61" t="n">
        <v>0.200511</v>
      </c>
      <c r="G177" s="61" t="n">
        <v>0.230193</v>
      </c>
      <c r="H177" s="34" t="n">
        <f aca="false">NORMSINV(F177)</f>
        <v>-0.839797384840617</v>
      </c>
      <c r="I177" s="34" t="n">
        <f aca="false">NORMSINV(G177)</f>
        <v>-0.738211394131969</v>
      </c>
      <c r="J177" s="59" t="n">
        <f aca="false">mc_s0*EXP((mc_mu-mc_vol^2/2)*mc_t1+mc_vol*SQRT(mc_t1)*H177)</f>
        <v>1057.90524902967</v>
      </c>
      <c r="K177" s="59" t="n">
        <f aca="false">J177*EXP((mc_mu-mc_vol^2/2)*(mc_t2-mc_t1)+mc_vol*SQRT(mc_t2-mc_t1)*I177)</f>
        <v>958.966035192164</v>
      </c>
      <c r="L177" s="31" t="n">
        <f aca="false">(t1_usd*J177+t2_usd*K177)/1000</f>
        <v>9227.37221007283</v>
      </c>
    </row>
    <row r="178" customFormat="false" ht="15" hidden="false" customHeight="false" outlineLevel="0" collapsed="false">
      <c r="E178" s="54" t="n">
        <v>174</v>
      </c>
      <c r="F178" s="61" t="n">
        <v>0.427563</v>
      </c>
      <c r="G178" s="61" t="n">
        <v>0.459135</v>
      </c>
      <c r="H178" s="34" t="n">
        <f aca="false">NORMSINV(F178)</f>
        <v>-0.182582011265159</v>
      </c>
      <c r="I178" s="34" t="n">
        <f aca="false">NORMSINV(G178)</f>
        <v>-0.102613157238568</v>
      </c>
      <c r="J178" s="59" t="n">
        <f aca="false">mc_s0*EXP((mc_mu-mc_vol^2/2)*mc_t1+mc_vol*SQRT(mc_t1)*H178)</f>
        <v>1126.448440862</v>
      </c>
      <c r="K178" s="59" t="n">
        <f aca="false">J178*EXP((mc_mu-mc_vol^2/2)*(mc_t2-mc_t1)+mc_vol*SQRT(mc_t2-mc_t1)*I178)</f>
        <v>1128.67601283022</v>
      </c>
      <c r="L178" s="31" t="n">
        <f aca="false">(t1_usd*J178+t2_usd*K178)/1000</f>
        <v>10029.6235104114</v>
      </c>
    </row>
    <row r="179" customFormat="false" ht="15" hidden="false" customHeight="false" outlineLevel="0" collapsed="false">
      <c r="E179" s="54" t="n">
        <v>175</v>
      </c>
      <c r="F179" s="61" t="n">
        <v>0.742755</v>
      </c>
      <c r="G179" s="61" t="n">
        <v>0.093676</v>
      </c>
      <c r="H179" s="34" t="n">
        <f aca="false">NORMSINV(F179)</f>
        <v>0.651862311222103</v>
      </c>
      <c r="I179" s="34" t="n">
        <f aca="false">NORMSINV(G179)</f>
        <v>-1.31845314558696</v>
      </c>
      <c r="J179" s="59" t="n">
        <f aca="false">mc_s0*EXP((mc_mu-mc_vol^2/2)*mc_t1+mc_vol*SQRT(mc_t1)*H179)</f>
        <v>1219.91114333284</v>
      </c>
      <c r="K179" s="59" t="n">
        <f aca="false">J179*EXP((mc_mu-mc_vol^2/2)*(mc_t2-mc_t1)+mc_vol*SQRT(mc_t2-mc_t1)*I179)</f>
        <v>1009.18742209133</v>
      </c>
      <c r="L179" s="31" t="n">
        <f aca="false">(t1_usd*J179+t2_usd*K179)/1000</f>
        <v>10456.8341053034</v>
      </c>
    </row>
    <row r="180" customFormat="false" ht="15" hidden="false" customHeight="false" outlineLevel="0" collapsed="false">
      <c r="E180" s="54" t="n">
        <v>176</v>
      </c>
      <c r="F180" s="61" t="n">
        <v>0.643147</v>
      </c>
      <c r="G180" s="61" t="n">
        <v>0.659687</v>
      </c>
      <c r="H180" s="34" t="n">
        <f aca="false">NORMSINV(F180)</f>
        <v>0.366883392265147</v>
      </c>
      <c r="I180" s="34" t="n">
        <f aca="false">NORMSINV(G180)</f>
        <v>0.411609046237229</v>
      </c>
      <c r="J180" s="59" t="n">
        <f aca="false">mc_s0*EXP((mc_mu-mc_vol^2/2)*mc_t1+mc_vol*SQRT(mc_t1)*H180)</f>
        <v>1187.1507261363</v>
      </c>
      <c r="K180" s="59" t="n">
        <f aca="false">J180*EXP((mc_mu-mc_vol^2/2)*(mc_t2-mc_t1)+mc_vol*SQRT(mc_t2-mc_t1)*I180)</f>
        <v>1289.90629429491</v>
      </c>
      <c r="L180" s="31" t="n">
        <f aca="false">(t1_usd*J180+t2_usd*K180)/1000</f>
        <v>10760.8770421144</v>
      </c>
    </row>
    <row r="181" customFormat="false" ht="15" hidden="false" customHeight="false" outlineLevel="0" collapsed="false">
      <c r="E181" s="54" t="n">
        <v>177</v>
      </c>
      <c r="F181" s="61" t="n">
        <v>0.604544</v>
      </c>
      <c r="G181" s="61" t="n">
        <v>0.787188</v>
      </c>
      <c r="H181" s="34" t="n">
        <f aca="false">NORMSINV(F181)</f>
        <v>0.265126517580906</v>
      </c>
      <c r="I181" s="34" t="n">
        <f aca="false">NORMSINV(G181)</f>
        <v>0.796702210240626</v>
      </c>
      <c r="J181" s="59" t="n">
        <f aca="false">mc_s0*EXP((mc_mu-mc_vol^2/2)*mc_t1+mc_vol*SQRT(mc_t1)*H181)</f>
        <v>1175.66742135144</v>
      </c>
      <c r="K181" s="59" t="n">
        <f aca="false">J181*EXP((mc_mu-mc_vol^2/2)*(mc_t2-mc_t1)+mc_vol*SQRT(mc_t2-mc_t1)*I181)</f>
        <v>1357.35446037214</v>
      </c>
      <c r="L181" s="31" t="n">
        <f aca="false">(t1_usd*J181+t2_usd*K181)/1000</f>
        <v>10808.6454241671</v>
      </c>
    </row>
    <row r="182" customFormat="false" ht="15" hidden="false" customHeight="false" outlineLevel="0" collapsed="false">
      <c r="E182" s="54" t="n">
        <v>178</v>
      </c>
      <c r="F182" s="61" t="n">
        <v>0.877438</v>
      </c>
      <c r="G182" s="61" t="n">
        <v>0.099576</v>
      </c>
      <c r="H182" s="34" t="n">
        <f aca="false">NORMSINV(F182)</f>
        <v>1.16227445377632</v>
      </c>
      <c r="I182" s="34" t="n">
        <f aca="false">NORMSINV(G182)</f>
        <v>-1.28397129319898</v>
      </c>
      <c r="J182" s="59" t="n">
        <f aca="false">mc_s0*EXP((mc_mu-mc_vol^2/2)*mc_t1+mc_vol*SQRT(mc_t1)*H182)</f>
        <v>1280.86282200109</v>
      </c>
      <c r="K182" s="59" t="n">
        <f aca="false">J182*EXP((mc_mu-mc_vol^2/2)*(mc_t2-mc_t1)+mc_vol*SQRT(mc_t2-mc_t1)*I182)</f>
        <v>1065.38420254003</v>
      </c>
      <c r="L182" s="31" t="n">
        <f aca="false">(t1_usd*J182+t2_usd*K182)/1000</f>
        <v>10990.2697388337</v>
      </c>
    </row>
    <row r="183" customFormat="false" ht="15" hidden="false" customHeight="false" outlineLevel="0" collapsed="false">
      <c r="E183" s="54" t="n">
        <v>179</v>
      </c>
      <c r="F183" s="61" t="n">
        <v>0.849011</v>
      </c>
      <c r="G183" s="61" t="n">
        <v>0.50194</v>
      </c>
      <c r="H183" s="34" t="n">
        <f aca="false">NORMSINV(F183)</f>
        <v>1.03220092889136</v>
      </c>
      <c r="I183" s="34" t="n">
        <f aca="false">NORMSINV(G183)</f>
        <v>0.00486287801860125</v>
      </c>
      <c r="J183" s="59" t="n">
        <f aca="false">mc_s0*EXP((mc_mu-mc_vol^2/2)*mc_t1+mc_vol*SQRT(mc_t1)*H183)</f>
        <v>1265.04660825253</v>
      </c>
      <c r="K183" s="59" t="n">
        <f aca="false">J183*EXP((mc_mu-mc_vol^2/2)*(mc_t2-mc_t1)+mc_vol*SQRT(mc_t2-mc_t1)*I183)</f>
        <v>1289.20019652808</v>
      </c>
      <c r="L183" s="31" t="n">
        <f aca="false">(t1_usd*J183+t2_usd*K183)/1000</f>
        <v>11304.8066311711</v>
      </c>
    </row>
    <row r="184" customFormat="false" ht="15" hidden="false" customHeight="false" outlineLevel="0" collapsed="false">
      <c r="E184" s="54" t="n">
        <v>180</v>
      </c>
      <c r="F184" s="61" t="n">
        <v>0.143858</v>
      </c>
      <c r="G184" s="61" t="n">
        <v>0.985911</v>
      </c>
      <c r="H184" s="34" t="n">
        <f aca="false">NORMSINV(F184)</f>
        <v>-1.06314544097194</v>
      </c>
      <c r="I184" s="34" t="n">
        <f aca="false">NORMSINV(G184)</f>
        <v>2.19479926842162</v>
      </c>
      <c r="J184" s="59" t="n">
        <f aca="false">mc_s0*EXP((mc_mu-mc_vol^2/2)*mc_t1+mc_vol*SQRT(mc_t1)*H184)</f>
        <v>1035.57412192333</v>
      </c>
      <c r="K184" s="59" t="n">
        <f aca="false">J184*EXP((mc_mu-mc_vol^2/2)*(mc_t2-mc_t1)+mc_vol*SQRT(mc_t2-mc_t1)*I184)</f>
        <v>1490.31591260448</v>
      </c>
      <c r="L184" s="31" t="n">
        <f aca="false">(t1_usd*J184+t2_usd*K184)/1000</f>
        <v>10080.6190874119</v>
      </c>
    </row>
    <row r="185" customFormat="false" ht="15" hidden="false" customHeight="false" outlineLevel="0" collapsed="false">
      <c r="E185" s="54" t="n">
        <v>181</v>
      </c>
      <c r="F185" s="61" t="n">
        <v>0.531039</v>
      </c>
      <c r="G185" s="61" t="n">
        <v>0.968396</v>
      </c>
      <c r="H185" s="34" t="n">
        <f aca="false">NORMSINV(F185)</f>
        <v>0.0778818967069016</v>
      </c>
      <c r="I185" s="34" t="n">
        <f aca="false">NORMSINV(G185)</f>
        <v>1.85772553792583</v>
      </c>
      <c r="J185" s="59" t="n">
        <f aca="false">mc_s0*EXP((mc_mu-mc_vol^2/2)*mc_t1+mc_vol*SQRT(mc_t1)*H185)</f>
        <v>1154.82625810206</v>
      </c>
      <c r="K185" s="59" t="n">
        <f aca="false">J185*EXP((mc_mu-mc_vol^2/2)*(mc_t2-mc_t1)+mc_vol*SQRT(mc_t2-mc_t1)*I185)</f>
        <v>1575.9551272653</v>
      </c>
      <c r="L185" s="31" t="n">
        <f aca="false">(t1_usd*J185+t2_usd*K185)/1000</f>
        <v>11078.0985485185</v>
      </c>
    </row>
    <row r="186" customFormat="false" ht="15" hidden="false" customHeight="false" outlineLevel="0" collapsed="false">
      <c r="E186" s="54" t="n">
        <v>182</v>
      </c>
      <c r="F186" s="61" t="n">
        <v>0.932777</v>
      </c>
      <c r="G186" s="61" t="n">
        <v>0.844723</v>
      </c>
      <c r="H186" s="34" t="n">
        <f aca="false">NORMSINV(F186)</f>
        <v>1.49679733482894</v>
      </c>
      <c r="I186" s="34" t="n">
        <f aca="false">NORMSINV(G186)</f>
        <v>1.01406025812643</v>
      </c>
      <c r="J186" s="59" t="n">
        <f aca="false">mc_s0*EXP((mc_mu-mc_vol^2/2)*mc_t1+mc_vol*SQRT(mc_t1)*H186)</f>
        <v>1322.45311761715</v>
      </c>
      <c r="K186" s="59" t="n">
        <f aca="false">J186*EXP((mc_mu-mc_vol^2/2)*(mc_t2-mc_t1)+mc_vol*SQRT(mc_t2-mc_t1)*I186)</f>
        <v>1580.03047607204</v>
      </c>
      <c r="L186" s="31" t="n">
        <f aca="false">(t1_usd*J186+t2_usd*K186)/1000</f>
        <v>12259.2297278569</v>
      </c>
    </row>
    <row r="187" customFormat="false" ht="15" hidden="false" customHeight="false" outlineLevel="0" collapsed="false">
      <c r="E187" s="54" t="n">
        <v>183</v>
      </c>
      <c r="F187" s="61" t="n">
        <v>0.663237</v>
      </c>
      <c r="G187" s="61" t="n">
        <v>0.88698</v>
      </c>
      <c r="H187" s="34" t="n">
        <f aca="false">NORMSINV(F187)</f>
        <v>0.421313737712073</v>
      </c>
      <c r="I187" s="34" t="n">
        <f aca="false">NORMSINV(G187)</f>
        <v>1.21062280500397</v>
      </c>
      <c r="J187" s="59" t="n">
        <f aca="false">mc_s0*EXP((mc_mu-mc_vol^2/2)*mc_t1+mc_vol*SQRT(mc_t1)*H187)</f>
        <v>1193.33918789528</v>
      </c>
      <c r="K187" s="59" t="n">
        <f aca="false">J187*EXP((mc_mu-mc_vol^2/2)*(mc_t2-mc_t1)+mc_vol*SQRT(mc_t2-mc_t1)*I187)</f>
        <v>1470.62582222585</v>
      </c>
      <c r="L187" s="31" t="n">
        <f aca="false">(t1_usd*J187+t2_usd*K187)/1000</f>
        <v>11147.5633774961</v>
      </c>
    </row>
    <row r="188" customFormat="false" ht="15" hidden="false" customHeight="false" outlineLevel="0" collapsed="false">
      <c r="E188" s="54" t="n">
        <v>184</v>
      </c>
      <c r="F188" s="61" t="n">
        <v>0.478802</v>
      </c>
      <c r="G188" s="61" t="n">
        <v>0.033414</v>
      </c>
      <c r="H188" s="34" t="n">
        <f aca="false">NORMSINV(F188)</f>
        <v>-0.0531605345427403</v>
      </c>
      <c r="I188" s="34" t="n">
        <f aca="false">NORMSINV(G188)</f>
        <v>-1.83282903376573</v>
      </c>
      <c r="J188" s="59" t="n">
        <f aca="false">mc_s0*EXP((mc_mu-mc_vol^2/2)*mc_t1+mc_vol*SQRT(mc_t1)*H188)</f>
        <v>1140.46079825598</v>
      </c>
      <c r="K188" s="59" t="n">
        <f aca="false">J188*EXP((mc_mu-mc_vol^2/2)*(mc_t2-mc_t1)+mc_vol*SQRT(mc_t2-mc_t1)*I188)</f>
        <v>869.999797247296</v>
      </c>
      <c r="L188" s="31" t="n">
        <f aca="false">(t1_usd*J188+t2_usd*K188)/1000</f>
        <v>9636.22520256173</v>
      </c>
    </row>
    <row r="189" customFormat="false" ht="15" hidden="false" customHeight="false" outlineLevel="0" collapsed="false">
      <c r="E189" s="54" t="n">
        <v>185</v>
      </c>
      <c r="F189" s="61" t="n">
        <v>0.363059</v>
      </c>
      <c r="G189" s="61" t="n">
        <v>0.358646</v>
      </c>
      <c r="H189" s="34" t="n">
        <f aca="false">NORMSINV(F189)</f>
        <v>-0.350294090190899</v>
      </c>
      <c r="I189" s="34" t="n">
        <f aca="false">NORMSINV(G189)</f>
        <v>-0.362080332934498</v>
      </c>
      <c r="J189" s="59" t="n">
        <f aca="false">mc_s0*EXP((mc_mu-mc_vol^2/2)*mc_t1+mc_vol*SQRT(mc_t1)*H189)</f>
        <v>1108.54618373137</v>
      </c>
      <c r="K189" s="59" t="n">
        <f aca="false">J189*EXP((mc_mu-mc_vol^2/2)*(mc_t2-mc_t1)+mc_vol*SQRT(mc_t2-mc_t1)*I189)</f>
        <v>1066.2360274585</v>
      </c>
      <c r="L189" s="31" t="n">
        <f aca="false">(t1_usd*J189+t2_usd*K189)/1000</f>
        <v>9785.67173829074</v>
      </c>
    </row>
    <row r="190" customFormat="false" ht="15" hidden="false" customHeight="false" outlineLevel="0" collapsed="false">
      <c r="E190" s="54" t="n">
        <v>186</v>
      </c>
      <c r="F190" s="61" t="n">
        <v>0.582108</v>
      </c>
      <c r="G190" s="61" t="n">
        <v>0.552949</v>
      </c>
      <c r="H190" s="34" t="n">
        <f aca="false">NORMSINV(F190)</f>
        <v>0.207289210411661</v>
      </c>
      <c r="I190" s="34" t="n">
        <f aca="false">NORMSINV(G190)</f>
        <v>0.133115546800255</v>
      </c>
      <c r="J190" s="59" t="n">
        <f aca="false">mc_s0*EXP((mc_mu-mc_vol^2/2)*mc_t1+mc_vol*SQRT(mc_t1)*H190)</f>
        <v>1169.19003710013</v>
      </c>
      <c r="K190" s="59" t="n">
        <f aca="false">J190*EXP((mc_mu-mc_vol^2/2)*(mc_t2-mc_t1)+mc_vol*SQRT(mc_t2-mc_t1)*I190)</f>
        <v>1215.84102491309</v>
      </c>
      <c r="L190" s="31" t="n">
        <f aca="false">(t1_usd*J190+t2_usd*K190)/1000</f>
        <v>10494.4282070358</v>
      </c>
    </row>
    <row r="191" customFormat="false" ht="15" hidden="false" customHeight="false" outlineLevel="0" collapsed="false">
      <c r="E191" s="54" t="n">
        <v>187</v>
      </c>
      <c r="F191" s="61" t="n">
        <v>0.540871</v>
      </c>
      <c r="G191" s="61" t="n">
        <v>0.354192</v>
      </c>
      <c r="H191" s="34" t="n">
        <f aca="false">NORMSINV(F191)</f>
        <v>0.102628276409069</v>
      </c>
      <c r="I191" s="34" t="n">
        <f aca="false">NORMSINV(G191)</f>
        <v>-0.37402730724744</v>
      </c>
      <c r="J191" s="59" t="n">
        <f aca="false">mc_s0*EXP((mc_mu-mc_vol^2/2)*mc_t1+mc_vol*SQRT(mc_t1)*H191)</f>
        <v>1157.5593106008</v>
      </c>
      <c r="K191" s="59" t="n">
        <f aca="false">J191*EXP((mc_mu-mc_vol^2/2)*(mc_t2-mc_t1)+mc_vol*SQRT(mc_t2-mc_t1)*I191)</f>
        <v>1111.28420376192</v>
      </c>
      <c r="L191" s="31" t="n">
        <f aca="false">(t1_usd*J191+t2_usd*K191)/1000</f>
        <v>10214.3551613533</v>
      </c>
    </row>
    <row r="192" customFormat="false" ht="15" hidden="false" customHeight="false" outlineLevel="0" collapsed="false">
      <c r="E192" s="54" t="n">
        <v>188</v>
      </c>
      <c r="F192" s="61" t="n">
        <v>0.378898</v>
      </c>
      <c r="G192" s="61" t="n">
        <v>0.429826</v>
      </c>
      <c r="H192" s="34" t="n">
        <f aca="false">NORMSINV(F192)</f>
        <v>-0.308376317984052</v>
      </c>
      <c r="I192" s="34" t="n">
        <f aca="false">NORMSINV(G192)</f>
        <v>-0.176817172349747</v>
      </c>
      <c r="J192" s="59" t="n">
        <f aca="false">mc_s0*EXP((mc_mu-mc_vol^2/2)*mc_t1+mc_vol*SQRT(mc_t1)*H192)</f>
        <v>1112.99380708709</v>
      </c>
      <c r="K192" s="59" t="n">
        <f aca="false">J192*EXP((mc_mu-mc_vol^2/2)*(mc_t2-mc_t1)+mc_vol*SQRT(mc_t2-mc_t1)*I192)</f>
        <v>1102.22958643143</v>
      </c>
      <c r="L192" s="31" t="n">
        <f aca="false">(t1_usd*J192+t2_usd*K192)/1000</f>
        <v>9885.19286382932</v>
      </c>
    </row>
    <row r="193" customFormat="false" ht="15" hidden="false" customHeight="false" outlineLevel="0" collapsed="false">
      <c r="E193" s="54" t="n">
        <v>189</v>
      </c>
      <c r="F193" s="61" t="n">
        <v>0.247046</v>
      </c>
      <c r="G193" s="61" t="n">
        <v>0.510462</v>
      </c>
      <c r="H193" s="34" t="n">
        <f aca="false">NORMSINV(F193)</f>
        <v>-0.683814989615161</v>
      </c>
      <c r="I193" s="34" t="n">
        <f aca="false">NORMSINV(G193)</f>
        <v>0.0262273515510342</v>
      </c>
      <c r="J193" s="59" t="n">
        <f aca="false">mc_s0*EXP((mc_mu-mc_vol^2/2)*mc_t1+mc_vol*SQRT(mc_t1)*H193)</f>
        <v>1073.78589208689</v>
      </c>
      <c r="K193" s="59" t="n">
        <f aca="false">J193*EXP((mc_mu-mc_vol^2/2)*(mc_t2-mc_t1)+mc_vol*SQRT(mc_t2-mc_t1)*I193)</f>
        <v>1097.9782935143</v>
      </c>
      <c r="L193" s="31" t="n">
        <f aca="false">(t1_usd*J193+t2_usd*K193)/1000</f>
        <v>9602.66000228542</v>
      </c>
    </row>
    <row r="194" customFormat="false" ht="15" hidden="false" customHeight="false" outlineLevel="0" collapsed="false">
      <c r="E194" s="54" t="n">
        <v>190</v>
      </c>
      <c r="F194" s="61" t="n">
        <v>0.516859</v>
      </c>
      <c r="G194" s="61" t="n">
        <v>0.449576</v>
      </c>
      <c r="H194" s="34" t="n">
        <f aca="false">NORMSINV(F194)</f>
        <v>0.0422718320192653</v>
      </c>
      <c r="I194" s="34" t="n">
        <f aca="false">NORMSINV(G194)</f>
        <v>-0.126732654068901</v>
      </c>
      <c r="J194" s="59" t="n">
        <f aca="false">mc_s0*EXP((mc_mu-mc_vol^2/2)*mc_t1+mc_vol*SQRT(mc_t1)*H194)</f>
        <v>1150.90471285254</v>
      </c>
      <c r="K194" s="59" t="n">
        <f aca="false">J194*EXP((mc_mu-mc_vol^2/2)*(mc_t2-mc_t1)+mc_vol*SQRT(mc_t2-mc_t1)*I194)</f>
        <v>1148.80564881055</v>
      </c>
      <c r="L194" s="31" t="n">
        <f aca="false">(t1_usd*J194+t2_usd*K194)/1000</f>
        <v>10239.0637227078</v>
      </c>
    </row>
    <row r="195" customFormat="false" ht="15" hidden="false" customHeight="false" outlineLevel="0" collapsed="false">
      <c r="E195" s="54" t="n">
        <v>191</v>
      </c>
      <c r="F195" s="61" t="n">
        <v>0.27445</v>
      </c>
      <c r="G195" s="61" t="n">
        <v>0.181012</v>
      </c>
      <c r="H195" s="34" t="n">
        <f aca="false">NORMSINV(F195)</f>
        <v>-0.599409265191796</v>
      </c>
      <c r="I195" s="34" t="n">
        <f aca="false">NORMSINV(G195)</f>
        <v>-0.911515162957875</v>
      </c>
      <c r="J195" s="59" t="n">
        <f aca="false">mc_s0*EXP((mc_mu-mc_vol^2/2)*mc_t1+mc_vol*SQRT(mc_t1)*H195)</f>
        <v>1082.47845423727</v>
      </c>
      <c r="K195" s="59" t="n">
        <f aca="false">J195*EXP((mc_mu-mc_vol^2/2)*(mc_t2-mc_t1)+mc_vol*SQRT(mc_t2-mc_t1)*I195)</f>
        <v>954.804556099099</v>
      </c>
      <c r="L195" s="31" t="n">
        <f aca="false">(t1_usd*J195+t2_usd*K195)/1000</f>
        <v>9391.47783624915</v>
      </c>
    </row>
    <row r="196" customFormat="false" ht="15" hidden="false" customHeight="false" outlineLevel="0" collapsed="false">
      <c r="E196" s="54" t="n">
        <v>192</v>
      </c>
      <c r="F196" s="61" t="n">
        <v>0.606803</v>
      </c>
      <c r="G196" s="61" t="n">
        <v>0.606993</v>
      </c>
      <c r="H196" s="34" t="n">
        <f aca="false">NORMSINV(F196)</f>
        <v>0.270996141369388</v>
      </c>
      <c r="I196" s="34" t="n">
        <f aca="false">NORMSINV(G196)</f>
        <v>0.271490246865844</v>
      </c>
      <c r="J196" s="59" t="n">
        <f aca="false">mc_s0*EXP((mc_mu-mc_vol^2/2)*mc_t1+mc_vol*SQRT(mc_t1)*H196)</f>
        <v>1176.32678159165</v>
      </c>
      <c r="K196" s="59" t="n">
        <f aca="false">J196*EXP((mc_mu-mc_vol^2/2)*(mc_t2-mc_t1)+mc_vol*SQRT(mc_t2-mc_t1)*I196)</f>
        <v>1250.23108704721</v>
      </c>
      <c r="L196" s="31" t="n">
        <f aca="false">(t1_usd*J196+t2_usd*K196)/1000</f>
        <v>10609.7265365312</v>
      </c>
    </row>
    <row r="197" customFormat="false" ht="15" hidden="false" customHeight="false" outlineLevel="0" collapsed="false">
      <c r="E197" s="54" t="n">
        <v>193</v>
      </c>
      <c r="F197" s="61" t="n">
        <v>0.268041</v>
      </c>
      <c r="G197" s="61" t="n">
        <v>0.599202</v>
      </c>
      <c r="H197" s="34" t="n">
        <f aca="false">NORMSINV(F197)</f>
        <v>-0.618748581839124</v>
      </c>
      <c r="I197" s="34" t="n">
        <f aca="false">NORMSINV(G197)</f>
        <v>0.251282117336981</v>
      </c>
      <c r="J197" s="59" t="n">
        <f aca="false">mc_s0*EXP((mc_mu-mc_vol^2/2)*mc_t1+mc_vol*SQRT(mc_t1)*H197)</f>
        <v>1080.48059194127</v>
      </c>
      <c r="K197" s="59" t="n">
        <f aca="false">J197*EXP((mc_mu-mc_vol^2/2)*(mc_t2-mc_t1)+mc_vol*SQRT(mc_t2-mc_t1)*I197)</f>
        <v>1144.71189859569</v>
      </c>
      <c r="L197" s="31" t="n">
        <f aca="false">(t1_usd*J197+t2_usd*K197)/1000</f>
        <v>9738.31675092069</v>
      </c>
    </row>
    <row r="198" customFormat="false" ht="15" hidden="false" customHeight="false" outlineLevel="0" collapsed="false">
      <c r="E198" s="54" t="n">
        <v>194</v>
      </c>
      <c r="F198" s="61" t="n">
        <v>0.850193</v>
      </c>
      <c r="G198" s="61" t="n">
        <v>0.379001</v>
      </c>
      <c r="H198" s="34" t="n">
        <f aca="false">NORMSINV(F198)</f>
        <v>1.03726150697962</v>
      </c>
      <c r="I198" s="34" t="n">
        <f aca="false">NORMSINV(G198)</f>
        <v>-0.308105573973327</v>
      </c>
      <c r="J198" s="59" t="n">
        <f aca="false">mc_s0*EXP((mc_mu-mc_vol^2/2)*mc_t1+mc_vol*SQRT(mc_t1)*H198)</f>
        <v>1265.65827923716</v>
      </c>
      <c r="K198" s="59" t="n">
        <f aca="false">J198*EXP((mc_mu-mc_vol^2/2)*(mc_t2-mc_t1)+mc_vol*SQRT(mc_t2-mc_t1)*I198)</f>
        <v>1227.75061088597</v>
      </c>
      <c r="L198" s="31" t="n">
        <f aca="false">(t1_usd*J198+t2_usd*K198)/1000</f>
        <v>11192.3341153435</v>
      </c>
    </row>
    <row r="199" customFormat="false" ht="15" hidden="false" customHeight="false" outlineLevel="0" collapsed="false">
      <c r="E199" s="54" t="n">
        <v>195</v>
      </c>
      <c r="F199" s="61" t="n">
        <v>0.26801</v>
      </c>
      <c r="G199" s="61" t="n">
        <v>0.910336</v>
      </c>
      <c r="H199" s="34" t="n">
        <f aca="false">NORMSINV(F199)</f>
        <v>-0.618842683881958</v>
      </c>
      <c r="I199" s="34" t="n">
        <f aca="false">NORMSINV(G199)</f>
        <v>1.34282699537921</v>
      </c>
      <c r="J199" s="59" t="n">
        <f aca="false">mc_s0*EXP((mc_mu-mc_vol^2/2)*mc_t1+mc_vol*SQRT(mc_t1)*H199)</f>
        <v>1080.47087968084</v>
      </c>
      <c r="K199" s="59" t="n">
        <f aca="false">J199*EXP((mc_mu-mc_vol^2/2)*(mc_t2-mc_t1)+mc_vol*SQRT(mc_t2-mc_t1)*I199)</f>
        <v>1359.56398480922</v>
      </c>
      <c r="L199" s="31" t="n">
        <f aca="false">(t1_usd*J199+t2_usd*K199)/1000</f>
        <v>10146.4677289034</v>
      </c>
    </row>
    <row r="200" customFormat="false" ht="15" hidden="false" customHeight="false" outlineLevel="0" collapsed="false">
      <c r="E200" s="54" t="n">
        <v>196</v>
      </c>
      <c r="F200" s="61" t="n">
        <v>0.601533</v>
      </c>
      <c r="G200" s="61" t="n">
        <v>0.977859</v>
      </c>
      <c r="H200" s="34" t="n">
        <f aca="false">NORMSINV(F200)</f>
        <v>0.257317090797665</v>
      </c>
      <c r="I200" s="34" t="n">
        <f aca="false">NORMSINV(G200)</f>
        <v>2.01141159141628</v>
      </c>
      <c r="J200" s="59" t="n">
        <f aca="false">mc_s0*EXP((mc_mu-mc_vol^2/2)*mc_t1+mc_vol*SQRT(mc_t1)*H200)</f>
        <v>1174.79072759469</v>
      </c>
      <c r="K200" s="59" t="n">
        <f aca="false">J200*EXP((mc_mu-mc_vol^2/2)*(mc_t2-mc_t1)+mc_vol*SQRT(mc_t2-mc_t1)*I200)</f>
        <v>1642.50335848288</v>
      </c>
      <c r="L200" s="31" t="n">
        <f aca="false">(t1_usd*J200+t2_usd*K200)/1000</f>
        <v>11344.2914742803</v>
      </c>
    </row>
    <row r="201" customFormat="false" ht="15" hidden="false" customHeight="false" outlineLevel="0" collapsed="false">
      <c r="E201" s="54" t="n">
        <v>197</v>
      </c>
      <c r="F201" s="61" t="n">
        <v>0.874629</v>
      </c>
      <c r="G201" s="61" t="n">
        <v>0.916434</v>
      </c>
      <c r="H201" s="34" t="n">
        <f aca="false">NORMSINV(F201)</f>
        <v>1.14854899274966</v>
      </c>
      <c r="I201" s="34" t="n">
        <f aca="false">NORMSINV(G201)</f>
        <v>1.38147812248253</v>
      </c>
      <c r="J201" s="59" t="n">
        <f aca="false">mc_s0*EXP((mc_mu-mc_vol^2/2)*mc_t1+mc_vol*SQRT(mc_t1)*H201)</f>
        <v>1279.18459331048</v>
      </c>
      <c r="K201" s="59" t="n">
        <f aca="false">J201*EXP((mc_mu-mc_vol^2/2)*(mc_t2-mc_t1)+mc_vol*SQRT(mc_t2-mc_t1)*I201)</f>
        <v>1619.44111074718</v>
      </c>
      <c r="L201" s="31" t="n">
        <f aca="false">(t1_usd*J201+t2_usd*K201)/1000</f>
        <v>12031.230263593</v>
      </c>
    </row>
    <row r="202" customFormat="false" ht="15" hidden="false" customHeight="false" outlineLevel="0" collapsed="false">
      <c r="E202" s="54" t="n">
        <v>198</v>
      </c>
      <c r="F202" s="61" t="n">
        <v>0.910158</v>
      </c>
      <c r="G202" s="61" t="n">
        <v>0.85717</v>
      </c>
      <c r="H202" s="34" t="n">
        <f aca="false">NORMSINV(F202)</f>
        <v>1.34172863156758</v>
      </c>
      <c r="I202" s="34" t="n">
        <f aca="false">NORMSINV(G202)</f>
        <v>1.0676908216478</v>
      </c>
      <c r="J202" s="59" t="n">
        <f aca="false">mc_s0*EXP((mc_mu-mc_vol^2/2)*mc_t1+mc_vol*SQRT(mc_t1)*H202)</f>
        <v>1303.00855623803</v>
      </c>
      <c r="K202" s="59" t="n">
        <f aca="false">J202*EXP((mc_mu-mc_vol^2/2)*(mc_t2-mc_t1)+mc_vol*SQRT(mc_t2-mc_t1)*I202)</f>
        <v>1570.01218106623</v>
      </c>
      <c r="L202" s="31" t="n">
        <f aca="false">(t1_usd*J202+t2_usd*K202)/1000</f>
        <v>12104.083037692</v>
      </c>
    </row>
    <row r="203" customFormat="false" ht="15" hidden="false" customHeight="false" outlineLevel="0" collapsed="false">
      <c r="E203" s="54" t="n">
        <v>199</v>
      </c>
      <c r="F203" s="61" t="n">
        <v>0.691974</v>
      </c>
      <c r="G203" s="61" t="n">
        <v>0.169005</v>
      </c>
      <c r="H203" s="34" t="n">
        <f aca="false">NORMSINV(F203)</f>
        <v>0.501453493909666</v>
      </c>
      <c r="I203" s="34" t="n">
        <f aca="false">NORMSINV(G203)</f>
        <v>-0.958104632005944</v>
      </c>
      <c r="J203" s="59" t="n">
        <f aca="false">mc_s0*EXP((mc_mu-mc_vol^2/2)*mc_t1+mc_vol*SQRT(mc_t1)*H203)</f>
        <v>1202.50944529461</v>
      </c>
      <c r="K203" s="59" t="n">
        <f aca="false">J203*EXP((mc_mu-mc_vol^2/2)*(mc_t2-mc_t1)+mc_vol*SQRT(mc_t2-mc_t1)*I203)</f>
        <v>1052.91920779782</v>
      </c>
      <c r="L203" s="31" t="n">
        <f aca="false">(t1_usd*J203+t2_usd*K203)/1000</f>
        <v>10418.1126118781</v>
      </c>
    </row>
    <row r="204" customFormat="false" ht="15" hidden="false" customHeight="false" outlineLevel="0" collapsed="false">
      <c r="E204" s="54" t="n">
        <v>200</v>
      </c>
      <c r="F204" s="61" t="n">
        <v>0.51231</v>
      </c>
      <c r="G204" s="61" t="n">
        <v>0.453932</v>
      </c>
      <c r="H204" s="34" t="n">
        <f aca="false">NORMSINV(F204)</f>
        <v>0.0308614922715237</v>
      </c>
      <c r="I204" s="34" t="n">
        <f aca="false">NORMSINV(G204)</f>
        <v>-0.11573319147913</v>
      </c>
      <c r="J204" s="59" t="n">
        <f aca="false">mc_s0*EXP((mc_mu-mc_vol^2/2)*mc_t1+mc_vol*SQRT(mc_t1)*H204)</f>
        <v>1149.65097269545</v>
      </c>
      <c r="K204" s="59" t="n">
        <f aca="false">J204*EXP((mc_mu-mc_vol^2/2)*(mc_t2-mc_t1)+mc_vol*SQRT(mc_t2-mc_t1)*I204)</f>
        <v>1149.545137281</v>
      </c>
      <c r="L204" s="31" t="n">
        <f aca="false">(t1_usd*J204+t2_usd*K204)/1000</f>
        <v>10231.692569702</v>
      </c>
    </row>
    <row r="205" customFormat="false" ht="15" hidden="false" customHeight="false" outlineLevel="0" collapsed="false">
      <c r="E205" s="54" t="n">
        <v>201</v>
      </c>
      <c r="F205" s="61" t="n">
        <v>0.009728</v>
      </c>
      <c r="G205" s="61" t="n">
        <v>0.979157</v>
      </c>
      <c r="H205" s="34" t="n">
        <f aca="false">NORMSINV(F205)</f>
        <v>-2.33667671830724</v>
      </c>
      <c r="I205" s="34" t="n">
        <f aca="false">NORMSINV(G205)</f>
        <v>2.03664130876493</v>
      </c>
      <c r="J205" s="59" t="n">
        <f aca="false">mc_s0*EXP((mc_mu-mc_vol^2/2)*mc_t1+mc_vol*SQRT(mc_t1)*H205)</f>
        <v>916.956659922819</v>
      </c>
      <c r="K205" s="59" t="n">
        <f aca="false">J205*EXP((mc_mu-mc_vol^2/2)*(mc_t2-mc_t1)+mc_vol*SQRT(mc_t2-mc_t1)*I205)</f>
        <v>1287.12680286589</v>
      </c>
      <c r="L205" s="31" t="n">
        <f aca="false">(t1_usd*J205+t2_usd*K205)/1000</f>
        <v>8864.23754490493</v>
      </c>
    </row>
    <row r="206" customFormat="false" ht="15" hidden="false" customHeight="false" outlineLevel="0" collapsed="false">
      <c r="E206" s="54" t="n">
        <v>202</v>
      </c>
      <c r="F206" s="61" t="n">
        <v>0.470227</v>
      </c>
      <c r="G206" s="61" t="n">
        <v>0.402624</v>
      </c>
      <c r="H206" s="34" t="n">
        <f aca="false">NORMSINV(F206)</f>
        <v>-0.0746992555564778</v>
      </c>
      <c r="I206" s="34" t="n">
        <f aca="false">NORMSINV(G206)</f>
        <v>-0.246560987438763</v>
      </c>
      <c r="J206" s="59" t="n">
        <f aca="false">mc_s0*EXP((mc_mu-mc_vol^2/2)*mc_t1+mc_vol*SQRT(mc_t1)*H206)</f>
        <v>1138.11678624847</v>
      </c>
      <c r="K206" s="59" t="n">
        <f aca="false">J206*EXP((mc_mu-mc_vol^2/2)*(mc_t2-mc_t1)+mc_vol*SQRT(mc_t2-mc_t1)*I206)</f>
        <v>1114.78919100593</v>
      </c>
      <c r="L206" s="31" t="n">
        <f aca="false">(t1_usd*J206+t2_usd*K206)/1000</f>
        <v>10084.9169666506</v>
      </c>
    </row>
    <row r="207" customFormat="false" ht="15" hidden="false" customHeight="false" outlineLevel="0" collapsed="false">
      <c r="E207" s="54" t="n">
        <v>203</v>
      </c>
      <c r="F207" s="61" t="n">
        <v>0.563428</v>
      </c>
      <c r="G207" s="61" t="n">
        <v>0.877077</v>
      </c>
      <c r="H207" s="34" t="n">
        <f aca="false">NORMSINV(F207)</f>
        <v>0.159666235228525</v>
      </c>
      <c r="I207" s="34" t="n">
        <f aca="false">NORMSINV(G207)</f>
        <v>1.16049826433871</v>
      </c>
      <c r="J207" s="59" t="n">
        <f aca="false">mc_s0*EXP((mc_mu-mc_vol^2/2)*mc_t1+mc_vol*SQRT(mc_t1)*H207)</f>
        <v>1163.88338721507</v>
      </c>
      <c r="K207" s="59" t="n">
        <f aca="false">J207*EXP((mc_mu-mc_vol^2/2)*(mc_t2-mc_t1)+mc_vol*SQRT(mc_t2-mc_t1)*I207)</f>
        <v>1423.04009709677</v>
      </c>
      <c r="L207" s="31" t="n">
        <f aca="false">(t1_usd*J207+t2_usd*K207)/1000</f>
        <v>10850.9598949894</v>
      </c>
    </row>
    <row r="208" customFormat="false" ht="15" hidden="false" customHeight="false" outlineLevel="0" collapsed="false">
      <c r="E208" s="54" t="n">
        <v>204</v>
      </c>
      <c r="F208" s="61" t="n">
        <v>0.338779</v>
      </c>
      <c r="G208" s="61" t="n">
        <v>0.90148</v>
      </c>
      <c r="H208" s="34" t="n">
        <f aca="false">NORMSINV(F208)</f>
        <v>-0.41579775742595</v>
      </c>
      <c r="I208" s="34" t="n">
        <f aca="false">NORMSINV(G208)</f>
        <v>1.29003069750165</v>
      </c>
      <c r="J208" s="59" t="n">
        <f aca="false">mc_s0*EXP((mc_mu-mc_vol^2/2)*mc_t1+mc_vol*SQRT(mc_t1)*H208)</f>
        <v>1101.63157427916</v>
      </c>
      <c r="K208" s="59" t="n">
        <f aca="false">J208*EXP((mc_mu-mc_vol^2/2)*(mc_t2-mc_t1)+mc_vol*SQRT(mc_t2-mc_t1)*I208)</f>
        <v>1374.70490817782</v>
      </c>
      <c r="L208" s="31" t="n">
        <f aca="false">(t1_usd*J208+t2_usd*K208)/1000</f>
        <v>10323.360345492</v>
      </c>
    </row>
    <row r="209" customFormat="false" ht="15" hidden="false" customHeight="false" outlineLevel="0" collapsed="false">
      <c r="E209" s="54" t="n">
        <v>205</v>
      </c>
      <c r="F209" s="61" t="n">
        <v>0.440808</v>
      </c>
      <c r="G209" s="61" t="n">
        <v>0.891321</v>
      </c>
      <c r="H209" s="34" t="n">
        <f aca="false">NORMSINV(F209)</f>
        <v>-0.148920962468572</v>
      </c>
      <c r="I209" s="34" t="n">
        <f aca="false">NORMSINV(G209)</f>
        <v>1.23358388763076</v>
      </c>
      <c r="J209" s="59" t="n">
        <f aca="false">mc_s0*EXP((mc_mu-mc_vol^2/2)*mc_t1+mc_vol*SQRT(mc_t1)*H209)</f>
        <v>1130.07624315909</v>
      </c>
      <c r="K209" s="59" t="n">
        <f aca="false">J209*EXP((mc_mu-mc_vol^2/2)*(mc_t2-mc_t1)+mc_vol*SQRT(mc_t2-mc_t1)*I209)</f>
        <v>1397.71146962798</v>
      </c>
      <c r="L209" s="31" t="n">
        <f aca="false">(t1_usd*J209+t2_usd*K209)/1000</f>
        <v>10566.1854944068</v>
      </c>
    </row>
    <row r="210" customFormat="false" ht="15" hidden="false" customHeight="false" outlineLevel="0" collapsed="false">
      <c r="E210" s="54" t="n">
        <v>206</v>
      </c>
      <c r="F210" s="61" t="n">
        <v>0.364156</v>
      </c>
      <c r="G210" s="61" t="n">
        <v>0.282651</v>
      </c>
      <c r="H210" s="34" t="n">
        <f aca="false">NORMSINV(F210)</f>
        <v>-0.347371821561303</v>
      </c>
      <c r="I210" s="34" t="n">
        <f aca="false">NORMSINV(G210)</f>
        <v>-0.574984174478812</v>
      </c>
      <c r="J210" s="59" t="n">
        <f aca="false">mc_s0*EXP((mc_mu-mc_vol^2/2)*mc_t1+mc_vol*SQRT(mc_t1)*H210)</f>
        <v>1108.85566957815</v>
      </c>
      <c r="K210" s="59" t="n">
        <f aca="false">J210*EXP((mc_mu-mc_vol^2/2)*(mc_t2-mc_t1)+mc_vol*SQRT(mc_t2-mc_t1)*I210)</f>
        <v>1031.34281868955</v>
      </c>
      <c r="L210" s="31" t="n">
        <f aca="false">(t1_usd*J210+t2_usd*K210)/1000</f>
        <v>9721.54104255723</v>
      </c>
    </row>
    <row r="211" customFormat="false" ht="15" hidden="false" customHeight="false" outlineLevel="0" collapsed="false">
      <c r="E211" s="54" t="n">
        <v>207</v>
      </c>
      <c r="F211" s="61" t="n">
        <v>0.114954</v>
      </c>
      <c r="G211" s="61" t="n">
        <v>0.328577</v>
      </c>
      <c r="H211" s="34" t="n">
        <f aca="false">NORMSINV(F211)</f>
        <v>-1.20059588001228</v>
      </c>
      <c r="I211" s="34" t="n">
        <f aca="false">NORMSINV(G211)</f>
        <v>-0.443845900748988</v>
      </c>
      <c r="J211" s="59" t="n">
        <f aca="false">mc_s0*EXP((mc_mu-mc_vol^2/2)*mc_t1+mc_vol*SQRT(mc_t1)*H211)</f>
        <v>1022.06629065209</v>
      </c>
      <c r="K211" s="59" t="n">
        <f aca="false">J211*EXP((mc_mu-mc_vol^2/2)*(mc_t2-mc_t1)+mc_vol*SQRT(mc_t2-mc_t1)*I211)</f>
        <v>970.470725477386</v>
      </c>
      <c r="L211" s="31" t="n">
        <f aca="false">(t1_usd*J211+t2_usd*K211)/1000</f>
        <v>8998.35841297164</v>
      </c>
    </row>
    <row r="212" customFormat="false" ht="15" hidden="false" customHeight="false" outlineLevel="0" collapsed="false">
      <c r="E212" s="54" t="n">
        <v>208</v>
      </c>
      <c r="F212" s="61" t="n">
        <v>0.847753</v>
      </c>
      <c r="G212" s="61" t="n">
        <v>0.25996</v>
      </c>
      <c r="H212" s="34" t="n">
        <f aca="false">NORMSINV(F212)</f>
        <v>1.026843844917</v>
      </c>
      <c r="I212" s="34" t="n">
        <f aca="false">NORMSINV(G212)</f>
        <v>-0.6434687280704</v>
      </c>
      <c r="J212" s="59" t="n">
        <f aca="false">mc_s0*EXP((mc_mu-mc_vol^2/2)*mc_t1+mc_vol*SQRT(mc_t1)*H212)</f>
        <v>1264.39942076</v>
      </c>
      <c r="K212" s="59" t="n">
        <f aca="false">J212*EXP((mc_mu-mc_vol^2/2)*(mc_t2-mc_t1)+mc_vol*SQRT(mc_t2-mc_t1)*I212)</f>
        <v>1163.38940871898</v>
      </c>
      <c r="L212" s="31" t="n">
        <f aca="false">(t1_usd*J212+t2_usd*K212)/1000</f>
        <v>11061.2358218861</v>
      </c>
    </row>
    <row r="213" customFormat="false" ht="15" hidden="false" customHeight="false" outlineLevel="0" collapsed="false">
      <c r="E213" s="54" t="n">
        <v>209</v>
      </c>
      <c r="F213" s="61" t="n">
        <v>0.062771</v>
      </c>
      <c r="G213" s="61" t="n">
        <v>0.783514</v>
      </c>
      <c r="H213" s="34" t="n">
        <f aca="false">NORMSINV(F213)</f>
        <v>-1.5319207190891</v>
      </c>
      <c r="I213" s="34" t="n">
        <f aca="false">NORMSINV(G213)</f>
        <v>0.784116081602021</v>
      </c>
      <c r="J213" s="59" t="n">
        <f aca="false">mc_s0*EXP((mc_mu-mc_vol^2/2)*mc_t1+mc_vol*SQRT(mc_t1)*H213)</f>
        <v>990.225419725301</v>
      </c>
      <c r="K213" s="59" t="n">
        <f aca="false">J213*EXP((mc_mu-mc_vol^2/2)*(mc_t2-mc_t1)+mc_vol*SQRT(mc_t2-mc_t1)*I213)</f>
        <v>1140.98896295706</v>
      </c>
      <c r="L213" s="31" t="n">
        <f aca="false">(t1_usd*J213+t2_usd*K213)/1000</f>
        <v>9099.45696769553</v>
      </c>
    </row>
    <row r="214" customFormat="false" ht="15" hidden="false" customHeight="false" outlineLevel="0" collapsed="false">
      <c r="E214" s="54" t="n">
        <v>210</v>
      </c>
      <c r="F214" s="61" t="n">
        <v>0.479342</v>
      </c>
      <c r="G214" s="61" t="n">
        <v>0.857759</v>
      </c>
      <c r="H214" s="34" t="n">
        <f aca="false">NORMSINV(F214)</f>
        <v>-0.0518050897064705</v>
      </c>
      <c r="I214" s="34" t="n">
        <f aca="false">NORMSINV(G214)</f>
        <v>1.07030509901213</v>
      </c>
      <c r="J214" s="59" t="n">
        <f aca="false">mc_s0*EXP((mc_mu-mc_vol^2/2)*mc_t1+mc_vol*SQRT(mc_t1)*H214)</f>
        <v>1140.60846971774</v>
      </c>
      <c r="K214" s="59" t="n">
        <f aca="false">J214*EXP((mc_mu-mc_vol^2/2)*(mc_t2-mc_t1)+mc_vol*SQRT(mc_t2-mc_t1)*I214)</f>
        <v>1374.90050843237</v>
      </c>
      <c r="L214" s="31" t="n">
        <f aca="false">(t1_usd*J214+t2_usd*K214)/1000</f>
        <v>10596.5702540457</v>
      </c>
    </row>
    <row r="215" customFormat="false" ht="15" hidden="false" customHeight="false" outlineLevel="0" collapsed="false">
      <c r="E215" s="54" t="n">
        <v>211</v>
      </c>
      <c r="F215" s="61" t="n">
        <v>0.266639</v>
      </c>
      <c r="G215" s="61" t="n">
        <v>0.811262</v>
      </c>
      <c r="H215" s="34" t="n">
        <f aca="false">NORMSINV(F215)</f>
        <v>-0.623009924589806</v>
      </c>
      <c r="I215" s="34" t="n">
        <f aca="false">NORMSINV(G215)</f>
        <v>0.882556389462678</v>
      </c>
      <c r="J215" s="59" t="n">
        <f aca="false">mc_s0*EXP((mc_mu-mc_vol^2/2)*mc_t1+mc_vol*SQRT(mc_t1)*H215)</f>
        <v>1080.04086679828</v>
      </c>
      <c r="K215" s="59" t="n">
        <f aca="false">J215*EXP((mc_mu-mc_vol^2/2)*(mc_t2-mc_t1)+mc_vol*SQRT(mc_t2-mc_t1)*I215)</f>
        <v>1263.93575270613</v>
      </c>
      <c r="L215" s="31" t="n">
        <f aca="false">(t1_usd*J215+t2_usd*K215)/1000</f>
        <v>9961.7639977296</v>
      </c>
    </row>
    <row r="216" customFormat="false" ht="15" hidden="false" customHeight="false" outlineLevel="0" collapsed="false">
      <c r="E216" s="54" t="n">
        <v>212</v>
      </c>
      <c r="F216" s="61" t="n">
        <v>0.561711</v>
      </c>
      <c r="G216" s="61" t="n">
        <v>0.438053</v>
      </c>
      <c r="H216" s="34" t="n">
        <f aca="false">NORMSINV(F216)</f>
        <v>0.155308645745337</v>
      </c>
      <c r="I216" s="34" t="n">
        <f aca="false">NORMSINV(G216)</f>
        <v>-0.15590741558446</v>
      </c>
      <c r="J216" s="59" t="n">
        <f aca="false">mc_s0*EXP((mc_mu-mc_vol^2/2)*mc_t1+mc_vol*SQRT(mc_t1)*H216)</f>
        <v>1163.39902344752</v>
      </c>
      <c r="K216" s="59" t="n">
        <f aca="false">J216*EXP((mc_mu-mc_vol^2/2)*(mc_t2-mc_t1)+mc_vol*SQRT(mc_t2-mc_t1)*I216)</f>
        <v>1155.9501721253</v>
      </c>
      <c r="L216" s="31" t="n">
        <f aca="false">(t1_usd*J216+t2_usd*K216)/1000</f>
        <v>10340.0984911707</v>
      </c>
    </row>
    <row r="217" customFormat="false" ht="15" hidden="false" customHeight="false" outlineLevel="0" collapsed="false">
      <c r="E217" s="54" t="n">
        <v>213</v>
      </c>
      <c r="F217" s="61" t="n">
        <v>0.573329</v>
      </c>
      <c r="G217" s="61" t="n">
        <v>0.408608</v>
      </c>
      <c r="H217" s="34" t="n">
        <f aca="false">NORMSINV(F217)</f>
        <v>0.184855978370135</v>
      </c>
      <c r="I217" s="34" t="n">
        <f aca="false">NORMSINV(G217)</f>
        <v>-0.23112718016349</v>
      </c>
      <c r="J217" s="59" t="n">
        <f aca="false">mc_s0*EXP((mc_mu-mc_vol^2/2)*mc_t1+mc_vol*SQRT(mc_t1)*H217)</f>
        <v>1166.68728424106</v>
      </c>
      <c r="K217" s="59" t="n">
        <f aca="false">J217*EXP((mc_mu-mc_vol^2/2)*(mc_t2-mc_t1)+mc_vol*SQRT(mc_t2-mc_t1)*I217)</f>
        <v>1145.55699937512</v>
      </c>
      <c r="L217" s="31" t="n">
        <f aca="false">(t1_usd*J217+t2_usd*K217)/1000</f>
        <v>10343.3692885002</v>
      </c>
    </row>
    <row r="218" customFormat="false" ht="15" hidden="false" customHeight="false" outlineLevel="0" collapsed="false">
      <c r="E218" s="54" t="n">
        <v>214</v>
      </c>
      <c r="F218" s="61" t="n">
        <v>0.117028</v>
      </c>
      <c r="G218" s="61" t="n">
        <v>0.307765</v>
      </c>
      <c r="H218" s="34" t="n">
        <f aca="false">NORMSINV(F218)</f>
        <v>-1.18997555518611</v>
      </c>
      <c r="I218" s="34" t="n">
        <f aca="false">NORMSINV(G218)</f>
        <v>-0.502195511443531</v>
      </c>
      <c r="J218" s="59" t="n">
        <f aca="false">mc_s0*EXP((mc_mu-mc_vol^2/2)*mc_t1+mc_vol*SQRT(mc_t1)*H218)</f>
        <v>1023.10368391801</v>
      </c>
      <c r="K218" s="59" t="n">
        <f aca="false">J218*EXP((mc_mu-mc_vol^2/2)*(mc_t2-mc_t1)+mc_vol*SQRT(mc_t2-mc_t1)*I218)</f>
        <v>962.563672545358</v>
      </c>
      <c r="L218" s="31" t="n">
        <f aca="false">(t1_usd*J218+t2_usd*K218)/1000</f>
        <v>8990.59676526226</v>
      </c>
    </row>
    <row r="219" customFormat="false" ht="15" hidden="false" customHeight="false" outlineLevel="0" collapsed="false">
      <c r="E219" s="54" t="n">
        <v>215</v>
      </c>
      <c r="F219" s="61" t="n">
        <v>0.232786</v>
      </c>
      <c r="G219" s="61" t="n">
        <v>0.971766</v>
      </c>
      <c r="H219" s="34" t="n">
        <f aca="false">NORMSINV(F219)</f>
        <v>-0.729702586125345</v>
      </c>
      <c r="I219" s="34" t="n">
        <f aca="false">NORMSINV(G219)</f>
        <v>1.9074062551962</v>
      </c>
      <c r="J219" s="59" t="n">
        <f aca="false">mc_s0*EXP((mc_mu-mc_vol^2/2)*mc_t1+mc_vol*SQRT(mc_t1)*H219)</f>
        <v>1069.08946289068</v>
      </c>
      <c r="K219" s="59" t="n">
        <f aca="false">J219*EXP((mc_mu-mc_vol^2/2)*(mc_t2-mc_t1)+mc_vol*SQRT(mc_t2-mc_t1)*I219)</f>
        <v>1470.42029047987</v>
      </c>
      <c r="L219" s="31" t="n">
        <f aca="false">(t1_usd*J219+t2_usd*K219)/1000</f>
        <v>10277.4247921465</v>
      </c>
    </row>
    <row r="220" customFormat="false" ht="15" hidden="false" customHeight="false" outlineLevel="0" collapsed="false">
      <c r="E220" s="54" t="n">
        <v>216</v>
      </c>
      <c r="F220" s="61" t="n">
        <v>0.557917</v>
      </c>
      <c r="G220" s="61" t="n">
        <v>0.044111</v>
      </c>
      <c r="H220" s="34" t="n">
        <f aca="false">NORMSINV(F220)</f>
        <v>0.145690146909207</v>
      </c>
      <c r="I220" s="34" t="n">
        <f aca="false">NORMSINV(G220)</f>
        <v>-1.70485216328997</v>
      </c>
      <c r="J220" s="59" t="n">
        <f aca="false">mc_s0*EXP((mc_mu-mc_vol^2/2)*mc_t1+mc_vol*SQRT(mc_t1)*H220)</f>
        <v>1162.33060163764</v>
      </c>
      <c r="K220" s="59" t="n">
        <f aca="false">J220*EXP((mc_mu-mc_vol^2/2)*(mc_t2-mc_t1)+mc_vol*SQRT(mc_t2-mc_t1)*I220)</f>
        <v>904.747593102916</v>
      </c>
      <c r="L220" s="31" t="n">
        <f aca="false">(t1_usd*J220+t2_usd*K220)/1000</f>
        <v>9855.33463835901</v>
      </c>
    </row>
    <row r="221" customFormat="false" ht="15" hidden="false" customHeight="false" outlineLevel="0" collapsed="false">
      <c r="E221" s="54" t="n">
        <v>217</v>
      </c>
      <c r="F221" s="61" t="n">
        <v>0.765142</v>
      </c>
      <c r="G221" s="61" t="n">
        <v>0.719346</v>
      </c>
      <c r="H221" s="34" t="n">
        <f aca="false">NORMSINV(F221)</f>
        <v>0.722941216278188</v>
      </c>
      <c r="I221" s="34" t="n">
        <f aca="false">NORMSINV(G221)</f>
        <v>0.580899780951667</v>
      </c>
      <c r="J221" s="59" t="n">
        <f aca="false">mc_s0*EXP((mc_mu-mc_vol^2/2)*mc_t1+mc_vol*SQRT(mc_t1)*H221)</f>
        <v>1228.22208747236</v>
      </c>
      <c r="K221" s="59" t="n">
        <f aca="false">J221*EXP((mc_mu-mc_vol^2/2)*(mc_t2-mc_t1)+mc_vol*SQRT(mc_t2-mc_t1)*I221)</f>
        <v>1370.61592923881</v>
      </c>
      <c r="L221" s="31" t="n">
        <f aca="false">(t1_usd*J221+t2_usd*K221)/1000</f>
        <v>11201.7248778602</v>
      </c>
    </row>
    <row r="222" customFormat="false" ht="15" hidden="false" customHeight="false" outlineLevel="0" collapsed="false">
      <c r="E222" s="54" t="n">
        <v>218</v>
      </c>
      <c r="F222" s="61" t="n">
        <v>0.132425</v>
      </c>
      <c r="G222" s="61" t="n">
        <v>0.832107</v>
      </c>
      <c r="H222" s="34" t="n">
        <f aca="false">NORMSINV(F222)</f>
        <v>-1.11500098413249</v>
      </c>
      <c r="I222" s="34" t="n">
        <f aca="false">NORMSINV(G222)</f>
        <v>0.962524903060366</v>
      </c>
      <c r="J222" s="59" t="n">
        <f aca="false">mc_s0*EXP((mc_mu-mc_vol^2/2)*mc_t1+mc_vol*SQRT(mc_t1)*H222)</f>
        <v>1030.45721569906</v>
      </c>
      <c r="K222" s="59" t="n">
        <f aca="false">J222*EXP((mc_mu-mc_vol^2/2)*(mc_t2-mc_t1)+mc_vol*SQRT(mc_t2-mc_t1)*I222)</f>
        <v>1221.20329764687</v>
      </c>
      <c r="L222" s="31" t="n">
        <f aca="false">(t1_usd*J222+t2_usd*K222)/1000</f>
        <v>9533.48677542246</v>
      </c>
    </row>
    <row r="223" customFormat="false" ht="15" hidden="false" customHeight="false" outlineLevel="0" collapsed="false">
      <c r="E223" s="54" t="n">
        <v>219</v>
      </c>
      <c r="F223" s="61" t="n">
        <v>0.340294</v>
      </c>
      <c r="G223" s="61" t="n">
        <v>0.512823</v>
      </c>
      <c r="H223" s="34" t="n">
        <f aca="false">NORMSINV(F223)</f>
        <v>-0.411660882978279</v>
      </c>
      <c r="I223" s="34" t="n">
        <f aca="false">NORMSINV(G223)</f>
        <v>0.0321480309836035</v>
      </c>
      <c r="J223" s="59" t="n">
        <f aca="false">mc_s0*EXP((mc_mu-mc_vol^2/2)*mc_t1+mc_vol*SQRT(mc_t1)*H223)</f>
        <v>1102.06698666254</v>
      </c>
      <c r="K223" s="59" t="n">
        <f aca="false">J223*EXP((mc_mu-mc_vol^2/2)*(mc_t2-mc_t1)+mc_vol*SQRT(mc_t2-mc_t1)*I223)</f>
        <v>1127.94851274792</v>
      </c>
      <c r="L223" s="31" t="n">
        <f aca="false">(t1_usd*J223+t2_usd*K223)/1000</f>
        <v>9857.57108085882</v>
      </c>
    </row>
    <row r="224" customFormat="false" ht="15" hidden="false" customHeight="false" outlineLevel="0" collapsed="false">
      <c r="E224" s="54" t="n">
        <v>220</v>
      </c>
      <c r="F224" s="61" t="n">
        <v>0.117962</v>
      </c>
      <c r="G224" s="61" t="n">
        <v>0.168678</v>
      </c>
      <c r="H224" s="34" t="n">
        <f aca="false">NORMSINV(F224)</f>
        <v>-1.185236379214</v>
      </c>
      <c r="I224" s="34" t="n">
        <f aca="false">NORMSINV(G224)</f>
        <v>-0.959402532100209</v>
      </c>
      <c r="J224" s="59" t="n">
        <f aca="false">mc_s0*EXP((mc_mu-mc_vol^2/2)*mc_t1+mc_vol*SQRT(mc_t1)*H224)</f>
        <v>1023.56694630291</v>
      </c>
      <c r="K224" s="59" t="n">
        <f aca="false">J224*EXP((mc_mu-mc_vol^2/2)*(mc_t2-mc_t1)+mc_vol*SQRT(mc_t2-mc_t1)*I224)</f>
        <v>896.053569619572</v>
      </c>
      <c r="L224" s="31" t="n">
        <f aca="false">(t1_usd*J224+t2_usd*K224)/1000</f>
        <v>8867.47040639753</v>
      </c>
    </row>
    <row r="225" customFormat="false" ht="15" hidden="false" customHeight="false" outlineLevel="0" collapsed="false">
      <c r="E225" s="54" t="n">
        <v>221</v>
      </c>
      <c r="F225" s="61" t="n">
        <v>0.53102</v>
      </c>
      <c r="G225" s="61" t="n">
        <v>0.73067</v>
      </c>
      <c r="H225" s="34" t="n">
        <f aca="false">NORMSINV(F225)</f>
        <v>0.0778341261995797</v>
      </c>
      <c r="I225" s="34" t="n">
        <f aca="false">NORMSINV(G225)</f>
        <v>0.614840590834907</v>
      </c>
      <c r="J225" s="59" t="n">
        <f aca="false">mc_s0*EXP((mc_mu-mc_vol^2/2)*mc_t1+mc_vol*SQRT(mc_t1)*H225)</f>
        <v>1154.82098845217</v>
      </c>
      <c r="K225" s="59" t="n">
        <f aca="false">J225*EXP((mc_mu-mc_vol^2/2)*(mc_t2-mc_t1)+mc_vol*SQRT(mc_t2-mc_t1)*I225)</f>
        <v>1295.61662516455</v>
      </c>
      <c r="L225" s="31" t="n">
        <f aca="false">(t1_usd*J225+t2_usd*K225)/1000</f>
        <v>10545.4185069778</v>
      </c>
    </row>
    <row r="226" customFormat="false" ht="15" hidden="false" customHeight="false" outlineLevel="0" collapsed="false">
      <c r="E226" s="54" t="n">
        <v>222</v>
      </c>
      <c r="F226" s="61" t="n">
        <v>0.76141</v>
      </c>
      <c r="G226" s="61" t="n">
        <v>0.646247</v>
      </c>
      <c r="H226" s="34" t="n">
        <f aca="false">NORMSINV(F226)</f>
        <v>0.710845470379608</v>
      </c>
      <c r="I226" s="34" t="n">
        <f aca="false">NORMSINV(G226)</f>
        <v>0.375207705466399</v>
      </c>
      <c r="J226" s="59" t="n">
        <f aca="false">mc_s0*EXP((mc_mu-mc_vol^2/2)*mc_t1+mc_vol*SQRT(mc_t1)*H226)</f>
        <v>1226.80379781562</v>
      </c>
      <c r="K226" s="59" t="n">
        <f aca="false">J226*EXP((mc_mu-mc_vol^2/2)*(mc_t2-mc_t1)+mc_vol*SQRT(mc_t2-mc_t1)*I226)</f>
        <v>1325.36664260888</v>
      </c>
      <c r="L226" s="31" t="n">
        <f aca="false">(t1_usd*J226+t2_usd*K226)/1000</f>
        <v>11105.8232056662</v>
      </c>
    </row>
    <row r="227" customFormat="false" ht="15" hidden="false" customHeight="false" outlineLevel="0" collapsed="false">
      <c r="E227" s="54" t="n">
        <v>223</v>
      </c>
      <c r="F227" s="61" t="n">
        <v>0.296405</v>
      </c>
      <c r="G227" s="61" t="n">
        <v>0.353223</v>
      </c>
      <c r="H227" s="34" t="n">
        <f aca="false">NORMSINV(F227)</f>
        <v>-0.534768424187719</v>
      </c>
      <c r="I227" s="34" t="n">
        <f aca="false">NORMSINV(G227)</f>
        <v>-0.376633484679384</v>
      </c>
      <c r="J227" s="59" t="n">
        <f aca="false">mc_s0*EXP((mc_mu-mc_vol^2/2)*mc_t1+mc_vol*SQRT(mc_t1)*H227)</f>
        <v>1089.18307178234</v>
      </c>
      <c r="K227" s="59" t="n">
        <f aca="false">J227*EXP((mc_mu-mc_vol^2/2)*(mc_t2-mc_t1)+mc_vol*SQRT(mc_t2-mc_t1)*I227)</f>
        <v>1045.21203063119</v>
      </c>
      <c r="L227" s="31" t="n">
        <f aca="false">(t1_usd*J227+t2_usd*K227)/1000</f>
        <v>9610.18436067566</v>
      </c>
    </row>
    <row r="228" customFormat="false" ht="15" hidden="false" customHeight="false" outlineLevel="0" collapsed="false">
      <c r="E228" s="54" t="n">
        <v>224</v>
      </c>
      <c r="F228" s="61" t="n">
        <v>0.442848</v>
      </c>
      <c r="G228" s="61" t="n">
        <v>0.323218</v>
      </c>
      <c r="H228" s="34" t="n">
        <f aca="false">NORMSINV(F228)</f>
        <v>-0.143752389433784</v>
      </c>
      <c r="I228" s="34" t="n">
        <f aca="false">NORMSINV(G228)</f>
        <v>-0.458718955630164</v>
      </c>
      <c r="J228" s="59" t="n">
        <f aca="false">mc_s0*EXP((mc_mu-mc_vol^2/2)*mc_t1+mc_vol*SQRT(mc_t1)*H228)</f>
        <v>1130.63431725619</v>
      </c>
      <c r="K228" s="59" t="n">
        <f aca="false">J228*EXP((mc_mu-mc_vol^2/2)*(mc_t2-mc_t1)+mc_vol*SQRT(mc_t2-mc_t1)*I228)</f>
        <v>1071.04470408658</v>
      </c>
      <c r="L228" s="31" t="n">
        <f aca="false">(t1_usd*J228+t2_usd*K228)/1000</f>
        <v>9949.4251585578</v>
      </c>
    </row>
    <row r="229" customFormat="false" ht="15" hidden="false" customHeight="false" outlineLevel="0" collapsed="false">
      <c r="E229" s="54" t="n">
        <v>225</v>
      </c>
      <c r="F229" s="61" t="n">
        <v>0.625069</v>
      </c>
      <c r="G229" s="61" t="n">
        <v>0.209398</v>
      </c>
      <c r="H229" s="34" t="n">
        <f aca="false">NORMSINV(F229)</f>
        <v>0.318821333549179</v>
      </c>
      <c r="I229" s="34" t="n">
        <f aca="false">NORMSINV(G229)</f>
        <v>-0.808511827703832</v>
      </c>
      <c r="J229" s="59" t="n">
        <f aca="false">mc_s0*EXP((mc_mu-mc_vol^2/2)*mc_t1+mc_vol*SQRT(mc_t1)*H229)</f>
        <v>1181.71299241664</v>
      </c>
      <c r="K229" s="59" t="n">
        <f aca="false">J229*EXP((mc_mu-mc_vol^2/2)*(mc_t2-mc_t1)+mc_vol*SQRT(mc_t2-mc_t1)*I229)</f>
        <v>1059.39268969336</v>
      </c>
      <c r="L229" s="31" t="n">
        <f aca="false">(t1_usd*J229+t2_usd*K229)/1000</f>
        <v>10284.8370573339</v>
      </c>
    </row>
    <row r="230" customFormat="false" ht="15" hidden="false" customHeight="false" outlineLevel="0" collapsed="false">
      <c r="E230" s="54" t="n">
        <v>226</v>
      </c>
      <c r="F230" s="61" t="n">
        <v>0.358753</v>
      </c>
      <c r="G230" s="61" t="n">
        <v>0.038071</v>
      </c>
      <c r="H230" s="34" t="n">
        <f aca="false">NORMSINV(F230)</f>
        <v>-0.361793968106264</v>
      </c>
      <c r="I230" s="34" t="n">
        <f aca="false">NORMSINV(G230)</f>
        <v>-1.77352350840449</v>
      </c>
      <c r="J230" s="59" t="n">
        <f aca="false">mc_s0*EXP((mc_mu-mc_vol^2/2)*mc_t1+mc_vol*SQRT(mc_t1)*H230)</f>
        <v>1107.32911597681</v>
      </c>
      <c r="K230" s="59" t="n">
        <f aca="false">J230*EXP((mc_mu-mc_vol^2/2)*(mc_t2-mc_t1)+mc_vol*SQRT(mc_t2-mc_t1)*I230)</f>
        <v>852.657250562794</v>
      </c>
      <c r="L230" s="31" t="n">
        <f aca="false">(t1_usd*J230+t2_usd*K230)/1000</f>
        <v>9371.35258790698</v>
      </c>
    </row>
    <row r="231" customFormat="false" ht="15" hidden="false" customHeight="false" outlineLevel="0" collapsed="false">
      <c r="E231" s="54" t="n">
        <v>227</v>
      </c>
      <c r="F231" s="61" t="n">
        <v>0.902756</v>
      </c>
      <c r="G231" s="61" t="n">
        <v>0.355744</v>
      </c>
      <c r="H231" s="34" t="n">
        <f aca="false">NORMSINV(F231)</f>
        <v>1.29741626241843</v>
      </c>
      <c r="I231" s="34" t="n">
        <f aca="false">NORMSINV(G231)</f>
        <v>-0.369858398451917</v>
      </c>
      <c r="J231" s="59" t="n">
        <f aca="false">mc_s0*EXP((mc_mu-mc_vol^2/2)*mc_t1+mc_vol*SQRT(mc_t1)*H231)</f>
        <v>1297.50479401564</v>
      </c>
      <c r="K231" s="59" t="n">
        <f aca="false">J231*EXP((mc_mu-mc_vol^2/2)*(mc_t2-mc_t1)+mc_vol*SQRT(mc_t2-mc_t1)*I231)</f>
        <v>1246.45380499119</v>
      </c>
      <c r="L231" s="31" t="n">
        <f aca="false">(t1_usd*J231+t2_usd*K231)/1000</f>
        <v>11450.7957875927</v>
      </c>
    </row>
    <row r="232" customFormat="false" ht="15" hidden="false" customHeight="false" outlineLevel="0" collapsed="false">
      <c r="E232" s="54" t="n">
        <v>228</v>
      </c>
      <c r="F232" s="61" t="n">
        <v>0.323533</v>
      </c>
      <c r="G232" s="61" t="n">
        <v>0.806818</v>
      </c>
      <c r="H232" s="34" t="n">
        <f aca="false">NORMSINV(F232)</f>
        <v>-0.457841942746913</v>
      </c>
      <c r="I232" s="34" t="n">
        <f aca="false">NORMSINV(G232)</f>
        <v>0.866230081617172</v>
      </c>
      <c r="J232" s="59" t="n">
        <f aca="false">mc_s0*EXP((mc_mu-mc_vol^2/2)*mc_t1+mc_vol*SQRT(mc_t1)*H232)</f>
        <v>1097.21610612029</v>
      </c>
      <c r="K232" s="59" t="n">
        <f aca="false">J232*EXP((mc_mu-mc_vol^2/2)*(mc_t2-mc_t1)+mc_vol*SQRT(mc_t2-mc_t1)*I232)</f>
        <v>1280.73589412002</v>
      </c>
      <c r="L232" s="31" t="n">
        <f aca="false">(t1_usd*J232+t2_usd*K232)/1000</f>
        <v>10113.9109416701</v>
      </c>
    </row>
    <row r="233" customFormat="false" ht="15" hidden="false" customHeight="false" outlineLevel="0" collapsed="false">
      <c r="E233" s="54" t="n">
        <v>229</v>
      </c>
      <c r="F233" s="61" t="n">
        <v>0.55005</v>
      </c>
      <c r="G233" s="61" t="n">
        <v>0.112395</v>
      </c>
      <c r="H233" s="34" t="n">
        <f aca="false">NORMSINV(F233)</f>
        <v>0.125787672728525</v>
      </c>
      <c r="I233" s="34" t="n">
        <f aca="false">NORMSINV(G233)</f>
        <v>-1.2138892984297</v>
      </c>
      <c r="J233" s="59" t="n">
        <f aca="false">mc_s0*EXP((mc_mu-mc_vol^2/2)*mc_t1+mc_vol*SQRT(mc_t1)*H233)</f>
        <v>1160.12295159876</v>
      </c>
      <c r="K233" s="59" t="n">
        <f aca="false">J233*EXP((mc_mu-mc_vol^2/2)*(mc_t2-mc_t1)+mc_vol*SQRT(mc_t2-mc_t1)*I233)</f>
        <v>975.67279008138</v>
      </c>
      <c r="L233" s="31" t="n">
        <f aca="false">(t1_usd*J233+t2_usd*K233)/1000</f>
        <v>9974.63896234591</v>
      </c>
    </row>
    <row r="234" customFormat="false" ht="15" hidden="false" customHeight="false" outlineLevel="0" collapsed="false">
      <c r="E234" s="54" t="n">
        <v>230</v>
      </c>
      <c r="F234" s="61" t="n">
        <v>0.591224</v>
      </c>
      <c r="G234" s="61" t="n">
        <v>0.882015</v>
      </c>
      <c r="H234" s="34" t="n">
        <f aca="false">NORMSINV(F234)</f>
        <v>0.230694688760016</v>
      </c>
      <c r="I234" s="34" t="n">
        <f aca="false">NORMSINV(G234)</f>
        <v>1.18512001134867</v>
      </c>
      <c r="J234" s="59" t="n">
        <f aca="false">mc_s0*EXP((mc_mu-mc_vol^2/2)*mc_t1+mc_vol*SQRT(mc_t1)*H234)</f>
        <v>1171.80698125325</v>
      </c>
      <c r="K234" s="59" t="n">
        <f aca="false">J234*EXP((mc_mu-mc_vol^2/2)*(mc_t2-mc_t1)+mc_vol*SQRT(mc_t2-mc_t1)*I234)</f>
        <v>1438.29810168754</v>
      </c>
      <c r="L234" s="31" t="n">
        <f aca="false">(t1_usd*J234+t2_usd*K234)/1000</f>
        <v>10935.4152619791</v>
      </c>
    </row>
    <row r="235" customFormat="false" ht="15" hidden="false" customHeight="false" outlineLevel="0" collapsed="false">
      <c r="E235" s="54" t="n">
        <v>231</v>
      </c>
      <c r="F235" s="61" t="n">
        <v>0.521486</v>
      </c>
      <c r="G235" s="61" t="n">
        <v>0.317518</v>
      </c>
      <c r="H235" s="34" t="n">
        <f aca="false">NORMSINV(F235)</f>
        <v>0.0538834782344254</v>
      </c>
      <c r="I235" s="34" t="n">
        <f aca="false">NORMSINV(G235)</f>
        <v>-0.474650647622496</v>
      </c>
      <c r="J235" s="59" t="n">
        <f aca="false">mc_s0*EXP((mc_mu-mc_vol^2/2)*mc_t1+mc_vol*SQRT(mc_t1)*H235)</f>
        <v>1152.18197572864</v>
      </c>
      <c r="K235" s="59" t="n">
        <f aca="false">J235*EXP((mc_mu-mc_vol^2/2)*(mc_t2-mc_t1)+mc_vol*SQRT(mc_t2-mc_t1)*I235)</f>
        <v>1088.71979034605</v>
      </c>
      <c r="L235" s="31" t="n">
        <f aca="false">(t1_usd*J235+t2_usd*K235)/1000</f>
        <v>10133.841431758</v>
      </c>
    </row>
    <row r="236" customFormat="false" ht="15" hidden="false" customHeight="false" outlineLevel="0" collapsed="false">
      <c r="E236" s="54" t="n">
        <v>232</v>
      </c>
      <c r="F236" s="61" t="n">
        <v>0.269158</v>
      </c>
      <c r="G236" s="61" t="n">
        <v>0.984468</v>
      </c>
      <c r="H236" s="34" t="n">
        <f aca="false">NORMSINV(F236)</f>
        <v>-0.615361516664612</v>
      </c>
      <c r="I236" s="34" t="n">
        <f aca="false">NORMSINV(G236)</f>
        <v>2.156251911854</v>
      </c>
      <c r="J236" s="59" t="n">
        <f aca="false">mc_s0*EXP((mc_mu-mc_vol^2/2)*mc_t1+mc_vol*SQRT(mc_t1)*H236)</f>
        <v>1080.83022865619</v>
      </c>
      <c r="K236" s="59" t="n">
        <f aca="false">J236*EXP((mc_mu-mc_vol^2/2)*(mc_t2-mc_t1)+mc_vol*SQRT(mc_t2-mc_t1)*I236)</f>
        <v>1546.02452580445</v>
      </c>
      <c r="L236" s="31" t="n">
        <f aca="false">(t1_usd*J236+t2_usd*K236)/1000</f>
        <v>10503.2581996218</v>
      </c>
    </row>
    <row r="237" customFormat="false" ht="15" hidden="false" customHeight="false" outlineLevel="0" collapsed="false">
      <c r="E237" s="54" t="n">
        <v>233</v>
      </c>
      <c r="F237" s="61" t="n">
        <v>0.917806</v>
      </c>
      <c r="G237" s="61" t="n">
        <v>0.727556</v>
      </c>
      <c r="H237" s="34" t="n">
        <f aca="false">NORMSINV(F237)</f>
        <v>1.39046407844354</v>
      </c>
      <c r="I237" s="34" t="n">
        <f aca="false">NORMSINV(G237)</f>
        <v>0.605438012874249</v>
      </c>
      <c r="J237" s="59" t="n">
        <f aca="false">mc_s0*EXP((mc_mu-mc_vol^2/2)*mc_t1+mc_vol*SQRT(mc_t1)*H237)</f>
        <v>1309.08864270244</v>
      </c>
      <c r="K237" s="59" t="n">
        <f aca="false">J237*EXP((mc_mu-mc_vol^2/2)*(mc_t2-mc_t1)+mc_vol*SQRT(mc_t2-mc_t1)*I237)</f>
        <v>1466.51790223149</v>
      </c>
      <c r="L237" s="31" t="n">
        <f aca="false">(t1_usd*J237+t2_usd*K237)/1000</f>
        <v>11950.0045131569</v>
      </c>
    </row>
    <row r="238" customFormat="false" ht="15" hidden="false" customHeight="false" outlineLevel="0" collapsed="false">
      <c r="E238" s="54" t="n">
        <v>234</v>
      </c>
      <c r="F238" s="61" t="n">
        <v>0.265852</v>
      </c>
      <c r="G238" s="61" t="n">
        <v>0.607369</v>
      </c>
      <c r="H238" s="34" t="n">
        <f aca="false">NORMSINV(F238)</f>
        <v>-0.625406952828527</v>
      </c>
      <c r="I238" s="34" t="n">
        <f aca="false">NORMSINV(G238)</f>
        <v>0.27246825116848</v>
      </c>
      <c r="J238" s="59" t="n">
        <f aca="false">mc_s0*EXP((mc_mu-mc_vol^2/2)*mc_t1+mc_vol*SQRT(mc_t1)*H238)</f>
        <v>1079.79359768638</v>
      </c>
      <c r="K238" s="59" t="n">
        <f aca="false">J238*EXP((mc_mu-mc_vol^2/2)*(mc_t2-mc_t1)+mc_vol*SQRT(mc_t2-mc_t1)*I238)</f>
        <v>1147.80997125679</v>
      </c>
      <c r="L238" s="31" t="n">
        <f aca="false">(t1_usd*J238+t2_usd*K238)/1000</f>
        <v>9739.39412919259</v>
      </c>
    </row>
    <row r="239" customFormat="false" ht="15" hidden="false" customHeight="false" outlineLevel="0" collapsed="false">
      <c r="E239" s="54" t="n">
        <v>235</v>
      </c>
      <c r="F239" s="61" t="n">
        <v>0.541714</v>
      </c>
      <c r="G239" s="61" t="n">
        <v>0.843869</v>
      </c>
      <c r="H239" s="34" t="n">
        <f aca="false">NORMSINV(F239)</f>
        <v>0.104752754695082</v>
      </c>
      <c r="I239" s="34" t="n">
        <f aca="false">NORMSINV(G239)</f>
        <v>1.01048705148693</v>
      </c>
      <c r="J239" s="59" t="n">
        <f aca="false">mc_s0*EXP((mc_mu-mc_vol^2/2)*mc_t1+mc_vol*SQRT(mc_t1)*H239)</f>
        <v>1157.79424459699</v>
      </c>
      <c r="K239" s="59" t="n">
        <f aca="false">J239*EXP((mc_mu-mc_vol^2/2)*(mc_t2-mc_t1)+mc_vol*SQRT(mc_t2-mc_t1)*I239)</f>
        <v>1382.52186494851</v>
      </c>
      <c r="L239" s="31" t="n">
        <f aca="false">(t1_usd*J239+t2_usd*K239)/1000</f>
        <v>10731.3512555811</v>
      </c>
    </row>
    <row r="240" customFormat="false" ht="15" hidden="false" customHeight="false" outlineLevel="0" collapsed="false">
      <c r="E240" s="54" t="n">
        <v>236</v>
      </c>
      <c r="F240" s="61" t="n">
        <v>0.515741</v>
      </c>
      <c r="G240" s="61" t="n">
        <v>0.012279</v>
      </c>
      <c r="H240" s="34" t="n">
        <f aca="false">NORMSINV(F240)</f>
        <v>0.0394670792624027</v>
      </c>
      <c r="I240" s="34" t="n">
        <f aca="false">NORMSINV(G240)</f>
        <v>-2.248285354307</v>
      </c>
      <c r="J240" s="59" t="n">
        <f aca="false">mc_s0*EXP((mc_mu-mc_vol^2/2)*mc_t1+mc_vol*SQRT(mc_t1)*H240)</f>
        <v>1150.59640681818</v>
      </c>
      <c r="K240" s="59" t="n">
        <f aca="false">J240*EXP((mc_mu-mc_vol^2/2)*(mc_t2-mc_t1)+mc_vol*SQRT(mc_t2-mc_t1)*I240)</f>
        <v>822.104832800571</v>
      </c>
      <c r="L240" s="31" t="n">
        <f aca="false">(t1_usd*J240+t2_usd*K240)/1000</f>
        <v>9616.17403004832</v>
      </c>
    </row>
    <row r="241" customFormat="false" ht="15" hidden="false" customHeight="false" outlineLevel="0" collapsed="false">
      <c r="E241" s="54" t="n">
        <v>237</v>
      </c>
      <c r="F241" s="61" t="n">
        <v>0.171343</v>
      </c>
      <c r="G241" s="61" t="n">
        <v>0.272048</v>
      </c>
      <c r="H241" s="34" t="n">
        <f aca="false">NORMSINV(F241)</f>
        <v>-0.948871443509602</v>
      </c>
      <c r="I241" s="34" t="n">
        <f aca="false">NORMSINV(G241)</f>
        <v>-0.606630732779269</v>
      </c>
      <c r="J241" s="59" t="n">
        <f aca="false">mc_s0*EXP((mc_mu-mc_vol^2/2)*mc_t1+mc_vol*SQRT(mc_t1)*H241)</f>
        <v>1046.94011376654</v>
      </c>
      <c r="K241" s="59" t="n">
        <f aca="false">J241*EXP((mc_mu-mc_vol^2/2)*(mc_t2-mc_t1)+mc_vol*SQRT(mc_t2-mc_t1)*I241)</f>
        <v>968.911071606632</v>
      </c>
      <c r="L241" s="31" t="n">
        <f aca="false">(t1_usd*J241+t2_usd*K241)/1000</f>
        <v>9169.51183241841</v>
      </c>
    </row>
    <row r="242" customFormat="false" ht="15" hidden="false" customHeight="false" outlineLevel="0" collapsed="false">
      <c r="E242" s="54" t="n">
        <v>238</v>
      </c>
      <c r="F242" s="61" t="n">
        <v>0.028159</v>
      </c>
      <c r="G242" s="61" t="n">
        <v>0.813231</v>
      </c>
      <c r="H242" s="34" t="n">
        <f aca="false">NORMSINV(F242)</f>
        <v>-1.90856678601282</v>
      </c>
      <c r="I242" s="34" t="n">
        <f aca="false">NORMSINV(G242)</f>
        <v>0.889865706357596</v>
      </c>
      <c r="J242" s="59" t="n">
        <f aca="false">mc_s0*EXP((mc_mu-mc_vol^2/2)*mc_t1+mc_vol*SQRT(mc_t1)*H242)</f>
        <v>955.232143206242</v>
      </c>
      <c r="K242" s="59" t="n">
        <f aca="false">J242*EXP((mc_mu-mc_vol^2/2)*(mc_t2-mc_t1)+mc_vol*SQRT(mc_t2-mc_t1)*I242)</f>
        <v>1119.16469421105</v>
      </c>
      <c r="L242" s="31" t="n">
        <f aca="false">(t1_usd*J242+t2_usd*K242)/1000</f>
        <v>8813.03792144469</v>
      </c>
    </row>
    <row r="243" customFormat="false" ht="15" hidden="false" customHeight="false" outlineLevel="0" collapsed="false">
      <c r="E243" s="54" t="n">
        <v>239</v>
      </c>
      <c r="F243" s="61" t="n">
        <v>0.48443</v>
      </c>
      <c r="G243" s="61" t="n">
        <v>0.691356</v>
      </c>
      <c r="H243" s="34" t="n">
        <f aca="false">NORMSINV(F243)</f>
        <v>-0.0390381154849319</v>
      </c>
      <c r="I243" s="34" t="n">
        <f aca="false">NORMSINV(G243)</f>
        <v>0.499697632171846</v>
      </c>
      <c r="J243" s="59" t="n">
        <f aca="false">mc_s0*EXP((mc_mu-mc_vol^2/2)*mc_t1+mc_vol*SQRT(mc_t1)*H243)</f>
        <v>1142.00033008447</v>
      </c>
      <c r="K243" s="59" t="n">
        <f aca="false">J243*EXP((mc_mu-mc_vol^2/2)*(mc_t2-mc_t1)+mc_vol*SQRT(mc_t2-mc_t1)*I243)</f>
        <v>1258.19361029987</v>
      </c>
      <c r="L243" s="31" t="n">
        <f aca="false">(t1_usd*J243+t2_usd*K243)/1000</f>
        <v>10384.570170161</v>
      </c>
    </row>
    <row r="244" customFormat="false" ht="15" hidden="false" customHeight="false" outlineLevel="0" collapsed="false">
      <c r="E244" s="54" t="n">
        <v>240</v>
      </c>
      <c r="F244" s="61" t="n">
        <v>0.066937</v>
      </c>
      <c r="G244" s="61" t="n">
        <v>0.167992</v>
      </c>
      <c r="H244" s="34" t="n">
        <f aca="false">NORMSINV(F244)</f>
        <v>-1.49899858170274</v>
      </c>
      <c r="I244" s="34" t="n">
        <f aca="false">NORMSINV(G244)</f>
        <v>-0.96213060948812</v>
      </c>
      <c r="J244" s="59" t="n">
        <f aca="false">mc_s0*EXP((mc_mu-mc_vol^2/2)*mc_t1+mc_vol*SQRT(mc_t1)*H244)</f>
        <v>993.344391240795</v>
      </c>
      <c r="K244" s="59" t="n">
        <f aca="false">J244*EXP((mc_mu-mc_vol^2/2)*(mc_t2-mc_t1)+mc_vol*SQRT(mc_t2-mc_t1)*I244)</f>
        <v>869.222281902295</v>
      </c>
      <c r="L244" s="31" t="n">
        <f aca="false">(t1_usd*J244+t2_usd*K244)/1000</f>
        <v>8604.93307429993</v>
      </c>
    </row>
    <row r="245" customFormat="false" ht="15" hidden="false" customHeight="false" outlineLevel="0" collapsed="false">
      <c r="E245" s="54" t="n">
        <v>241</v>
      </c>
      <c r="F245" s="61" t="n">
        <v>0.909554</v>
      </c>
      <c r="G245" s="61" t="n">
        <v>0.721771</v>
      </c>
      <c r="H245" s="34" t="n">
        <f aca="false">NORMSINV(F245)</f>
        <v>1.33801361066221</v>
      </c>
      <c r="I245" s="34" t="n">
        <f aca="false">NORMSINV(G245)</f>
        <v>0.588110687428575</v>
      </c>
      <c r="J245" s="59" t="n">
        <f aca="false">mc_s0*EXP((mc_mu-mc_vol^2/2)*mc_t1+mc_vol*SQRT(mc_t1)*H245)</f>
        <v>1302.54624151713</v>
      </c>
      <c r="K245" s="59" t="n">
        <f aca="false">J245*EXP((mc_mu-mc_vol^2/2)*(mc_t2-mc_t1)+mc_vol*SQRT(mc_t2-mc_t1)*I245)</f>
        <v>1455.20959499321</v>
      </c>
      <c r="L245" s="31" t="n">
        <f aca="false">(t1_usd*J245+t2_usd*K245)/1000</f>
        <v>11882.721921107</v>
      </c>
    </row>
    <row r="246" customFormat="false" ht="15" hidden="false" customHeight="false" outlineLevel="0" collapsed="false">
      <c r="E246" s="54" t="n">
        <v>242</v>
      </c>
      <c r="F246" s="61" t="n">
        <v>0.579692</v>
      </c>
      <c r="G246" s="61" t="n">
        <v>0.312943</v>
      </c>
      <c r="H246" s="34" t="n">
        <f aca="false">NORMSINV(F246)</f>
        <v>0.201105604200306</v>
      </c>
      <c r="I246" s="34" t="n">
        <f aca="false">NORMSINV(G246)</f>
        <v>-0.487525466767866</v>
      </c>
      <c r="J246" s="59" t="n">
        <f aca="false">mc_s0*EXP((mc_mu-mc_vol^2/2)*mc_t1+mc_vol*SQRT(mc_t1)*H246)</f>
        <v>1168.4996305182</v>
      </c>
      <c r="K246" s="59" t="n">
        <f aca="false">J246*EXP((mc_mu-mc_vol^2/2)*(mc_t2-mc_t1)+mc_vol*SQRT(mc_t2-mc_t1)*I246)</f>
        <v>1101.90066026403</v>
      </c>
      <c r="L246" s="31" t="n">
        <f aca="false">(t1_usd*J246+t2_usd*K246)/1000</f>
        <v>10273.1086681291</v>
      </c>
    </row>
    <row r="247" customFormat="false" ht="15" hidden="false" customHeight="false" outlineLevel="0" collapsed="false">
      <c r="E247" s="54" t="n">
        <v>243</v>
      </c>
      <c r="F247" s="61" t="n">
        <v>0.033408</v>
      </c>
      <c r="G247" s="61" t="n">
        <v>0.150264</v>
      </c>
      <c r="H247" s="34" t="n">
        <f aca="false">NORMSINV(F247)</f>
        <v>-1.83290970669467</v>
      </c>
      <c r="I247" s="34" t="n">
        <f aca="false">NORMSINV(G247)</f>
        <v>-1.03530177747807</v>
      </c>
      <c r="J247" s="59" t="n">
        <f aca="false">mc_s0*EXP((mc_mu-mc_vol^2/2)*mc_t1+mc_vol*SQRT(mc_t1)*H247)</f>
        <v>962.160576005582</v>
      </c>
      <c r="K247" s="59" t="n">
        <f aca="false">J247*EXP((mc_mu-mc_vol^2/2)*(mc_t2-mc_t1)+mc_vol*SQRT(mc_t2-mc_t1)*I247)</f>
        <v>832.28217613036</v>
      </c>
      <c r="L247" s="31" t="n">
        <f aca="false">(t1_usd*J247+t2_usd*K247)/1000</f>
        <v>8316.46016668676</v>
      </c>
    </row>
    <row r="248" customFormat="false" ht="15" hidden="false" customHeight="false" outlineLevel="0" collapsed="false">
      <c r="E248" s="54" t="n">
        <v>244</v>
      </c>
      <c r="F248" s="61" t="n">
        <v>0.702023</v>
      </c>
      <c r="G248" s="61" t="n">
        <v>0.717878</v>
      </c>
      <c r="H248" s="34" t="n">
        <f aca="false">NORMSINV(F248)</f>
        <v>0.530227797852682</v>
      </c>
      <c r="I248" s="34" t="n">
        <f aca="false">NORMSINV(G248)</f>
        <v>0.57654923642253</v>
      </c>
      <c r="J248" s="59" t="n">
        <f aca="false">mc_s0*EXP((mc_mu-mc_vol^2/2)*mc_t1+mc_vol*SQRT(mc_t1)*H248)</f>
        <v>1205.81920572352</v>
      </c>
      <c r="K248" s="59" t="n">
        <f aca="false">J248*EXP((mc_mu-mc_vol^2/2)*(mc_t2-mc_t1)+mc_vol*SQRT(mc_t2-mc_t1)*I248)</f>
        <v>1344.69351114352</v>
      </c>
      <c r="L248" s="31" t="n">
        <f aca="false">(t1_usd*J248+t2_usd*K248)/1000</f>
        <v>10995.6521112373</v>
      </c>
    </row>
    <row r="249" customFormat="false" ht="15" hidden="false" customHeight="false" outlineLevel="0" collapsed="false">
      <c r="E249" s="54" t="n">
        <v>245</v>
      </c>
      <c r="F249" s="61" t="n">
        <v>0.764558</v>
      </c>
      <c r="G249" s="61" t="n">
        <v>0.453888</v>
      </c>
      <c r="H249" s="34" t="n">
        <f aca="false">NORMSINV(F249)</f>
        <v>0.721041470532771</v>
      </c>
      <c r="I249" s="34" t="n">
        <f aca="false">NORMSINV(G249)</f>
        <v>-0.115844224948321</v>
      </c>
      <c r="J249" s="59" t="n">
        <f aca="false">mc_s0*EXP((mc_mu-mc_vol^2/2)*mc_t1+mc_vol*SQRT(mc_t1)*H249)</f>
        <v>1227.99922382792</v>
      </c>
      <c r="K249" s="59" t="n">
        <f aca="false">J249*EXP((mc_mu-mc_vol^2/2)*(mc_t2-mc_t1)+mc_vol*SQRT(mc_t2-mc_t1)*I249)</f>
        <v>1227.86469026135</v>
      </c>
      <c r="L249" s="31" t="n">
        <f aca="false">(t1_usd*J249+t2_usd*K249)/1000</f>
        <v>10928.937478292</v>
      </c>
    </row>
    <row r="250" customFormat="false" ht="15" hidden="false" customHeight="false" outlineLevel="0" collapsed="false">
      <c r="E250" s="54" t="n">
        <v>246</v>
      </c>
      <c r="F250" s="61" t="n">
        <v>0.309241</v>
      </c>
      <c r="G250" s="61" t="n">
        <v>0.290603</v>
      </c>
      <c r="H250" s="34" t="n">
        <f aca="false">NORMSINV(F250)</f>
        <v>-0.498002897401621</v>
      </c>
      <c r="I250" s="34" t="n">
        <f aca="false">NORMSINV(G250)</f>
        <v>-0.551623985022565</v>
      </c>
      <c r="J250" s="59" t="n">
        <f aca="false">mc_s0*EXP((mc_mu-mc_vol^2/2)*mc_t1+mc_vol*SQRT(mc_t1)*H250)</f>
        <v>1093.01494169036</v>
      </c>
      <c r="K250" s="59" t="n">
        <f aca="false">J250*EXP((mc_mu-mc_vol^2/2)*(mc_t2-mc_t1)+mc_vol*SQRT(mc_t2-mc_t1)*I250)</f>
        <v>1020.35886292197</v>
      </c>
      <c r="L250" s="31" t="n">
        <f aca="false">(t1_usd*J250+t2_usd*K250)/1000</f>
        <v>9589.78643138424</v>
      </c>
    </row>
    <row r="251" customFormat="false" ht="15" hidden="false" customHeight="false" outlineLevel="0" collapsed="false">
      <c r="E251" s="54" t="n">
        <v>247</v>
      </c>
      <c r="F251" s="61" t="n">
        <v>0.831625</v>
      </c>
      <c r="G251" s="61" t="n">
        <v>0.922211</v>
      </c>
      <c r="H251" s="34" t="n">
        <f aca="false">NORMSINV(F251)</f>
        <v>0.960606617719096</v>
      </c>
      <c r="I251" s="34" t="n">
        <f aca="false">NORMSINV(G251)</f>
        <v>1.42010195919087</v>
      </c>
      <c r="J251" s="59" t="n">
        <f aca="false">mc_s0*EXP((mc_mu-mc_vol^2/2)*mc_t1+mc_vol*SQRT(mc_t1)*H251)</f>
        <v>1256.42462660727</v>
      </c>
      <c r="K251" s="59" t="n">
        <f aca="false">J251*EXP((mc_mu-mc_vol^2/2)*(mc_t2-mc_t1)+mc_vol*SQRT(mc_t2-mc_t1)*I251)</f>
        <v>1600.33855110778</v>
      </c>
      <c r="L251" s="31" t="n">
        <f aca="false">(t1_usd*J251+t2_usd*K251)/1000</f>
        <v>11835.6156333557</v>
      </c>
    </row>
    <row r="252" customFormat="false" ht="15" hidden="false" customHeight="false" outlineLevel="0" collapsed="false">
      <c r="E252" s="54" t="n">
        <v>248</v>
      </c>
      <c r="F252" s="61" t="n">
        <v>0.546546</v>
      </c>
      <c r="G252" s="61" t="n">
        <v>0.609297</v>
      </c>
      <c r="H252" s="34" t="n">
        <f aca="false">NORMSINV(F252)</f>
        <v>0.116939495454308</v>
      </c>
      <c r="I252" s="34" t="n">
        <f aca="false">NORMSINV(G252)</f>
        <v>0.277487242985739</v>
      </c>
      <c r="J252" s="59" t="n">
        <f aca="false">mc_s0*EXP((mc_mu-mc_vol^2/2)*mc_t1+mc_vol*SQRT(mc_t1)*H252)</f>
        <v>1159.14282863827</v>
      </c>
      <c r="K252" s="59" t="n">
        <f aca="false">J252*EXP((mc_mu-mc_vol^2/2)*(mc_t2-mc_t1)+mc_vol*SQRT(mc_t2-mc_t1)*I252)</f>
        <v>1233.13239462112</v>
      </c>
      <c r="L252" s="31" t="n">
        <f aca="false">(t1_usd*J252+t2_usd*K252)/1000</f>
        <v>10456.9513502481</v>
      </c>
    </row>
    <row r="253" customFormat="false" ht="15" hidden="false" customHeight="false" outlineLevel="0" collapsed="false">
      <c r="E253" s="54" t="n">
        <v>249</v>
      </c>
      <c r="F253" s="61" t="n">
        <v>0.042688</v>
      </c>
      <c r="G253" s="61" t="n">
        <v>0.761692</v>
      </c>
      <c r="H253" s="34" t="n">
        <f aca="false">NORMSINV(F253)</f>
        <v>-1.72031058717842</v>
      </c>
      <c r="I253" s="34" t="n">
        <f aca="false">NORMSINV(G253)</f>
        <v>0.711755811987428</v>
      </c>
      <c r="J253" s="59" t="n">
        <f aca="false">mc_s0*EXP((mc_mu-mc_vol^2/2)*mc_t1+mc_vol*SQRT(mc_t1)*H253)</f>
        <v>972.56520214066</v>
      </c>
      <c r="K253" s="59" t="n">
        <f aca="false">J253*EXP((mc_mu-mc_vol^2/2)*(mc_t2-mc_t1)+mc_vol*SQRT(mc_t2-mc_t1)*I253)</f>
        <v>1107.93333169389</v>
      </c>
      <c r="L253" s="31" t="n">
        <f aca="false">(t1_usd*J253+t2_usd*K253)/1000</f>
        <v>8913.02974520301</v>
      </c>
    </row>
    <row r="254" customFormat="false" ht="15" hidden="false" customHeight="false" outlineLevel="0" collapsed="false">
      <c r="E254" s="54" t="n">
        <v>250</v>
      </c>
      <c r="F254" s="61" t="n">
        <v>0.376424</v>
      </c>
      <c r="G254" s="61" t="n">
        <v>0.33241</v>
      </c>
      <c r="H254" s="34" t="n">
        <f aca="false">NORMSINV(F254)</f>
        <v>-0.314886278783231</v>
      </c>
      <c r="I254" s="34" t="n">
        <f aca="false">NORMSINV(G254)</f>
        <v>-0.433268114034012</v>
      </c>
      <c r="J254" s="59" t="n">
        <f aca="false">mc_s0*EXP((mc_mu-mc_vol^2/2)*mc_t1+mc_vol*SQRT(mc_t1)*H254)</f>
        <v>1112.3019086576</v>
      </c>
      <c r="K254" s="59" t="n">
        <f aca="false">J254*EXP((mc_mu-mc_vol^2/2)*(mc_t2-mc_t1)+mc_vol*SQRT(mc_t2-mc_t1)*I254)</f>
        <v>1057.9131617112</v>
      </c>
      <c r="L254" s="31" t="n">
        <f aca="false">(t1_usd*J254+t2_usd*K254)/1000</f>
        <v>9796.1483678545</v>
      </c>
    </row>
    <row r="255" customFormat="false" ht="15" hidden="false" customHeight="false" outlineLevel="0" collapsed="false">
      <c r="E255" s="54" t="n">
        <v>251</v>
      </c>
      <c r="F255" s="61" t="n">
        <v>0.358613</v>
      </c>
      <c r="G255" s="61" t="n">
        <v>0.650221</v>
      </c>
      <c r="H255" s="34" t="n">
        <f aca="false">NORMSINV(F255)</f>
        <v>-0.362168657049189</v>
      </c>
      <c r="I255" s="34" t="n">
        <f aca="false">NORMSINV(G255)</f>
        <v>0.385917188911308</v>
      </c>
      <c r="J255" s="59" t="n">
        <f aca="false">mc_s0*EXP((mc_mu-mc_vol^2/2)*mc_t1+mc_vol*SQRT(mc_t1)*H255)</f>
        <v>1107.28948396908</v>
      </c>
      <c r="K255" s="59" t="n">
        <f aca="false">J255*EXP((mc_mu-mc_vol^2/2)*(mc_t2-mc_t1)+mc_vol*SQRT(mc_t2-mc_t1)*I255)</f>
        <v>1198.27107617614</v>
      </c>
      <c r="L255" s="31" t="n">
        <f aca="false">(t1_usd*J255+t2_usd*K255)/1000</f>
        <v>10027.7414325182</v>
      </c>
    </row>
    <row r="256" customFormat="false" ht="15" hidden="false" customHeight="false" outlineLevel="0" collapsed="false">
      <c r="E256" s="54" t="n">
        <v>252</v>
      </c>
      <c r="F256" s="61" t="n">
        <v>0.332459</v>
      </c>
      <c r="G256" s="61" t="n">
        <v>0.597557</v>
      </c>
      <c r="H256" s="34" t="n">
        <f aca="false">NORMSINV(F256)</f>
        <v>-0.433133206415356</v>
      </c>
      <c r="I256" s="34" t="n">
        <f aca="false">NORMSINV(G256)</f>
        <v>0.247028716604411</v>
      </c>
      <c r="J256" s="59" t="n">
        <f aca="false">mc_s0*EXP((mc_mu-mc_vol^2/2)*mc_t1+mc_vol*SQRT(mc_t1)*H256)</f>
        <v>1099.8088617114</v>
      </c>
      <c r="K256" s="59" t="n">
        <f aca="false">J256*EXP((mc_mu-mc_vol^2/2)*(mc_t2-mc_t1)+mc_vol*SQRT(mc_t2-mc_t1)*I256)</f>
        <v>1164.40840281919</v>
      </c>
      <c r="L256" s="31" t="n">
        <f aca="false">(t1_usd*J256+t2_usd*K256)/1000</f>
        <v>9911.03799733627</v>
      </c>
    </row>
    <row r="257" customFormat="false" ht="15" hidden="false" customHeight="false" outlineLevel="0" collapsed="false">
      <c r="E257" s="54" t="n">
        <v>253</v>
      </c>
      <c r="F257" s="61" t="n">
        <v>0.373498</v>
      </c>
      <c r="G257" s="61" t="n">
        <v>0.851673</v>
      </c>
      <c r="H257" s="34" t="n">
        <f aca="false">NORMSINV(F257)</f>
        <v>-0.322602896287131</v>
      </c>
      <c r="I257" s="34" t="n">
        <f aca="false">NORMSINV(G257)</f>
        <v>1.04363563368978</v>
      </c>
      <c r="J257" s="59" t="n">
        <f aca="false">mc_s0*EXP((mc_mu-mc_vol^2/2)*mc_t1+mc_vol*SQRT(mc_t1)*H257)</f>
        <v>1111.48232016221</v>
      </c>
      <c r="K257" s="59" t="n">
        <f aca="false">J257*EXP((mc_mu-mc_vol^2/2)*(mc_t2-mc_t1)+mc_vol*SQRT(mc_t2-mc_t1)*I257)</f>
        <v>1334.17233694326</v>
      </c>
      <c r="L257" s="31" t="n">
        <f aca="false">(t1_usd*J257+t2_usd*K257)/1000</f>
        <v>10315.3036813277</v>
      </c>
    </row>
    <row r="258" customFormat="false" ht="15" hidden="false" customHeight="false" outlineLevel="0" collapsed="false">
      <c r="E258" s="54" t="n">
        <v>254</v>
      </c>
      <c r="F258" s="61" t="n">
        <v>0.696953</v>
      </c>
      <c r="G258" s="61" t="n">
        <v>0.502201</v>
      </c>
      <c r="H258" s="34" t="n">
        <f aca="false">NORMSINV(F258)</f>
        <v>0.515656988743941</v>
      </c>
      <c r="I258" s="34" t="n">
        <f aca="false">NORMSINV(G258)</f>
        <v>0.0055171168212002</v>
      </c>
      <c r="J258" s="59" t="n">
        <f aca="false">mc_s0*EXP((mc_mu-mc_vol^2/2)*mc_t1+mc_vol*SQRT(mc_t1)*H258)</f>
        <v>1204.14206341405</v>
      </c>
      <c r="K258" s="59" t="n">
        <f aca="false">J258*EXP((mc_mu-mc_vol^2/2)*(mc_t2-mc_t1)+mc_vol*SQRT(mc_t2-mc_t1)*I258)</f>
        <v>1227.25932695949</v>
      </c>
      <c r="L258" s="31" t="n">
        <f aca="false">(t1_usd*J258+t2_usd*K258)/1000</f>
        <v>10760.7871651213</v>
      </c>
    </row>
    <row r="259" customFormat="false" ht="15" hidden="false" customHeight="false" outlineLevel="0" collapsed="false">
      <c r="E259" s="54" t="n">
        <v>255</v>
      </c>
      <c r="F259" s="61" t="n">
        <v>0.899193</v>
      </c>
      <c r="G259" s="61" t="n">
        <v>0.295436</v>
      </c>
      <c r="H259" s="34" t="n">
        <f aca="false">NORMSINV(F259)</f>
        <v>1.27696671120385</v>
      </c>
      <c r="I259" s="34" t="n">
        <f aca="false">NORMSINV(G259)</f>
        <v>-0.537572818452261</v>
      </c>
      <c r="J259" s="59" t="n">
        <f aca="false">mc_s0*EXP((mc_mu-mc_vol^2/2)*mc_t1+mc_vol*SQRT(mc_t1)*H259)</f>
        <v>1294.97272874479</v>
      </c>
      <c r="K259" s="59" t="n">
        <f aca="false">J259*EXP((mc_mu-mc_vol^2/2)*(mc_t2-mc_t1)+mc_vol*SQRT(mc_t2-mc_t1)*I259)</f>
        <v>1211.57179007845</v>
      </c>
      <c r="L259" s="31" t="n">
        <f aca="false">(t1_usd*J259+t2_usd*K259)/1000</f>
        <v>11366.7955023626</v>
      </c>
    </row>
    <row r="260" customFormat="false" ht="15" hidden="false" customHeight="false" outlineLevel="0" collapsed="false">
      <c r="E260" s="54" t="n">
        <v>256</v>
      </c>
      <c r="F260" s="61" t="n">
        <v>0.265318</v>
      </c>
      <c r="G260" s="61" t="n">
        <v>0.134904</v>
      </c>
      <c r="H260" s="34" t="n">
        <f aca="false">NORMSINV(F260)</f>
        <v>-0.62703544681965</v>
      </c>
      <c r="I260" s="34" t="n">
        <f aca="false">NORMSINV(G260)</f>
        <v>-1.10350481895316</v>
      </c>
      <c r="J260" s="59" t="n">
        <f aca="false">mc_s0*EXP((mc_mu-mc_vol^2/2)*mc_t1+mc_vol*SQRT(mc_t1)*H260)</f>
        <v>1079.62564019505</v>
      </c>
      <c r="K260" s="59" t="n">
        <f aca="false">J260*EXP((mc_mu-mc_vol^2/2)*(mc_t2-mc_t1)+mc_vol*SQRT(mc_t2-mc_t1)*I260)</f>
        <v>923.907054986299</v>
      </c>
      <c r="L260" s="31" t="n">
        <f aca="false">(t1_usd*J260+t2_usd*K260)/1000</f>
        <v>9312.80288583929</v>
      </c>
    </row>
    <row r="261" customFormat="false" ht="15" hidden="false" customHeight="false" outlineLevel="0" collapsed="false">
      <c r="E261" s="54" t="n">
        <v>257</v>
      </c>
      <c r="F261" s="61" t="n">
        <v>0.453958</v>
      </c>
      <c r="G261" s="61" t="n">
        <v>0.387869</v>
      </c>
      <c r="H261" s="34" t="n">
        <f aca="false">NORMSINV(F261)</f>
        <v>-0.115667581463531</v>
      </c>
      <c r="I261" s="34" t="n">
        <f aca="false">NORMSINV(G261)</f>
        <v>-0.284877492751622</v>
      </c>
      <c r="J261" s="59" t="n">
        <f aca="false">mc_s0*EXP((mc_mu-mc_vol^2/2)*mc_t1+mc_vol*SQRT(mc_t1)*H261)</f>
        <v>1133.67158130653</v>
      </c>
      <c r="K261" s="59" t="n">
        <f aca="false">J261*EXP((mc_mu-mc_vol^2/2)*(mc_t2-mc_t1)+mc_vol*SQRT(mc_t2-mc_t1)*I261)</f>
        <v>1103.75002764264</v>
      </c>
      <c r="L261" s="31" t="n">
        <f aca="false">(t1_usd*J261+t2_usd*K261)/1000</f>
        <v>10032.8261216667</v>
      </c>
    </row>
    <row r="262" customFormat="false" ht="15" hidden="false" customHeight="false" outlineLevel="0" collapsed="false">
      <c r="E262" s="54" t="n">
        <v>258</v>
      </c>
      <c r="F262" s="61" t="n">
        <v>0.432436</v>
      </c>
      <c r="G262" s="61" t="n">
        <v>0.641885</v>
      </c>
      <c r="H262" s="34" t="n">
        <f aca="false">NORMSINV(F262)</f>
        <v>-0.170175651110363</v>
      </c>
      <c r="I262" s="34" t="n">
        <f aca="false">NORMSINV(G262)</f>
        <v>0.363501891774552</v>
      </c>
      <c r="J262" s="59" t="n">
        <f aca="false">mc_s0*EXP((mc_mu-mc_vol^2/2)*mc_t1+mc_vol*SQRT(mc_t1)*H262)</f>
        <v>1127.78417281773</v>
      </c>
      <c r="K262" s="59" t="n">
        <f aca="false">J262*EXP((mc_mu-mc_vol^2/2)*(mc_t2-mc_t1)+mc_vol*SQRT(mc_t2-mc_t1)*I262)</f>
        <v>1216.14610150029</v>
      </c>
      <c r="L262" s="31" t="n">
        <f aca="false">(t1_usd*J262+t2_usd*K262)/1000</f>
        <v>10205.1668025746</v>
      </c>
    </row>
    <row r="263" customFormat="false" ht="15" hidden="false" customHeight="false" outlineLevel="0" collapsed="false">
      <c r="E263" s="54" t="n">
        <v>259</v>
      </c>
      <c r="F263" s="61" t="n">
        <v>0.506159</v>
      </c>
      <c r="G263" s="61" t="n">
        <v>0.209966</v>
      </c>
      <c r="H263" s="34" t="n">
        <f aca="false">NORMSINV(F263)</f>
        <v>0.0154389368610069</v>
      </c>
      <c r="I263" s="34" t="n">
        <f aca="false">NORMSINV(G263)</f>
        <v>-0.806539225735248</v>
      </c>
      <c r="J263" s="59" t="n">
        <f aca="false">mc_s0*EXP((mc_mu-mc_vol^2/2)*mc_t1+mc_vol*SQRT(mc_t1)*H263)</f>
        <v>1147.95855040394</v>
      </c>
      <c r="K263" s="59" t="n">
        <f aca="false">J263*EXP((mc_mu-mc_vol^2/2)*(mc_t2-mc_t1)+mc_vol*SQRT(mc_t2-mc_t1)*I263)</f>
        <v>1029.45217866618</v>
      </c>
      <c r="L263" s="31" t="n">
        <f aca="false">(t1_usd*J263+t2_usd*K263)/1000</f>
        <v>9991.66899229335</v>
      </c>
    </row>
    <row r="264" customFormat="false" ht="15" hidden="false" customHeight="false" outlineLevel="0" collapsed="false">
      <c r="E264" s="54" t="n">
        <v>260</v>
      </c>
      <c r="F264" s="61" t="n">
        <v>0.1558</v>
      </c>
      <c r="G264" s="61" t="n">
        <v>0.964516</v>
      </c>
      <c r="H264" s="34" t="n">
        <f aca="false">NORMSINV(F264)</f>
        <v>-1.01187044958253</v>
      </c>
      <c r="I264" s="34" t="n">
        <f aca="false">NORMSINV(G264)</f>
        <v>1.80568216548722</v>
      </c>
      <c r="J264" s="59" t="n">
        <f aca="false">mc_s0*EXP((mc_mu-mc_vol^2/2)*mc_t1+mc_vol*SQRT(mc_t1)*H264)</f>
        <v>1040.65872480145</v>
      </c>
      <c r="K264" s="59" t="n">
        <f aca="false">J264*EXP((mc_mu-mc_vol^2/2)*(mc_t2-mc_t1)+mc_vol*SQRT(mc_t2-mc_t1)*I264)</f>
        <v>1408.55426166866</v>
      </c>
      <c r="L264" s="31" t="n">
        <f aca="false">(t1_usd*J264+t2_usd*K264)/1000</f>
        <v>9960.86417078064</v>
      </c>
    </row>
    <row r="265" customFormat="false" ht="15" hidden="false" customHeight="false" outlineLevel="0" collapsed="false">
      <c r="E265" s="54" t="n">
        <v>261</v>
      </c>
      <c r="F265" s="61" t="n">
        <v>0.629117</v>
      </c>
      <c r="G265" s="61" t="n">
        <v>0.685426</v>
      </c>
      <c r="H265" s="34" t="n">
        <f aca="false">NORMSINV(F265)</f>
        <v>0.329515606160119</v>
      </c>
      <c r="I265" s="34" t="n">
        <f aca="false">NORMSINV(G265)</f>
        <v>0.482926394360901</v>
      </c>
      <c r="J265" s="59" t="n">
        <f aca="false">mc_s0*EXP((mc_mu-mc_vol^2/2)*mc_t1+mc_vol*SQRT(mc_t1)*H265)</f>
        <v>1182.92078220916</v>
      </c>
      <c r="K265" s="59" t="n">
        <f aca="false">J265*EXP((mc_mu-mc_vol^2/2)*(mc_t2-mc_t1)+mc_vol*SQRT(mc_t2-mc_t1)*I265)</f>
        <v>1299.83747273507</v>
      </c>
      <c r="L265" s="31" t="n">
        <f aca="false">(t1_usd*J265+t2_usd*K265)/1000</f>
        <v>10750.1366736607</v>
      </c>
    </row>
    <row r="266" customFormat="false" ht="15" hidden="false" customHeight="false" outlineLevel="0" collapsed="false">
      <c r="E266" s="54" t="n">
        <v>262</v>
      </c>
      <c r="F266" s="61" t="n">
        <v>0.06742</v>
      </c>
      <c r="G266" s="61" t="n">
        <v>0.266545</v>
      </c>
      <c r="H266" s="34" t="n">
        <f aca="false">NORMSINV(F266)</f>
        <v>-1.49528529944992</v>
      </c>
      <c r="I266" s="34" t="n">
        <f aca="false">NORMSINV(G266)</f>
        <v>-0.623296039392141</v>
      </c>
      <c r="J266" s="59" t="n">
        <f aca="false">mc_s0*EXP((mc_mu-mc_vol^2/2)*mc_t1+mc_vol*SQRT(mc_t1)*H266)</f>
        <v>993.696795444319</v>
      </c>
      <c r="K266" s="59" t="n">
        <f aca="false">J266*EXP((mc_mu-mc_vol^2/2)*(mc_t2-mc_t1)+mc_vol*SQRT(mc_t2-mc_t1)*I266)</f>
        <v>917.223901074606</v>
      </c>
      <c r="L266" s="31" t="n">
        <f aca="false">(t1_usd*J266+t2_usd*K266)/1000</f>
        <v>8698.60298015199</v>
      </c>
    </row>
    <row r="267" customFormat="false" ht="15" hidden="false" customHeight="false" outlineLevel="0" collapsed="false">
      <c r="E267" s="54" t="n">
        <v>263</v>
      </c>
      <c r="F267" s="61" t="n">
        <v>0.362475</v>
      </c>
      <c r="G267" s="61" t="n">
        <v>0.165047</v>
      </c>
      <c r="H267" s="34" t="n">
        <f aca="false">NORMSINV(F267)</f>
        <v>-0.351851011409803</v>
      </c>
      <c r="I267" s="34" t="n">
        <f aca="false">NORMSINV(G267)</f>
        <v>-0.973924556274165</v>
      </c>
      <c r="J267" s="59" t="n">
        <f aca="false">mc_s0*EXP((mc_mu-mc_vol^2/2)*mc_t1+mc_vol*SQRT(mc_t1)*H267)</f>
        <v>1108.38133166925</v>
      </c>
      <c r="K267" s="59" t="n">
        <f aca="false">J267*EXP((mc_mu-mc_vol^2/2)*(mc_t2-mc_t1)+mc_vol*SQRT(mc_t2-mc_t1)*I267)</f>
        <v>968.083926613303</v>
      </c>
      <c r="L267" s="31" t="n">
        <f aca="false">(t1_usd*J267+t2_usd*K267)/1000</f>
        <v>9598.02878225005</v>
      </c>
    </row>
    <row r="268" customFormat="false" ht="15" hidden="false" customHeight="false" outlineLevel="0" collapsed="false">
      <c r="E268" s="54" t="n">
        <v>264</v>
      </c>
      <c r="F268" s="61" t="n">
        <v>0.093718</v>
      </c>
      <c r="G268" s="61" t="n">
        <v>0.61863</v>
      </c>
      <c r="H268" s="34" t="n">
        <f aca="false">NORMSINV(F268)</f>
        <v>-1.31820210816602</v>
      </c>
      <c r="I268" s="34" t="n">
        <f aca="false">NORMSINV(G268)</f>
        <v>0.301884646982214</v>
      </c>
      <c r="J268" s="59" t="n">
        <f aca="false">mc_s0*EXP((mc_mu-mc_vol^2/2)*mc_t1+mc_vol*SQRT(mc_t1)*H268)</f>
        <v>1010.64859466204</v>
      </c>
      <c r="K268" s="59" t="n">
        <f aca="false">J268*EXP((mc_mu-mc_vol^2/2)*(mc_t2-mc_t1)+mc_vol*SQRT(mc_t2-mc_t1)*I268)</f>
        <v>1079.30138481923</v>
      </c>
      <c r="L268" s="31" t="n">
        <f aca="false">(t1_usd*J268+t2_usd*K268)/1000</f>
        <v>9125.21279379084</v>
      </c>
    </row>
    <row r="269" customFormat="false" ht="15" hidden="false" customHeight="false" outlineLevel="0" collapsed="false">
      <c r="E269" s="54" t="n">
        <v>265</v>
      </c>
      <c r="F269" s="61" t="n">
        <v>0.69389</v>
      </c>
      <c r="G269" s="61" t="n">
        <v>0.390049</v>
      </c>
      <c r="H269" s="34" t="n">
        <f aca="false">NORMSINV(F269)</f>
        <v>0.50690710527043</v>
      </c>
      <c r="I269" s="34" t="n">
        <f aca="false">NORMSINV(G269)</f>
        <v>-0.279191325917227</v>
      </c>
      <c r="J269" s="59" t="n">
        <f aca="false">mc_s0*EXP((mc_mu-mc_vol^2/2)*mc_t1+mc_vol*SQRT(mc_t1)*H269)</f>
        <v>1203.13604769979</v>
      </c>
      <c r="K269" s="59" t="n">
        <f aca="false">J269*EXP((mc_mu-mc_vol^2/2)*(mc_t2-mc_t1)+mc_vol*SQRT(mc_t2-mc_t1)*I269)</f>
        <v>1172.43123055456</v>
      </c>
      <c r="L269" s="31" t="n">
        <f aca="false">(t1_usd*J269+t2_usd*K269)/1000</f>
        <v>10649.5716719522</v>
      </c>
    </row>
    <row r="270" customFormat="false" ht="15" hidden="false" customHeight="false" outlineLevel="0" collapsed="false">
      <c r="E270" s="54" t="n">
        <v>266</v>
      </c>
      <c r="F270" s="61" t="n">
        <v>0.289457</v>
      </c>
      <c r="G270" s="61" t="n">
        <v>0.182758</v>
      </c>
      <c r="H270" s="34" t="n">
        <f aca="false">NORMSINV(F270)</f>
        <v>-0.554971725834777</v>
      </c>
      <c r="I270" s="34" t="n">
        <f aca="false">NORMSINV(G270)</f>
        <v>-0.904904467615479</v>
      </c>
      <c r="J270" s="59" t="n">
        <f aca="false">mc_s0*EXP((mc_mu-mc_vol^2/2)*mc_t1+mc_vol*SQRT(mc_t1)*H270)</f>
        <v>1087.08311439905</v>
      </c>
      <c r="K270" s="59" t="n">
        <f aca="false">J270*EXP((mc_mu-mc_vol^2/2)*(mc_t2-mc_t1)+mc_vol*SQRT(mc_t2-mc_t1)*I270)</f>
        <v>959.865583316763</v>
      </c>
      <c r="L270" s="31" t="n">
        <f aca="false">(t1_usd*J270+t2_usd*K270)/1000</f>
        <v>9433.32640909521</v>
      </c>
    </row>
    <row r="271" customFormat="false" ht="15" hidden="false" customHeight="false" outlineLevel="0" collapsed="false">
      <c r="E271" s="54" t="n">
        <v>267</v>
      </c>
      <c r="F271" s="61" t="n">
        <v>0.08259</v>
      </c>
      <c r="G271" s="61" t="n">
        <v>0.390943</v>
      </c>
      <c r="H271" s="34" t="n">
        <f aca="false">NORMSINV(F271)</f>
        <v>-1.38785894979632</v>
      </c>
      <c r="I271" s="34" t="n">
        <f aca="false">NORMSINV(G271)</f>
        <v>-0.27686209376778</v>
      </c>
      <c r="J271" s="59" t="n">
        <f aca="false">mc_s0*EXP((mc_mu-mc_vol^2/2)*mc_t1+mc_vol*SQRT(mc_t1)*H271)</f>
        <v>1003.94625936501</v>
      </c>
      <c r="K271" s="59" t="n">
        <f aca="false">J271*EXP((mc_mu-mc_vol^2/2)*(mc_t2-mc_t1)+mc_vol*SQRT(mc_t2-mc_t1)*I271)</f>
        <v>978.684076375334</v>
      </c>
      <c r="L271" s="31" t="n">
        <f aca="false">(t1_usd*J271+t2_usd*K271)/1000</f>
        <v>8887.12356066822</v>
      </c>
    </row>
    <row r="272" customFormat="false" ht="15" hidden="false" customHeight="false" outlineLevel="0" collapsed="false">
      <c r="E272" s="54" t="n">
        <v>268</v>
      </c>
      <c r="F272" s="61" t="n">
        <v>0.106355</v>
      </c>
      <c r="G272" s="61" t="n">
        <v>0.578277</v>
      </c>
      <c r="H272" s="34" t="n">
        <f aca="false">NORMSINV(F272)</f>
        <v>-1.24614817844809</v>
      </c>
      <c r="I272" s="34" t="n">
        <f aca="false">NORMSINV(G272)</f>
        <v>0.197487579717698</v>
      </c>
      <c r="J272" s="59" t="n">
        <f aca="false">mc_s0*EXP((mc_mu-mc_vol^2/2)*mc_t1+mc_vol*SQRT(mc_t1)*H272)</f>
        <v>1017.62866069776</v>
      </c>
      <c r="K272" s="59" t="n">
        <f aca="false">J272*EXP((mc_mu-mc_vol^2/2)*(mc_t2-mc_t1)+mc_vol*SQRT(mc_t2-mc_t1)*I272)</f>
        <v>1069.02228522442</v>
      </c>
      <c r="L272" s="31" t="n">
        <f aca="false">(t1_usd*J272+t2_usd*K272)/1000</f>
        <v>9154.5429668107</v>
      </c>
    </row>
    <row r="273" customFormat="false" ht="15" hidden="false" customHeight="false" outlineLevel="0" collapsed="false">
      <c r="E273" s="54" t="n">
        <v>269</v>
      </c>
      <c r="F273" s="61" t="n">
        <v>0.606166</v>
      </c>
      <c r="G273" s="61" t="n">
        <v>0.92293</v>
      </c>
      <c r="H273" s="34" t="n">
        <f aca="false">NORMSINV(F273)</f>
        <v>0.269340069559747</v>
      </c>
      <c r="I273" s="34" t="n">
        <f aca="false">NORMSINV(G273)</f>
        <v>1.42505950853984</v>
      </c>
      <c r="J273" s="59" t="n">
        <f aca="false">mc_s0*EXP((mc_mu-mc_vol^2/2)*mc_t1+mc_vol*SQRT(mc_t1)*H273)</f>
        <v>1176.140710439</v>
      </c>
      <c r="K273" s="59" t="n">
        <f aca="false">J273*EXP((mc_mu-mc_vol^2/2)*(mc_t2-mc_t1)+mc_vol*SQRT(mc_t2-mc_t1)*I273)</f>
        <v>1499.24984847694</v>
      </c>
      <c r="L273" s="31" t="n">
        <f aca="false">(t1_usd*J273+t2_usd*K273)/1000</f>
        <v>11081.5596851792</v>
      </c>
    </row>
    <row r="274" customFormat="false" ht="15" hidden="false" customHeight="false" outlineLevel="0" collapsed="false">
      <c r="E274" s="54" t="n">
        <v>270</v>
      </c>
      <c r="F274" s="61" t="n">
        <v>0.893205</v>
      </c>
      <c r="G274" s="61" t="n">
        <v>0.876878</v>
      </c>
      <c r="H274" s="34" t="n">
        <f aca="false">NORMSINV(F274)</f>
        <v>1.24375431240196</v>
      </c>
      <c r="I274" s="34" t="n">
        <f aca="false">NORMSINV(G274)</f>
        <v>1.15952070954126</v>
      </c>
      <c r="J274" s="59" t="n">
        <f aca="false">mc_s0*EXP((mc_mu-mc_vol^2/2)*mc_t1+mc_vol*SQRT(mc_t1)*H274)</f>
        <v>1290.87089181559</v>
      </c>
      <c r="K274" s="59" t="n">
        <f aca="false">J274*EXP((mc_mu-mc_vol^2/2)*(mc_t2-mc_t1)+mc_vol*SQRT(mc_t2-mc_t1)*I274)</f>
        <v>1578.06021320841</v>
      </c>
      <c r="L274" s="31" t="n">
        <f aca="false">(t1_usd*J274+t2_usd*K274)/1000</f>
        <v>12034.4106478051</v>
      </c>
    </row>
    <row r="275" customFormat="false" ht="15" hidden="false" customHeight="false" outlineLevel="0" collapsed="false">
      <c r="E275" s="54" t="n">
        <v>271</v>
      </c>
      <c r="F275" s="61" t="n">
        <v>0.129323</v>
      </c>
      <c r="G275" s="61" t="n">
        <v>0.182378</v>
      </c>
      <c r="H275" s="34" t="n">
        <f aca="false">NORMSINV(F275)</f>
        <v>-1.12959717957336</v>
      </c>
      <c r="I275" s="34" t="n">
        <f aca="false">NORMSINV(G275)</f>
        <v>-0.906339848543404</v>
      </c>
      <c r="J275" s="59" t="n">
        <f aca="false">mc_s0*EXP((mc_mu-mc_vol^2/2)*mc_t1+mc_vol*SQRT(mc_t1)*H275)</f>
        <v>1029.02148443416</v>
      </c>
      <c r="K275" s="59" t="n">
        <f aca="false">J275*EXP((mc_mu-mc_vol^2/2)*(mc_t2-mc_t1)+mc_vol*SQRT(mc_t2-mc_t1)*I275)</f>
        <v>908.393195155956</v>
      </c>
      <c r="L275" s="31" t="n">
        <f aca="false">(t1_usd*J275+t2_usd*K275)/1000</f>
        <v>8929.09746183541</v>
      </c>
    </row>
    <row r="276" customFormat="false" ht="15" hidden="false" customHeight="false" outlineLevel="0" collapsed="false">
      <c r="E276" s="54" t="n">
        <v>272</v>
      </c>
      <c r="F276" s="61" t="n">
        <v>0.64326</v>
      </c>
      <c r="G276" s="61" t="n">
        <v>0.079867</v>
      </c>
      <c r="H276" s="34" t="n">
        <f aca="false">NORMSINV(F276)</f>
        <v>0.367186377373989</v>
      </c>
      <c r="I276" s="34" t="n">
        <f aca="false">NORMSINV(G276)</f>
        <v>-1.40596674465796</v>
      </c>
      <c r="J276" s="59" t="n">
        <f aca="false">mc_s0*EXP((mc_mu-mc_vol^2/2)*mc_t1+mc_vol*SQRT(mc_t1)*H276)</f>
        <v>1187.18508507026</v>
      </c>
      <c r="K276" s="59" t="n">
        <f aca="false">J276*EXP((mc_mu-mc_vol^2/2)*(mc_t2-mc_t1)+mc_vol*SQRT(mc_t2-mc_t1)*I276)</f>
        <v>968.662460150191</v>
      </c>
      <c r="L276" s="31" t="n">
        <f aca="false">(t1_usd*J276+t2_usd*K276)/1000</f>
        <v>10150.7542697772</v>
      </c>
    </row>
    <row r="277" customFormat="false" ht="15" hidden="false" customHeight="false" outlineLevel="0" collapsed="false">
      <c r="E277" s="54" t="n">
        <v>273</v>
      </c>
      <c r="F277" s="61" t="n">
        <v>0.251112</v>
      </c>
      <c r="G277" s="61" t="n">
        <v>0.271625</v>
      </c>
      <c r="H277" s="34" t="n">
        <f aca="false">NORMSINV(F277)</f>
        <v>-0.670994552258103</v>
      </c>
      <c r="I277" s="34" t="n">
        <f aca="false">NORMSINV(G277)</f>
        <v>-0.607905728507246</v>
      </c>
      <c r="J277" s="59" t="n">
        <f aca="false">mc_s0*EXP((mc_mu-mc_vol^2/2)*mc_t1+mc_vol*SQRT(mc_t1)*H277)</f>
        <v>1075.10170074174</v>
      </c>
      <c r="K277" s="59" t="n">
        <f aca="false">J277*EXP((mc_mu-mc_vol^2/2)*(mc_t2-mc_t1)+mc_vol*SQRT(mc_t2-mc_t1)*I277)</f>
        <v>994.773858840561</v>
      </c>
      <c r="L277" s="31" t="n">
        <f aca="false">(t1_usd*J277+t2_usd*K277)/1000</f>
        <v>9415.78223698924</v>
      </c>
    </row>
    <row r="278" customFormat="false" ht="15" hidden="false" customHeight="false" outlineLevel="0" collapsed="false">
      <c r="E278" s="54" t="n">
        <v>274</v>
      </c>
      <c r="F278" s="61" t="n">
        <v>0.511868</v>
      </c>
      <c r="G278" s="61" t="n">
        <v>0.665372</v>
      </c>
      <c r="H278" s="34" t="n">
        <f aca="false">NORMSINV(F278)</f>
        <v>0.0297530535668105</v>
      </c>
      <c r="I278" s="34" t="n">
        <f aca="false">NORMSINV(G278)</f>
        <v>0.427169327887425</v>
      </c>
      <c r="J278" s="59" t="n">
        <f aca="false">mc_s0*EXP((mc_mu-mc_vol^2/2)*mc_t1+mc_vol*SQRT(mc_t1)*H278)</f>
        <v>1149.52925297367</v>
      </c>
      <c r="K278" s="59" t="n">
        <f aca="false">J278*EXP((mc_mu-mc_vol^2/2)*(mc_t2-mc_t1)+mc_vol*SQRT(mc_t2-mc_t1)*I278)</f>
        <v>1252.09505866307</v>
      </c>
      <c r="L278" s="31" t="n">
        <f aca="false">(t1_usd*J278+t2_usd*K278)/1000</f>
        <v>10425.6853822756</v>
      </c>
    </row>
    <row r="279" customFormat="false" ht="15" hidden="false" customHeight="false" outlineLevel="0" collapsed="false">
      <c r="E279" s="54" t="n">
        <v>275</v>
      </c>
      <c r="F279" s="61" t="n">
        <v>0.839682</v>
      </c>
      <c r="G279" s="61" t="n">
        <v>0.236142</v>
      </c>
      <c r="H279" s="34" t="n">
        <f aca="false">NORMSINV(F279)</f>
        <v>0.993151766158425</v>
      </c>
      <c r="I279" s="34" t="n">
        <f aca="false">NORMSINV(G279)</f>
        <v>-0.718767801057336</v>
      </c>
      <c r="J279" s="59" t="n">
        <f aca="false">mc_s0*EXP((mc_mu-mc_vol^2/2)*mc_t1+mc_vol*SQRT(mc_t1)*H279)</f>
        <v>1260.33667472573</v>
      </c>
      <c r="K279" s="59" t="n">
        <f aca="false">J279*EXP((mc_mu-mc_vol^2/2)*(mc_t2-mc_t1)+mc_vol*SQRT(mc_t2-mc_t1)*I279)</f>
        <v>1145.97141087597</v>
      </c>
      <c r="L279" s="31" t="n">
        <f aca="false">(t1_usd*J279+t2_usd*K279)/1000</f>
        <v>10999.7024037444</v>
      </c>
    </row>
    <row r="280" customFormat="false" ht="15" hidden="false" customHeight="false" outlineLevel="0" collapsed="false">
      <c r="E280" s="54" t="n">
        <v>276</v>
      </c>
      <c r="F280" s="61" t="n">
        <v>0.608598</v>
      </c>
      <c r="G280" s="61" t="n">
        <v>0.707951</v>
      </c>
      <c r="H280" s="34" t="n">
        <f aca="false">NORMSINV(F280)</f>
        <v>0.275666796945777</v>
      </c>
      <c r="I280" s="34" t="n">
        <f aca="false">NORMSINV(G280)</f>
        <v>0.547408670236908</v>
      </c>
      <c r="J280" s="59" t="n">
        <f aca="false">mc_s0*EXP((mc_mu-mc_vol^2/2)*mc_t1+mc_vol*SQRT(mc_t1)*H280)</f>
        <v>1176.85172073878</v>
      </c>
      <c r="K280" s="59" t="n">
        <f aca="false">J280*EXP((mc_mu-mc_vol^2/2)*(mc_t2-mc_t1)+mc_vol*SQRT(mc_t2-mc_t1)*I280)</f>
        <v>1306.37669603647</v>
      </c>
      <c r="L280" s="31" t="n">
        <f aca="false">(t1_usd*J280+t2_usd*K280)/1000</f>
        <v>10720.0777676407</v>
      </c>
    </row>
    <row r="281" customFormat="false" ht="15" hidden="false" customHeight="false" outlineLevel="0" collapsed="false">
      <c r="E281" s="54" t="n">
        <v>277</v>
      </c>
      <c r="F281" s="61" t="n">
        <v>0.791287</v>
      </c>
      <c r="G281" s="61" t="n">
        <v>0.161885</v>
      </c>
      <c r="H281" s="34" t="n">
        <f aca="false">NORMSINV(F281)</f>
        <v>0.810894951063618</v>
      </c>
      <c r="I281" s="34" t="n">
        <f aca="false">NORMSINV(G281)</f>
        <v>-0.986740235254352</v>
      </c>
      <c r="J281" s="59" t="n">
        <f aca="false">mc_s0*EXP((mc_mu-mc_vol^2/2)*mc_t1+mc_vol*SQRT(mc_t1)*H281)</f>
        <v>1238.58455287315</v>
      </c>
      <c r="K281" s="59" t="n">
        <f aca="false">J281*EXP((mc_mu-mc_vol^2/2)*(mc_t2-mc_t1)+mc_vol*SQRT(mc_t2-mc_t1)*I281)</f>
        <v>1079.6235207483</v>
      </c>
      <c r="L281" s="31" t="n">
        <f aca="false">(t1_usd*J281+t2_usd*K281)/1000</f>
        <v>10721.3765595338</v>
      </c>
    </row>
    <row r="282" customFormat="false" ht="15" hidden="false" customHeight="false" outlineLevel="0" collapsed="false">
      <c r="E282" s="54" t="n">
        <v>278</v>
      </c>
      <c r="F282" s="61" t="n">
        <v>0.487674</v>
      </c>
      <c r="G282" s="61" t="n">
        <v>0.573848</v>
      </c>
      <c r="H282" s="34" t="n">
        <f aca="false">NORMSINV(F282)</f>
        <v>-0.0309016174524588</v>
      </c>
      <c r="I282" s="34" t="n">
        <f aca="false">NORMSINV(G282)</f>
        <v>0.186179499388672</v>
      </c>
      <c r="J282" s="59" t="n">
        <f aca="false">mc_s0*EXP((mc_mu-mc_vol^2/2)*mc_t1+mc_vol*SQRT(mc_t1)*H282)</f>
        <v>1142.88826019691</v>
      </c>
      <c r="K282" s="59" t="n">
        <f aca="false">J282*EXP((mc_mu-mc_vol^2/2)*(mc_t2-mc_t1)+mc_vol*SQRT(mc_t2-mc_t1)*I282)</f>
        <v>1198.47024029377</v>
      </c>
      <c r="L282" s="31" t="n">
        <f aca="false">(t1_usd*J282+t2_usd*K282)/1000</f>
        <v>10277.3112779365</v>
      </c>
    </row>
    <row r="283" customFormat="false" ht="15" hidden="false" customHeight="false" outlineLevel="0" collapsed="false">
      <c r="E283" s="54" t="n">
        <v>279</v>
      </c>
      <c r="F283" s="61" t="n">
        <v>0.776364</v>
      </c>
      <c r="G283" s="61" t="n">
        <v>0.336622</v>
      </c>
      <c r="H283" s="34" t="n">
        <f aca="false">NORMSINV(F283)</f>
        <v>0.759970865607424</v>
      </c>
      <c r="I283" s="34" t="n">
        <f aca="false">NORMSINV(G283)</f>
        <v>-0.421700006106515</v>
      </c>
      <c r="J283" s="59" t="n">
        <f aca="false">mc_s0*EXP((mc_mu-mc_vol^2/2)*mc_t1+mc_vol*SQRT(mc_t1)*H283)</f>
        <v>1232.57420950801</v>
      </c>
      <c r="K283" s="59" t="n">
        <f aca="false">J283*EXP((mc_mu-mc_vol^2/2)*(mc_t2-mc_t1)+mc_vol*SQRT(mc_t2-mc_t1)*I283)</f>
        <v>1174.4435765153</v>
      </c>
      <c r="L283" s="31" t="n">
        <f aca="false">(t1_usd*J283+t2_usd*K283)/1000</f>
        <v>10859.4622619351</v>
      </c>
    </row>
    <row r="284" customFormat="false" ht="15" hidden="false" customHeight="false" outlineLevel="0" collapsed="false">
      <c r="E284" s="54" t="n">
        <v>280</v>
      </c>
      <c r="F284" s="61" t="n">
        <v>0.831222</v>
      </c>
      <c r="G284" s="61" t="n">
        <v>0.791519</v>
      </c>
      <c r="H284" s="34" t="n">
        <f aca="false">NORMSINV(F284)</f>
        <v>0.959005449282568</v>
      </c>
      <c r="I284" s="34" t="n">
        <f aca="false">NORMSINV(G284)</f>
        <v>0.811703126354601</v>
      </c>
      <c r="J284" s="59" t="n">
        <f aca="false">mc_s0*EXP((mc_mu-mc_vol^2/2)*mc_t1+mc_vol*SQRT(mc_t1)*H284)</f>
        <v>1256.23247390425</v>
      </c>
      <c r="K284" s="59" t="n">
        <f aca="false">J284*EXP((mc_mu-mc_vol^2/2)*(mc_t2-mc_t1)+mc_vol*SQRT(mc_t2-mc_t1)*I284)</f>
        <v>1453.80278687901</v>
      </c>
      <c r="L284" s="31" t="n">
        <f aca="false">(t1_usd*J284+t2_usd*K284)/1000</f>
        <v>11555.8526123998</v>
      </c>
    </row>
    <row r="285" customFormat="false" ht="15" hidden="false" customHeight="false" outlineLevel="0" collapsed="false">
      <c r="E285" s="54" t="n">
        <v>281</v>
      </c>
      <c r="F285" s="61" t="n">
        <v>0.029764</v>
      </c>
      <c r="G285" s="61" t="n">
        <v>0.841358</v>
      </c>
      <c r="H285" s="34" t="n">
        <f aca="false">NORMSINV(F285)</f>
        <v>-1.88427342616433</v>
      </c>
      <c r="I285" s="34" t="n">
        <f aca="false">NORMSINV(G285)</f>
        <v>1.00005477643833</v>
      </c>
      <c r="J285" s="59" t="n">
        <f aca="false">mc_s0*EXP((mc_mu-mc_vol^2/2)*mc_t1+mc_vol*SQRT(mc_t1)*H285)</f>
        <v>957.451395933456</v>
      </c>
      <c r="K285" s="59" t="n">
        <f aca="false">J285*EXP((mc_mu-mc_vol^2/2)*(mc_t2-mc_t1)+mc_vol*SQRT(mc_t2-mc_t1)*I285)</f>
        <v>1141.41441913683</v>
      </c>
      <c r="L285" s="31" t="n">
        <f aca="false">(t1_usd*J285+t2_usd*K285)/1000</f>
        <v>8870.84716789417</v>
      </c>
    </row>
    <row r="286" customFormat="false" ht="15" hidden="false" customHeight="false" outlineLevel="0" collapsed="false">
      <c r="E286" s="54" t="n">
        <v>282</v>
      </c>
      <c r="F286" s="61" t="n">
        <v>0.273881</v>
      </c>
      <c r="G286" s="61" t="n">
        <v>0.084876</v>
      </c>
      <c r="H286" s="34" t="n">
        <f aca="false">NORMSINV(F286)</f>
        <v>-0.60111709203076</v>
      </c>
      <c r="I286" s="34" t="n">
        <f aca="false">NORMSINV(G286)</f>
        <v>-1.37300111522996</v>
      </c>
      <c r="J286" s="59" t="n">
        <f aca="false">mc_s0*EXP((mc_mu-mc_vol^2/2)*mc_t1+mc_vol*SQRT(mc_t1)*H286)</f>
        <v>1082.30187732411</v>
      </c>
      <c r="K286" s="59" t="n">
        <f aca="false">J286*EXP((mc_mu-mc_vol^2/2)*(mc_t2-mc_t1)+mc_vol*SQRT(mc_t2-mc_t1)*I286)</f>
        <v>887.684584734313</v>
      </c>
      <c r="L286" s="31" t="n">
        <f aca="false">(t1_usd*J286+t2_usd*K286)/1000</f>
        <v>9262.71385226395</v>
      </c>
    </row>
    <row r="287" customFormat="false" ht="15" hidden="false" customHeight="false" outlineLevel="0" collapsed="false">
      <c r="E287" s="54" t="n">
        <v>283</v>
      </c>
      <c r="F287" s="61" t="n">
        <v>0.571131</v>
      </c>
      <c r="G287" s="61" t="n">
        <v>0.891047</v>
      </c>
      <c r="H287" s="34" t="n">
        <f aca="false">NORMSINV(F287)</f>
        <v>0.179254336793408</v>
      </c>
      <c r="I287" s="34" t="n">
        <f aca="false">NORMSINV(G287)</f>
        <v>1.23211534514564</v>
      </c>
      <c r="J287" s="59" t="n">
        <f aca="false">mc_s0*EXP((mc_mu-mc_vol^2/2)*mc_t1+mc_vol*SQRT(mc_t1)*H287)</f>
        <v>1166.06317610542</v>
      </c>
      <c r="K287" s="59" t="n">
        <f aca="false">J287*EXP((mc_mu-mc_vol^2/2)*(mc_t2-mc_t1)+mc_vol*SQRT(mc_t2-mc_t1)*I287)</f>
        <v>1441.88742669802</v>
      </c>
      <c r="L287" s="31" t="n">
        <f aca="false">(t1_usd*J287+t2_usd*K287)/1000</f>
        <v>10902.0283434642</v>
      </c>
    </row>
    <row r="288" customFormat="false" ht="15" hidden="false" customHeight="false" outlineLevel="0" collapsed="false">
      <c r="E288" s="54" t="n">
        <v>284</v>
      </c>
      <c r="F288" s="61" t="n">
        <v>0.729559</v>
      </c>
      <c r="G288" s="61" t="n">
        <v>0.602279</v>
      </c>
      <c r="H288" s="34" t="n">
        <f aca="false">NORMSINV(F288)</f>
        <v>0.611479780741084</v>
      </c>
      <c r="I288" s="34" t="n">
        <f aca="false">NORMSINV(G288)</f>
        <v>0.259250460140119</v>
      </c>
      <c r="J288" s="59" t="n">
        <f aca="false">mc_s0*EXP((mc_mu-mc_vol^2/2)*mc_t1+mc_vol*SQRT(mc_t1)*H288)</f>
        <v>1215.21446720897</v>
      </c>
      <c r="K288" s="59" t="n">
        <f aca="false">J288*EXP((mc_mu-mc_vol^2/2)*(mc_t2-mc_t1)+mc_vol*SQRT(mc_t2-mc_t1)*I288)</f>
        <v>1289.07304173116</v>
      </c>
      <c r="L288" s="31" t="n">
        <f aca="false">(t1_usd*J288+t2_usd*K288)/1000</f>
        <v>10955.740049752</v>
      </c>
    </row>
    <row r="289" customFormat="false" ht="15" hidden="false" customHeight="false" outlineLevel="0" collapsed="false">
      <c r="E289" s="54" t="n">
        <v>285</v>
      </c>
      <c r="F289" s="61" t="n">
        <v>0.342098</v>
      </c>
      <c r="G289" s="61" t="n">
        <v>0.930605</v>
      </c>
      <c r="H289" s="34" t="n">
        <f aca="false">NORMSINV(F289)</f>
        <v>-0.406744027881018</v>
      </c>
      <c r="I289" s="34" t="n">
        <f aca="false">NORMSINV(G289)</f>
        <v>1.4803120084698</v>
      </c>
      <c r="J289" s="59" t="n">
        <f aca="false">mc_s0*EXP((mc_mu-mc_vol^2/2)*mc_t1+mc_vol*SQRT(mc_t1)*H289)</f>
        <v>1102.58471703504</v>
      </c>
      <c r="K289" s="59" t="n">
        <f aca="false">J289*EXP((mc_mu-mc_vol^2/2)*(mc_t2-mc_t1)+mc_vol*SQRT(mc_t2-mc_t1)*I289)</f>
        <v>1417.77816317371</v>
      </c>
      <c r="L289" s="31" t="n">
        <f aca="false">(t1_usd*J289+t2_usd*K289)/1000</f>
        <v>10411.8715292753</v>
      </c>
    </row>
    <row r="290" customFormat="false" ht="15" hidden="false" customHeight="false" outlineLevel="0" collapsed="false">
      <c r="E290" s="54" t="n">
        <v>286</v>
      </c>
      <c r="F290" s="61" t="n">
        <v>0.140576</v>
      </c>
      <c r="G290" s="61" t="n">
        <v>0.586393</v>
      </c>
      <c r="H290" s="34" t="n">
        <f aca="false">NORMSINV(F290)</f>
        <v>-1.07773507686658</v>
      </c>
      <c r="I290" s="34" t="n">
        <f aca="false">NORMSINV(G290)</f>
        <v>0.218276093509938</v>
      </c>
      <c r="J290" s="59" t="n">
        <f aca="false">mc_s0*EXP((mc_mu-mc_vol^2/2)*mc_t1+mc_vol*SQRT(mc_t1)*H290)</f>
        <v>1034.13190926811</v>
      </c>
      <c r="K290" s="59" t="n">
        <f aca="false">J290*EXP((mc_mu-mc_vol^2/2)*(mc_t2-mc_t1)+mc_vol*SQRT(mc_t2-mc_t1)*I290)</f>
        <v>1089.92389051905</v>
      </c>
      <c r="L290" s="31" t="n">
        <f aca="false">(t1_usd*J290+t2_usd*K290)/1000</f>
        <v>9309.77875686298</v>
      </c>
    </row>
    <row r="291" customFormat="false" ht="15" hidden="false" customHeight="false" outlineLevel="0" collapsed="false">
      <c r="E291" s="54" t="n">
        <v>287</v>
      </c>
      <c r="F291" s="61" t="n">
        <v>0.896033</v>
      </c>
      <c r="G291" s="61" t="n">
        <v>0.230402</v>
      </c>
      <c r="H291" s="34" t="n">
        <f aca="false">NORMSINV(F291)</f>
        <v>1.25926674656337</v>
      </c>
      <c r="I291" s="34" t="n">
        <f aca="false">NORMSINV(G291)</f>
        <v>-0.73752359487763</v>
      </c>
      <c r="J291" s="59" t="n">
        <f aca="false">mc_s0*EXP((mc_mu-mc_vol^2/2)*mc_t1+mc_vol*SQRT(mc_t1)*H291)</f>
        <v>1292.78510725344</v>
      </c>
      <c r="K291" s="59" t="n">
        <f aca="false">J291*EXP((mc_mu-mc_vol^2/2)*(mc_t2-mc_t1)+mc_vol*SQRT(mc_t2-mc_t1)*I291)</f>
        <v>1172.00608963193</v>
      </c>
      <c r="L291" s="31" t="n">
        <f aca="false">(t1_usd*J291+t2_usd*K291)/1000</f>
        <v>11276.3073210747</v>
      </c>
    </row>
    <row r="292" customFormat="false" ht="15" hidden="false" customHeight="false" outlineLevel="0" collapsed="false">
      <c r="E292" s="54" t="n">
        <v>288</v>
      </c>
      <c r="F292" s="61" t="n">
        <v>0.357345</v>
      </c>
      <c r="G292" s="61" t="n">
        <v>0.228991</v>
      </c>
      <c r="H292" s="34" t="n">
        <f aca="false">NORMSINV(F292)</f>
        <v>-0.36556459251895</v>
      </c>
      <c r="I292" s="34" t="n">
        <f aca="false">NORMSINV(G292)</f>
        <v>-0.742173866755058</v>
      </c>
      <c r="J292" s="59" t="n">
        <f aca="false">mc_s0*EXP((mc_mu-mc_vol^2/2)*mc_t1+mc_vol*SQRT(mc_t1)*H292)</f>
        <v>1106.93035005765</v>
      </c>
      <c r="K292" s="59" t="n">
        <f aca="false">J292*EXP((mc_mu-mc_vol^2/2)*(mc_t2-mc_t1)+mc_vol*SQRT(mc_t2-mc_t1)*I292)</f>
        <v>1002.77973722105</v>
      </c>
      <c r="L292" s="31" t="n">
        <f aca="false">(t1_usd*J292+t2_usd*K292)/1000</f>
        <v>9653.79395112357</v>
      </c>
    </row>
    <row r="293" customFormat="false" ht="15" hidden="false" customHeight="false" outlineLevel="0" collapsed="false">
      <c r="E293" s="54" t="n">
        <v>289</v>
      </c>
      <c r="F293" s="61" t="n">
        <v>0.385659</v>
      </c>
      <c r="G293" s="61" t="n">
        <v>0.071232</v>
      </c>
      <c r="H293" s="34" t="n">
        <f aca="false">NORMSINV(F293)</f>
        <v>-0.290651327729696</v>
      </c>
      <c r="I293" s="34" t="n">
        <f aca="false">NORMSINV(G293)</f>
        <v>-1.466676788647</v>
      </c>
      <c r="J293" s="59" t="n">
        <f aca="false">mc_s0*EXP((mc_mu-mc_vol^2/2)*mc_t1+mc_vol*SQRT(mc_t1)*H293)</f>
        <v>1114.87985496923</v>
      </c>
      <c r="K293" s="59" t="n">
        <f aca="false">J293*EXP((mc_mu-mc_vol^2/2)*(mc_t2-mc_t1)+mc_vol*SQRT(mc_t2-mc_t1)*I293)</f>
        <v>901.004577705817</v>
      </c>
      <c r="L293" s="31" t="n">
        <f aca="false">(t1_usd*J293+t2_usd*K293)/1000</f>
        <v>9516.06768242568</v>
      </c>
    </row>
    <row r="294" customFormat="false" ht="15" hidden="false" customHeight="false" outlineLevel="0" collapsed="false">
      <c r="E294" s="54" t="n">
        <v>290</v>
      </c>
      <c r="F294" s="61" t="n">
        <v>0.896747</v>
      </c>
      <c r="G294" s="61" t="n">
        <v>0.75323</v>
      </c>
      <c r="H294" s="34" t="n">
        <f aca="false">NORMSINV(F294)</f>
        <v>1.26323148742783</v>
      </c>
      <c r="I294" s="34" t="n">
        <f aca="false">NORMSINV(G294)</f>
        <v>0.68468930390995</v>
      </c>
      <c r="J294" s="59" t="n">
        <f aca="false">mc_s0*EXP((mc_mu-mc_vol^2/2)*mc_t1+mc_vol*SQRT(mc_t1)*H294)</f>
        <v>1293.27480672788</v>
      </c>
      <c r="K294" s="59" t="n">
        <f aca="false">J294*EXP((mc_mu-mc_vol^2/2)*(mc_t2-mc_t1)+mc_vol*SQRT(mc_t2-mc_t1)*I294)</f>
        <v>1467.01054930873</v>
      </c>
      <c r="L294" s="31" t="n">
        <f aca="false">(t1_usd*J294+t2_usd*K294)/1000</f>
        <v>11840.2436907817</v>
      </c>
    </row>
    <row r="295" customFormat="false" ht="15" hidden="false" customHeight="false" outlineLevel="0" collapsed="false">
      <c r="E295" s="54" t="n">
        <v>291</v>
      </c>
      <c r="F295" s="61" t="n">
        <v>0.049973</v>
      </c>
      <c r="G295" s="61" t="n">
        <v>0.292312</v>
      </c>
      <c r="H295" s="34" t="n">
        <f aca="false">NORMSINV(F295)</f>
        <v>-1.64511547450572</v>
      </c>
      <c r="I295" s="34" t="n">
        <f aca="false">NORMSINV(G295)</f>
        <v>-0.546643030897108</v>
      </c>
      <c r="J295" s="59" t="n">
        <f aca="false">mc_s0*EXP((mc_mu-mc_vol^2/2)*mc_t1+mc_vol*SQRT(mc_t1)*H295)</f>
        <v>979.57612609877</v>
      </c>
      <c r="K295" s="59" t="n">
        <f aca="false">J295*EXP((mc_mu-mc_vol^2/2)*(mc_t2-mc_t1)+mc_vol*SQRT(mc_t2-mc_t1)*I295)</f>
        <v>915.178776707843</v>
      </c>
      <c r="L295" s="31" t="n">
        <f aca="false">(t1_usd*J295+t2_usd*K295)/1000</f>
        <v>8595.8725584363</v>
      </c>
    </row>
    <row r="296" customFormat="false" ht="15" hidden="false" customHeight="false" outlineLevel="0" collapsed="false">
      <c r="E296" s="54" t="n">
        <v>292</v>
      </c>
      <c r="F296" s="61" t="n">
        <v>0.122009</v>
      </c>
      <c r="G296" s="61" t="n">
        <v>0.973291</v>
      </c>
      <c r="H296" s="34" t="n">
        <f aca="false">NORMSINV(F296)</f>
        <v>-1.16500245276954</v>
      </c>
      <c r="I296" s="34" t="n">
        <f aca="false">NORMSINV(G296)</f>
        <v>1.93152630103355</v>
      </c>
      <c r="J296" s="59" t="n">
        <f aca="false">mc_s0*EXP((mc_mu-mc_vol^2/2)*mc_t1+mc_vol*SQRT(mc_t1)*H296)</f>
        <v>1025.54720732107</v>
      </c>
      <c r="K296" s="59" t="n">
        <f aca="false">J296*EXP((mc_mu-mc_vol^2/2)*(mc_t2-mc_t1)+mc_vol*SQRT(mc_t2-mc_t1)*I296)</f>
        <v>1415.90434639794</v>
      </c>
      <c r="L296" s="31" t="n">
        <f aca="false">(t1_usd*J296+t2_usd*K296)/1000</f>
        <v>9869.04870940358</v>
      </c>
    </row>
    <row r="297" customFormat="false" ht="15" hidden="false" customHeight="false" outlineLevel="0" collapsed="false">
      <c r="E297" s="54" t="n">
        <v>293</v>
      </c>
      <c r="F297" s="61" t="n">
        <v>0.866467</v>
      </c>
      <c r="G297" s="61" t="n">
        <v>0.897304</v>
      </c>
      <c r="H297" s="34" t="n">
        <f aca="false">NORMSINV(F297)</f>
        <v>1.10984459224511</v>
      </c>
      <c r="I297" s="34" t="n">
        <f aca="false">NORMSINV(G297)</f>
        <v>1.26633827311202</v>
      </c>
      <c r="J297" s="59" t="n">
        <f aca="false">mc_s0*EXP((mc_mu-mc_vol^2/2)*mc_t1+mc_vol*SQRT(mc_t1)*H297)</f>
        <v>1274.46399293425</v>
      </c>
      <c r="K297" s="59" t="n">
        <f aca="false">J297*EXP((mc_mu-mc_vol^2/2)*(mc_t2-mc_t1)+mc_vol*SQRT(mc_t2-mc_t1)*I297)</f>
        <v>1584.45213780244</v>
      </c>
      <c r="L297" s="31" t="n">
        <f aca="false">(t1_usd*J297+t2_usd*K297)/1000</f>
        <v>11931.7070123644</v>
      </c>
    </row>
    <row r="298" customFormat="false" ht="15" hidden="false" customHeight="false" outlineLevel="0" collapsed="false">
      <c r="E298" s="54" t="n">
        <v>294</v>
      </c>
      <c r="F298" s="61" t="n">
        <v>0.140017</v>
      </c>
      <c r="G298" s="61" t="n">
        <v>0.125803</v>
      </c>
      <c r="H298" s="34" t="n">
        <f aca="false">NORMSINV(F298)</f>
        <v>-1.0802429658039</v>
      </c>
      <c r="I298" s="34" t="n">
        <f aca="false">NORMSINV(G298)</f>
        <v>-1.14645726478865</v>
      </c>
      <c r="J298" s="59" t="n">
        <f aca="false">mc_s0*EXP((mc_mu-mc_vol^2/2)*mc_t1+mc_vol*SQRT(mc_t1)*H298)</f>
        <v>1033.88420215998</v>
      </c>
      <c r="K298" s="59" t="n">
        <f aca="false">J298*EXP((mc_mu-mc_vol^2/2)*(mc_t2-mc_t1)+mc_vol*SQRT(mc_t2-mc_t1)*I298)</f>
        <v>878.794332567076</v>
      </c>
      <c r="L298" s="31" t="n">
        <f aca="false">(t1_usd*J298+t2_usd*K298)/1000</f>
        <v>8906.89864699728</v>
      </c>
    </row>
    <row r="299" customFormat="false" ht="15" hidden="false" customHeight="false" outlineLevel="0" collapsed="false">
      <c r="E299" s="54" t="n">
        <v>295</v>
      </c>
      <c r="F299" s="61" t="n">
        <v>0.032435</v>
      </c>
      <c r="G299" s="61" t="n">
        <v>0.358726</v>
      </c>
      <c r="H299" s="34" t="n">
        <f aca="false">NORMSINV(F299)</f>
        <v>-1.84615295250658</v>
      </c>
      <c r="I299" s="34" t="n">
        <f aca="false">NORMSINV(G299)</f>
        <v>-0.361866225590444</v>
      </c>
      <c r="J299" s="59" t="n">
        <f aca="false">mc_s0*EXP((mc_mu-mc_vol^2/2)*mc_t1+mc_vol*SQRT(mc_t1)*H299)</f>
        <v>960.944183939781</v>
      </c>
      <c r="K299" s="59" t="n">
        <f aca="false">J299*EXP((mc_mu-mc_vol^2/2)*(mc_t2-mc_t1)+mc_vol*SQRT(mc_t2-mc_t1)*I299)</f>
        <v>924.29877672126</v>
      </c>
      <c r="L299" s="31" t="n">
        <f aca="false">(t1_usd*J299+t2_usd*K299)/1000</f>
        <v>8482.77696334886</v>
      </c>
    </row>
    <row r="300" customFormat="false" ht="15" hidden="false" customHeight="false" outlineLevel="0" collapsed="false">
      <c r="E300" s="54" t="n">
        <v>296</v>
      </c>
      <c r="F300" s="61" t="n">
        <v>0.122396</v>
      </c>
      <c r="G300" s="61" t="n">
        <v>0.212169</v>
      </c>
      <c r="H300" s="34" t="n">
        <f aca="false">NORMSINV(F300)</f>
        <v>-1.16309243772132</v>
      </c>
      <c r="I300" s="34" t="n">
        <f aca="false">NORMSINV(G300)</f>
        <v>-0.79891793267962</v>
      </c>
      <c r="J300" s="59" t="n">
        <f aca="false">mc_s0*EXP((mc_mu-mc_vol^2/2)*mc_t1+mc_vol*SQRT(mc_t1)*H300)</f>
        <v>1025.73433512183</v>
      </c>
      <c r="K300" s="59" t="n">
        <f aca="false">J300*EXP((mc_mu-mc_vol^2/2)*(mc_t2-mc_t1)+mc_vol*SQRT(mc_t2-mc_t1)*I300)</f>
        <v>920.950904018284</v>
      </c>
      <c r="L300" s="31" t="n">
        <f aca="false">(t1_usd*J300+t2_usd*K300)/1000</f>
        <v>8929.94706348756</v>
      </c>
    </row>
    <row r="301" customFormat="false" ht="15" hidden="false" customHeight="false" outlineLevel="0" collapsed="false">
      <c r="E301" s="54" t="n">
        <v>297</v>
      </c>
      <c r="F301" s="61" t="n">
        <v>0.917206</v>
      </c>
      <c r="G301" s="61" t="n">
        <v>0.011917</v>
      </c>
      <c r="H301" s="34" t="n">
        <f aca="false">NORMSINV(F301)</f>
        <v>1.38652058187523</v>
      </c>
      <c r="I301" s="34" t="n">
        <f aca="false">NORMSINV(G301)</f>
        <v>-2.25979462760444</v>
      </c>
      <c r="J301" s="59" t="n">
        <f aca="false">mc_s0*EXP((mc_mu-mc_vol^2/2)*mc_t1+mc_vol*SQRT(mc_t1)*H301)</f>
        <v>1308.59561085185</v>
      </c>
      <c r="K301" s="59" t="n">
        <f aca="false">J301*EXP((mc_mu-mc_vol^2/2)*(mc_t2-mc_t1)+mc_vol*SQRT(mc_t2-mc_t1)*I301)</f>
        <v>933.301429608413</v>
      </c>
      <c r="L301" s="31" t="n">
        <f aca="false">(t1_usd*J301+t2_usd*K301)/1000</f>
        <v>10933.4419922189</v>
      </c>
    </row>
    <row r="302" customFormat="false" ht="15" hidden="false" customHeight="false" outlineLevel="0" collapsed="false">
      <c r="E302" s="54" t="n">
        <v>298</v>
      </c>
      <c r="F302" s="61" t="n">
        <v>0.232645</v>
      </c>
      <c r="G302" s="61" t="n">
        <v>0.53906</v>
      </c>
      <c r="H302" s="34" t="n">
        <f aca="false">NORMSINV(F302)</f>
        <v>-0.73016390970316</v>
      </c>
      <c r="I302" s="34" t="n">
        <f aca="false">NORMSINV(G302)</f>
        <v>0.098065855710939</v>
      </c>
      <c r="J302" s="59" t="n">
        <f aca="false">mc_s0*EXP((mc_mu-mc_vol^2/2)*mc_t1+mc_vol*SQRT(mc_t1)*H302)</f>
        <v>1069.04235253524</v>
      </c>
      <c r="K302" s="59" t="n">
        <f aca="false">J302*EXP((mc_mu-mc_vol^2/2)*(mc_t2-mc_t1)+mc_vol*SQRT(mc_t2-mc_t1)*I302)</f>
        <v>1105.57378534633</v>
      </c>
      <c r="L302" s="31" t="n">
        <f aca="false">(t1_usd*J302+t2_usd*K302)/1000</f>
        <v>9583.88665990469</v>
      </c>
    </row>
    <row r="303" customFormat="false" ht="15" hidden="false" customHeight="false" outlineLevel="0" collapsed="false">
      <c r="E303" s="54" t="n">
        <v>299</v>
      </c>
      <c r="F303" s="61" t="n">
        <v>0.134636</v>
      </c>
      <c r="G303" s="61" t="n">
        <v>0.778222</v>
      </c>
      <c r="H303" s="34" t="n">
        <f aca="false">NORMSINV(F303)</f>
        <v>-1.10474061298811</v>
      </c>
      <c r="I303" s="34" t="n">
        <f aca="false">NORMSINV(G303)</f>
        <v>0.766202199247864</v>
      </c>
      <c r="J303" s="59" t="n">
        <f aca="false">mc_s0*EXP((mc_mu-mc_vol^2/2)*mc_t1+mc_vol*SQRT(mc_t1)*H303)</f>
        <v>1031.46765941535</v>
      </c>
      <c r="K303" s="59" t="n">
        <f aca="false">J303*EXP((mc_mu-mc_vol^2/2)*(mc_t2-mc_t1)+mc_vol*SQRT(mc_t2-mc_t1)*I303)</f>
        <v>1185.15984622939</v>
      </c>
      <c r="L303" s="31" t="n">
        <f aca="false">(t1_usd*J303+t2_usd*K303)/1000</f>
        <v>9472.0773237433</v>
      </c>
    </row>
    <row r="304" customFormat="false" ht="15" hidden="false" customHeight="false" outlineLevel="0" collapsed="false">
      <c r="E304" s="54" t="n">
        <v>300</v>
      </c>
      <c r="F304" s="61" t="n">
        <v>0.456306</v>
      </c>
      <c r="G304" s="61" t="n">
        <v>0.362082</v>
      </c>
      <c r="H304" s="34" t="n">
        <f aca="false">NORMSINV(F304)</f>
        <v>-0.109744509632266</v>
      </c>
      <c r="I304" s="34" t="n">
        <f aca="false">NORMSINV(G304)</f>
        <v>-0.352899214144407</v>
      </c>
      <c r="J304" s="59" t="n">
        <f aca="false">mc_s0*EXP((mc_mu-mc_vol^2/2)*mc_t1+mc_vol*SQRT(mc_t1)*H304)</f>
        <v>1134.31317985642</v>
      </c>
      <c r="K304" s="59" t="n">
        <f aca="false">J304*EXP((mc_mu-mc_vol^2/2)*(mc_t2-mc_t1)+mc_vol*SQRT(mc_t2-mc_t1)*I304)</f>
        <v>1092.59928727637</v>
      </c>
      <c r="L304" s="31" t="n">
        <f aca="false">(t1_usd*J304+t2_usd*K304)/1000</f>
        <v>10016.13090482</v>
      </c>
    </row>
    <row r="305" customFormat="false" ht="15" hidden="false" customHeight="false" outlineLevel="0" collapsed="false">
      <c r="E305" s="54" t="n">
        <v>301</v>
      </c>
      <c r="F305" s="61" t="n">
        <v>0.609259</v>
      </c>
      <c r="G305" s="61" t="n">
        <v>0.711453</v>
      </c>
      <c r="H305" s="34" t="n">
        <f aca="false">NORMSINV(F305)</f>
        <v>0.277388253806314</v>
      </c>
      <c r="I305" s="34" t="n">
        <f aca="false">NORMSINV(G305)</f>
        <v>0.557634489703083</v>
      </c>
      <c r="J305" s="59" t="n">
        <f aca="false">mc_s0*EXP((mc_mu-mc_vol^2/2)*mc_t1+mc_vol*SQRT(mc_t1)*H305)</f>
        <v>1177.04525588616</v>
      </c>
      <c r="K305" s="59" t="n">
        <f aca="false">J305*EXP((mc_mu-mc_vol^2/2)*(mc_t2-mc_t1)+mc_vol*SQRT(mc_t2-mc_t1)*I305)</f>
        <v>1308.69882715923</v>
      </c>
      <c r="L305" s="31" t="n">
        <f aca="false">(t1_usd*J305+t2_usd*K305)/1000</f>
        <v>10725.8445628056</v>
      </c>
    </row>
    <row r="306" customFormat="false" ht="15" hidden="false" customHeight="false" outlineLevel="0" collapsed="false">
      <c r="E306" s="54" t="n">
        <v>302</v>
      </c>
      <c r="F306" s="61" t="n">
        <v>0.386354</v>
      </c>
      <c r="G306" s="61" t="n">
        <v>0.88505</v>
      </c>
      <c r="H306" s="34" t="n">
        <f aca="false">NORMSINV(F306)</f>
        <v>-0.288834538634775</v>
      </c>
      <c r="I306" s="34" t="n">
        <f aca="false">NORMSINV(G306)</f>
        <v>1.20061649380708</v>
      </c>
      <c r="J306" s="59" t="n">
        <f aca="false">mc_s0*EXP((mc_mu-mc_vol^2/2)*mc_t1+mc_vol*SQRT(mc_t1)*H306)</f>
        <v>1115.07335298554</v>
      </c>
      <c r="K306" s="59" t="n">
        <f aca="false">J306*EXP((mc_mu-mc_vol^2/2)*(mc_t2-mc_t1)+mc_vol*SQRT(mc_t2-mc_t1)*I306)</f>
        <v>1372.00872058401</v>
      </c>
      <c r="L306" s="31" t="n">
        <f aca="false">(t1_usd*J306+t2_usd*K306)/1000</f>
        <v>10412.3300400084</v>
      </c>
    </row>
    <row r="307" customFormat="false" ht="15" hidden="false" customHeight="false" outlineLevel="0" collapsed="false">
      <c r="E307" s="54" t="n">
        <v>303</v>
      </c>
      <c r="F307" s="61" t="n">
        <v>0.481681</v>
      </c>
      <c r="G307" s="61" t="n">
        <v>0.530459</v>
      </c>
      <c r="H307" s="34" t="n">
        <f aca="false">NORMSINV(F307)</f>
        <v>-0.0459350723215074</v>
      </c>
      <c r="I307" s="34" t="n">
        <f aca="false">NORMSINV(G307)</f>
        <v>0.0764237186886512</v>
      </c>
      <c r="J307" s="59" t="n">
        <f aca="false">mc_s0*EXP((mc_mu-mc_vol^2/2)*mc_t1+mc_vol*SQRT(mc_t1)*H307)</f>
        <v>1141.24821043555</v>
      </c>
      <c r="K307" s="59" t="n">
        <f aca="false">J307*EXP((mc_mu-mc_vol^2/2)*(mc_t2-mc_t1)+mc_vol*SQRT(mc_t2-mc_t1)*I307)</f>
        <v>1176.22851267985</v>
      </c>
      <c r="L307" s="31" t="n">
        <f aca="false">(t1_usd*J307+t2_usd*K307)/1000</f>
        <v>10223.5716471405</v>
      </c>
    </row>
    <row r="308" customFormat="false" ht="15" hidden="false" customHeight="false" outlineLevel="0" collapsed="false">
      <c r="E308" s="54" t="n">
        <v>304</v>
      </c>
      <c r="F308" s="61" t="n">
        <v>0.673129</v>
      </c>
      <c r="G308" s="61" t="n">
        <v>0.972533</v>
      </c>
      <c r="H308" s="34" t="n">
        <f aca="false">NORMSINV(F308)</f>
        <v>0.448569832529019</v>
      </c>
      <c r="I308" s="34" t="n">
        <f aca="false">NORMSINV(G308)</f>
        <v>1.91939787241186</v>
      </c>
      <c r="J308" s="59" t="n">
        <f aca="false">mc_s0*EXP((mc_mu-mc_vol^2/2)*mc_t1+mc_vol*SQRT(mc_t1)*H308)</f>
        <v>1196.45018254879</v>
      </c>
      <c r="K308" s="59" t="n">
        <f aca="false">J308*EXP((mc_mu-mc_vol^2/2)*(mc_t2-mc_t1)+mc_vol*SQRT(mc_t2-mc_t1)*I308)</f>
        <v>1648.70436104497</v>
      </c>
      <c r="L308" s="31" t="n">
        <f aca="false">(t1_usd*J308+t2_usd*K308)/1000</f>
        <v>11507.689563827</v>
      </c>
    </row>
    <row r="309" customFormat="false" ht="15" hidden="false" customHeight="false" outlineLevel="0" collapsed="false">
      <c r="E309" s="54" t="n">
        <v>305</v>
      </c>
      <c r="F309" s="61" t="n">
        <v>0.260237</v>
      </c>
      <c r="G309" s="61" t="n">
        <v>0.317965</v>
      </c>
      <c r="H309" s="34" t="n">
        <f aca="false">NORMSINV(F309)</f>
        <v>-0.642614919125662</v>
      </c>
      <c r="I309" s="34" t="n">
        <f aca="false">NORMSINV(G309)</f>
        <v>-0.473396957648041</v>
      </c>
      <c r="J309" s="59" t="n">
        <f aca="false">mc_s0*EXP((mc_mu-mc_vol^2/2)*mc_t1+mc_vol*SQRT(mc_t1)*H309)</f>
        <v>1078.02014479267</v>
      </c>
      <c r="K309" s="59" t="n">
        <f aca="false">J309*EXP((mc_mu-mc_vol^2/2)*(mc_t2-mc_t1)+mc_vol*SQRT(mc_t2-mc_t1)*I309)</f>
        <v>1018.84406940648</v>
      </c>
      <c r="L309" s="31" t="n">
        <f aca="false">(t1_usd*J309+t2_usd*K309)/1000</f>
        <v>9481.94474542099</v>
      </c>
    </row>
    <row r="310" customFormat="false" ht="15" hidden="false" customHeight="false" outlineLevel="0" collapsed="false">
      <c r="E310" s="54" t="n">
        <v>306</v>
      </c>
      <c r="F310" s="61" t="n">
        <v>0.778357</v>
      </c>
      <c r="G310" s="61" t="n">
        <v>0.738309</v>
      </c>
      <c r="H310" s="34" t="n">
        <f aca="false">NORMSINV(F310)</f>
        <v>0.766656118872042</v>
      </c>
      <c r="I310" s="34" t="n">
        <f aca="false">NORMSINV(G310)</f>
        <v>0.638140845494885</v>
      </c>
      <c r="J310" s="59" t="n">
        <f aca="false">mc_s0*EXP((mc_mu-mc_vol^2/2)*mc_t1+mc_vol*SQRT(mc_t1)*H310)</f>
        <v>1233.3615740743</v>
      </c>
      <c r="K310" s="59" t="n">
        <f aca="false">J310*EXP((mc_mu-mc_vol^2/2)*(mc_t2-mc_t1)+mc_vol*SQRT(mc_t2-mc_t1)*I310)</f>
        <v>1388.82322372438</v>
      </c>
      <c r="L310" s="31" t="n">
        <f aca="false">(t1_usd*J310+t2_usd*K310)/1000</f>
        <v>11272.2951435964</v>
      </c>
    </row>
    <row r="311" customFormat="false" ht="15" hidden="false" customHeight="false" outlineLevel="0" collapsed="false">
      <c r="E311" s="54" t="n">
        <v>307</v>
      </c>
      <c r="F311" s="61" t="n">
        <v>0.108656</v>
      </c>
      <c r="G311" s="61" t="n">
        <v>0.190038</v>
      </c>
      <c r="H311" s="34" t="n">
        <f aca="false">NORMSINV(F311)</f>
        <v>-1.23370728051707</v>
      </c>
      <c r="I311" s="34" t="n">
        <f aca="false">NORMSINV(G311)</f>
        <v>-0.87775627100247</v>
      </c>
      <c r="J311" s="59" t="n">
        <f aca="false">mc_s0*EXP((mc_mu-mc_vol^2/2)*mc_t1+mc_vol*SQRT(mc_t1)*H311)</f>
        <v>1018.83871646775</v>
      </c>
      <c r="K311" s="59" t="n">
        <f aca="false">J311*EXP((mc_mu-mc_vol^2/2)*(mc_t2-mc_t1)+mc_vol*SQRT(mc_t2-mc_t1)*I311)</f>
        <v>903.464688685527</v>
      </c>
      <c r="L311" s="31" t="n">
        <f aca="false">(t1_usd*J311+t2_usd*K311)/1000</f>
        <v>8848.45392377676</v>
      </c>
    </row>
    <row r="312" customFormat="false" ht="15" hidden="false" customHeight="false" outlineLevel="0" collapsed="false">
      <c r="E312" s="54" t="n">
        <v>308</v>
      </c>
      <c r="F312" s="61" t="n">
        <v>0.594226</v>
      </c>
      <c r="G312" s="61" t="n">
        <v>0.199811</v>
      </c>
      <c r="H312" s="34" t="n">
        <f aca="false">NORMSINV(F312)</f>
        <v>0.238429486295056</v>
      </c>
      <c r="I312" s="34" t="n">
        <f aca="false">NORMSINV(G312)</f>
        <v>-0.842296517292421</v>
      </c>
      <c r="J312" s="59" t="n">
        <f aca="false">mc_s0*EXP((mc_mu-mc_vol^2/2)*mc_t1+mc_vol*SQRT(mc_t1)*H312)</f>
        <v>1172.67308861336</v>
      </c>
      <c r="K312" s="59" t="n">
        <f aca="false">J312*EXP((mc_mu-mc_vol^2/2)*(mc_t2-mc_t1)+mc_vol*SQRT(mc_t2-mc_t1)*I312)</f>
        <v>1045.70608019061</v>
      </c>
      <c r="L312" s="31" t="n">
        <f aca="false">(t1_usd*J312+t2_usd*K312)/1000</f>
        <v>10195.5531726557</v>
      </c>
    </row>
    <row r="313" customFormat="false" ht="15" hidden="false" customHeight="false" outlineLevel="0" collapsed="false">
      <c r="E313" s="54" t="n">
        <v>309</v>
      </c>
      <c r="F313" s="61" t="n">
        <v>0.492754</v>
      </c>
      <c r="G313" s="61" t="n">
        <v>0.805203</v>
      </c>
      <c r="H313" s="34" t="n">
        <f aca="false">NORMSINV(F313)</f>
        <v>-0.0181640272438404</v>
      </c>
      <c r="I313" s="34" t="n">
        <f aca="false">NORMSINV(G313)</f>
        <v>0.860353881121094</v>
      </c>
      <c r="J313" s="59" t="n">
        <f aca="false">mc_s0*EXP((mc_mu-mc_vol^2/2)*mc_t1+mc_vol*SQRT(mc_t1)*H313)</f>
        <v>1144.2796907314</v>
      </c>
      <c r="K313" s="59" t="n">
        <f aca="false">J313*EXP((mc_mu-mc_vol^2/2)*(mc_t2-mc_t1)+mc_vol*SQRT(mc_t2-mc_t1)*I313)</f>
        <v>1334.4349842472</v>
      </c>
      <c r="L313" s="31" t="n">
        <f aca="false">(t1_usd*J313+t2_usd*K313)/1000</f>
        <v>10545.3843051895</v>
      </c>
    </row>
    <row r="314" customFormat="false" ht="15" hidden="false" customHeight="false" outlineLevel="0" collapsed="false">
      <c r="E314" s="54" t="n">
        <v>310</v>
      </c>
      <c r="F314" s="61" t="n">
        <v>0.489688</v>
      </c>
      <c r="G314" s="61" t="n">
        <v>0.550059</v>
      </c>
      <c r="H314" s="34" t="n">
        <f aca="false">NORMSINV(F314)</f>
        <v>-0.0258512298155704</v>
      </c>
      <c r="I314" s="34" t="n">
        <f aca="false">NORMSINV(G314)</f>
        <v>0.125810411598869</v>
      </c>
      <c r="J314" s="59" t="n">
        <f aca="false">mc_s0*EXP((mc_mu-mc_vol^2/2)*mc_t1+mc_vol*SQRT(mc_t1)*H314)</f>
        <v>1143.43975255114</v>
      </c>
      <c r="K314" s="59" t="n">
        <f aca="false">J314*EXP((mc_mu-mc_vol^2/2)*(mc_t2-mc_t1)+mc_vol*SQRT(mc_t2-mc_t1)*I314)</f>
        <v>1187.69518816082</v>
      </c>
      <c r="L314" s="31" t="n">
        <f aca="false">(t1_usd*J314+t2_usd*K314)/1000</f>
        <v>10260.6991253635</v>
      </c>
    </row>
    <row r="315" customFormat="false" ht="15" hidden="false" customHeight="false" outlineLevel="0" collapsed="false">
      <c r="E315" s="54" t="n">
        <v>311</v>
      </c>
      <c r="F315" s="61" t="n">
        <v>0.024505</v>
      </c>
      <c r="G315" s="61" t="n">
        <v>0.026678</v>
      </c>
      <c r="H315" s="34" t="n">
        <f aca="false">NORMSINV(F315)</f>
        <v>-1.96850466403011</v>
      </c>
      <c r="I315" s="34" t="n">
        <f aca="false">NORMSINV(G315)</f>
        <v>-1.93202840518943</v>
      </c>
      <c r="J315" s="59" t="n">
        <f aca="false">mc_s0*EXP((mc_mu-mc_vol^2/2)*mc_t1+mc_vol*SQRT(mc_t1)*H315)</f>
        <v>949.778661332528</v>
      </c>
      <c r="K315" s="59" t="n">
        <f aca="false">J315*EXP((mc_mu-mc_vol^2/2)*(mc_t2-mc_t1)+mc_vol*SQRT(mc_t2-mc_t1)*I315)</f>
        <v>713.299317854383</v>
      </c>
      <c r="L315" s="31" t="n">
        <f aca="false">(t1_usd*J315+t2_usd*K315)/1000</f>
        <v>8003.71933325102</v>
      </c>
    </row>
    <row r="316" customFormat="false" ht="15" hidden="false" customHeight="false" outlineLevel="0" collapsed="false">
      <c r="E316" s="54" t="n">
        <v>312</v>
      </c>
      <c r="F316" s="61" t="n">
        <v>0.41124</v>
      </c>
      <c r="G316" s="61" t="n">
        <v>0.509439</v>
      </c>
      <c r="H316" s="34" t="n">
        <f aca="false">NORMSINV(F316)</f>
        <v>-0.224356391877235</v>
      </c>
      <c r="I316" s="34" t="n">
        <f aca="false">NORMSINV(G316)</f>
        <v>0.0236622721954992</v>
      </c>
      <c r="J316" s="59" t="n">
        <f aca="false">mc_s0*EXP((mc_mu-mc_vol^2/2)*mc_t1+mc_vol*SQRT(mc_t1)*H316)</f>
        <v>1121.96241915244</v>
      </c>
      <c r="K316" s="59" t="n">
        <f aca="false">J316*EXP((mc_mu-mc_vol^2/2)*(mc_t2-mc_t1)+mc_vol*SQRT(mc_t2-mc_t1)*I316)</f>
        <v>1146.77657237612</v>
      </c>
      <c r="L316" s="31" t="n">
        <f aca="false">(t1_usd*J316+t2_usd*K316)/1000</f>
        <v>10032.6124215817</v>
      </c>
    </row>
    <row r="317" customFormat="false" ht="15" hidden="false" customHeight="false" outlineLevel="0" collapsed="false">
      <c r="E317" s="54" t="n">
        <v>313</v>
      </c>
      <c r="F317" s="61" t="n">
        <v>0.812959</v>
      </c>
      <c r="G317" s="61" t="n">
        <v>0.967462</v>
      </c>
      <c r="H317" s="34" t="n">
        <f aca="false">NORMSINV(F317)</f>
        <v>0.888853162908836</v>
      </c>
      <c r="I317" s="34" t="n">
        <f aca="false">NORMSINV(G317)</f>
        <v>1.84473566563517</v>
      </c>
      <c r="J317" s="59" t="n">
        <f aca="false">mc_s0*EXP((mc_mu-mc_vol^2/2)*mc_t1+mc_vol*SQRT(mc_t1)*H317)</f>
        <v>1247.84243884497</v>
      </c>
      <c r="K317" s="59" t="n">
        <f aca="false">J317*EXP((mc_mu-mc_vol^2/2)*(mc_t2-mc_t1)+mc_vol*SQRT(mc_t2-mc_t1)*I317)</f>
        <v>1699.4089382598</v>
      </c>
      <c r="L317" s="31" t="n">
        <f aca="false">(t1_usd*J317+t2_usd*K317)/1000</f>
        <v>11963.7740546084</v>
      </c>
    </row>
    <row r="318" customFormat="false" ht="15" hidden="false" customHeight="false" outlineLevel="0" collapsed="false">
      <c r="E318" s="54" t="n">
        <v>314</v>
      </c>
      <c r="F318" s="61" t="n">
        <v>0.286896</v>
      </c>
      <c r="G318" s="61" t="n">
        <v>0.785649</v>
      </c>
      <c r="H318" s="34" t="n">
        <f aca="false">NORMSINV(F318)</f>
        <v>-0.562475634420573</v>
      </c>
      <c r="I318" s="34" t="n">
        <f aca="false">NORMSINV(G318)</f>
        <v>0.791414759346914</v>
      </c>
      <c r="J318" s="59" t="n">
        <f aca="false">mc_s0*EXP((mc_mu-mc_vol^2/2)*mc_t1+mc_vol*SQRT(mc_t1)*H318)</f>
        <v>1086.30417998178</v>
      </c>
      <c r="K318" s="59" t="n">
        <f aca="false">J318*EXP((mc_mu-mc_vol^2/2)*(mc_t2-mc_t1)+mc_vol*SQRT(mc_t2-mc_t1)*I318)</f>
        <v>1253.13643807917</v>
      </c>
      <c r="L318" s="31" t="n">
        <f aca="false">(t1_usd*J318+t2_usd*K318)/1000</f>
        <v>9985.08849222288</v>
      </c>
    </row>
    <row r="319" customFormat="false" ht="15" hidden="false" customHeight="false" outlineLevel="0" collapsed="false">
      <c r="E319" s="54" t="n">
        <v>315</v>
      </c>
      <c r="F319" s="61" t="n">
        <v>0.5875</v>
      </c>
      <c r="G319" s="61" t="n">
        <v>0.896694</v>
      </c>
      <c r="H319" s="34" t="n">
        <f aca="false">NORMSINV(F319)</f>
        <v>0.221118712997571</v>
      </c>
      <c r="I319" s="34" t="n">
        <f aca="false">NORMSINV(G319)</f>
        <v>1.26293650345238</v>
      </c>
      <c r="J319" s="59" t="n">
        <f aca="false">mc_s0*EXP((mc_mu-mc_vol^2/2)*mc_t1+mc_vol*SQRT(mc_t1)*H319)</f>
        <v>1170.7355933114</v>
      </c>
      <c r="K319" s="59" t="n">
        <f aca="false">J319*EXP((mc_mu-mc_vol^2/2)*(mc_t2-mc_t1)+mc_vol*SQRT(mc_t2-mc_t1)*I319)</f>
        <v>1454.71378276266</v>
      </c>
      <c r="L319" s="31" t="n">
        <f aca="false">(t1_usd*J319+t2_usd*K319)/1000</f>
        <v>10959.1053404288</v>
      </c>
    </row>
    <row r="320" customFormat="false" ht="15" hidden="false" customHeight="false" outlineLevel="0" collapsed="false">
      <c r="E320" s="54" t="n">
        <v>316</v>
      </c>
      <c r="F320" s="61" t="n">
        <v>0.003543</v>
      </c>
      <c r="G320" s="61" t="n">
        <v>0.139731</v>
      </c>
      <c r="H320" s="34" t="n">
        <f aca="false">NORMSINV(F320)</f>
        <v>-2.69277533531943</v>
      </c>
      <c r="I320" s="34" t="n">
        <f aca="false">NORMSINV(G320)</f>
        <v>-1.08152870287087</v>
      </c>
      <c r="J320" s="59" t="n">
        <f aca="false">mc_s0*EXP((mc_mu-mc_vol^2/2)*mc_t1+mc_vol*SQRT(mc_t1)*H320)</f>
        <v>886.290463271863</v>
      </c>
      <c r="K320" s="59" t="n">
        <f aca="false">J320*EXP((mc_mu-mc_vol^2/2)*(mc_t2-mc_t1)+mc_vol*SQRT(mc_t2-mc_t1)*I320)</f>
        <v>761.088667956756</v>
      </c>
      <c r="L320" s="31" t="n">
        <f aca="false">(t1_usd*J320+t2_usd*K320)/1000</f>
        <v>7650.10171202088</v>
      </c>
    </row>
    <row r="321" customFormat="false" ht="15" hidden="false" customHeight="false" outlineLevel="0" collapsed="false">
      <c r="E321" s="54" t="n">
        <v>317</v>
      </c>
      <c r="F321" s="61" t="n">
        <v>0.723461</v>
      </c>
      <c r="G321" s="61" t="n">
        <v>0.285002</v>
      </c>
      <c r="H321" s="34" t="n">
        <f aca="false">NORMSINV(F321)</f>
        <v>0.593154140983741</v>
      </c>
      <c r="I321" s="34" t="n">
        <f aca="false">NORMSINV(G321)</f>
        <v>-0.568045607341749</v>
      </c>
      <c r="J321" s="59" t="n">
        <f aca="false">mc_s0*EXP((mc_mu-mc_vol^2/2)*mc_t1+mc_vol*SQRT(mc_t1)*H321)</f>
        <v>1213.08907902494</v>
      </c>
      <c r="K321" s="59" t="n">
        <f aca="false">J321*EXP((mc_mu-mc_vol^2/2)*(mc_t2-mc_t1)+mc_vol*SQRT(mc_t2-mc_t1)*I321)</f>
        <v>1129.52437900794</v>
      </c>
      <c r="L321" s="31" t="n">
        <f aca="false">(t1_usd*J321+t2_usd*K321)/1000</f>
        <v>10637.7198732897</v>
      </c>
    </row>
    <row r="322" customFormat="false" ht="15" hidden="false" customHeight="false" outlineLevel="0" collapsed="false">
      <c r="E322" s="54" t="n">
        <v>318</v>
      </c>
      <c r="F322" s="61" t="n">
        <v>0.730758</v>
      </c>
      <c r="G322" s="61" t="n">
        <v>0.203102</v>
      </c>
      <c r="H322" s="34" t="n">
        <f aca="false">NORMSINV(F322)</f>
        <v>0.6151070901735</v>
      </c>
      <c r="I322" s="34" t="n">
        <f aca="false">NORMSINV(G322)</f>
        <v>-0.830592275392025</v>
      </c>
      <c r="J322" s="59" t="n">
        <f aca="false">mc_s0*EXP((mc_mu-mc_vol^2/2)*mc_t1+mc_vol*SQRT(mc_t1)*H322)</f>
        <v>1215.63559996959</v>
      </c>
      <c r="K322" s="59" t="n">
        <f aca="false">J322*EXP((mc_mu-mc_vol^2/2)*(mc_t2-mc_t1)+mc_vol*SQRT(mc_t2-mc_t1)*I322)</f>
        <v>1086.01830256729</v>
      </c>
      <c r="L322" s="31" t="n">
        <f aca="false">(t1_usd*J322+t2_usd*K322)/1000</f>
        <v>10572.883974665</v>
      </c>
    </row>
    <row r="323" customFormat="false" ht="15" hidden="false" customHeight="false" outlineLevel="0" collapsed="false">
      <c r="E323" s="54" t="n">
        <v>319</v>
      </c>
      <c r="F323" s="61" t="n">
        <v>0.8857</v>
      </c>
      <c r="G323" s="61" t="n">
        <v>0.47396</v>
      </c>
      <c r="H323" s="34" t="n">
        <f aca="false">NORMSINV(F323)</f>
        <v>1.20397303742606</v>
      </c>
      <c r="I323" s="34" t="n">
        <f aca="false">NORMSINV(G323)</f>
        <v>-0.065319018633588</v>
      </c>
      <c r="J323" s="59" t="n">
        <f aca="false">mc_s0*EXP((mc_mu-mc_vol^2/2)*mc_t1+mc_vol*SQRT(mc_t1)*H323)</f>
        <v>1285.97487552266</v>
      </c>
      <c r="K323" s="59" t="n">
        <f aca="false">J323*EXP((mc_mu-mc_vol^2/2)*(mc_t2-mc_t1)+mc_vol*SQRT(mc_t2-mc_t1)*I323)</f>
        <v>1296.11322167472</v>
      </c>
      <c r="L323" s="31" t="n">
        <f aca="false">(t1_usd*J323+t2_usd*K323)/1000</f>
        <v>11464.4392498406</v>
      </c>
    </row>
    <row r="324" customFormat="false" ht="15" hidden="false" customHeight="false" outlineLevel="0" collapsed="false">
      <c r="E324" s="54" t="n">
        <v>320</v>
      </c>
      <c r="F324" s="61" t="n">
        <v>0.905528</v>
      </c>
      <c r="G324" s="61" t="n">
        <v>0.249776</v>
      </c>
      <c r="H324" s="34" t="n">
        <f aca="false">NORMSINV(F324)</f>
        <v>1.31370944880242</v>
      </c>
      <c r="I324" s="34" t="n">
        <f aca="false">NORMSINV(G324)</f>
        <v>-0.675194815656213</v>
      </c>
      <c r="J324" s="59" t="n">
        <f aca="false">mc_s0*EXP((mc_mu-mc_vol^2/2)*mc_t1+mc_vol*SQRT(mc_t1)*H324)</f>
        <v>1299.52576114967</v>
      </c>
      <c r="K324" s="59" t="n">
        <f aca="false">J324*EXP((mc_mu-mc_vol^2/2)*(mc_t2-mc_t1)+mc_vol*SQRT(mc_t2-mc_t1)*I324)</f>
        <v>1189.74617806903</v>
      </c>
      <c r="L324" s="31" t="n">
        <f aca="false">(t1_usd*J324+t2_usd*K324)/1000</f>
        <v>11357.1980663789</v>
      </c>
    </row>
    <row r="325" customFormat="false" ht="15" hidden="false" customHeight="false" outlineLevel="0" collapsed="false">
      <c r="E325" s="54" t="n">
        <v>321</v>
      </c>
      <c r="F325" s="61" t="n">
        <v>0.450753</v>
      </c>
      <c r="G325" s="61" t="n">
        <v>0.531475</v>
      </c>
      <c r="H325" s="34" t="n">
        <f aca="false">NORMSINV(F325)</f>
        <v>-0.123759120527351</v>
      </c>
      <c r="I325" s="34" t="n">
        <f aca="false">NORMSINV(G325)</f>
        <v>0.0789781531934761</v>
      </c>
      <c r="J325" s="59" t="n">
        <f aca="false">mc_s0*EXP((mc_mu-mc_vol^2/2)*mc_t1+mc_vol*SQRT(mc_t1)*H325)</f>
        <v>1132.79567668741</v>
      </c>
      <c r="K325" s="59" t="n">
        <f aca="false">J325*EXP((mc_mu-mc_vol^2/2)*(mc_t2-mc_t1)+mc_vol*SQRT(mc_t2-mc_t1)*I325)</f>
        <v>1167.98699301151</v>
      </c>
      <c r="L325" s="31" t="n">
        <f aca="false">(t1_usd*J325+t2_usd*K325)/1000</f>
        <v>10148.7450235338</v>
      </c>
    </row>
    <row r="326" customFormat="false" ht="15" hidden="false" customHeight="false" outlineLevel="0" collapsed="false">
      <c r="E326" s="54" t="n">
        <v>322</v>
      </c>
      <c r="F326" s="61" t="n">
        <v>0.304167</v>
      </c>
      <c r="G326" s="61" t="n">
        <v>0.636011</v>
      </c>
      <c r="H326" s="34" t="n">
        <f aca="false">NORMSINV(F326)</f>
        <v>-0.512453008689232</v>
      </c>
      <c r="I326" s="34" t="n">
        <f aca="false">NORMSINV(G326)</f>
        <v>0.347816496349759</v>
      </c>
      <c r="J326" s="59" t="n">
        <f aca="false">mc_s0*EXP((mc_mu-mc_vol^2/2)*mc_t1+mc_vol*SQRT(mc_t1)*H326)</f>
        <v>1091.50728019505</v>
      </c>
      <c r="K326" s="59" t="n">
        <f aca="false">J326*EXP((mc_mu-mc_vol^2/2)*(mc_t2-mc_t1)+mc_vol*SQRT(mc_t2-mc_t1)*I326)</f>
        <v>1174.12099962073</v>
      </c>
      <c r="L326" s="31" t="n">
        <f aca="false">(t1_usd*J326+t2_usd*K326)/1000</f>
        <v>9871.38086064473</v>
      </c>
    </row>
    <row r="327" customFormat="false" ht="15" hidden="false" customHeight="false" outlineLevel="0" collapsed="false">
      <c r="E327" s="54" t="n">
        <v>323</v>
      </c>
      <c r="F327" s="61" t="n">
        <v>0.025578</v>
      </c>
      <c r="G327" s="61" t="n">
        <v>0.835911</v>
      </c>
      <c r="H327" s="34" t="n">
        <f aca="false">NORMSINV(F327)</f>
        <v>-1.95016882670121</v>
      </c>
      <c r="I327" s="34" t="n">
        <f aca="false">NORMSINV(G327)</f>
        <v>0.977790400052087</v>
      </c>
      <c r="J327" s="59" t="n">
        <f aca="false">mc_s0*EXP((mc_mu-mc_vol^2/2)*mc_t1+mc_vol*SQRT(mc_t1)*H327)</f>
        <v>951.443644283667</v>
      </c>
      <c r="K327" s="59" t="n">
        <f aca="false">J327*EXP((mc_mu-mc_vol^2/2)*(mc_t2-mc_t1)+mc_vol*SQRT(mc_t2-mc_t1)*I327)</f>
        <v>1130.27955501238</v>
      </c>
      <c r="L327" s="31" t="n">
        <f aca="false">(t1_usd*J327+t2_usd*K327)/1000</f>
        <v>8807.63666450919</v>
      </c>
    </row>
    <row r="328" customFormat="false" ht="15" hidden="false" customHeight="false" outlineLevel="0" collapsed="false">
      <c r="E328" s="54" t="n">
        <v>324</v>
      </c>
      <c r="F328" s="61" t="n">
        <v>0.926649</v>
      </c>
      <c r="G328" s="61" t="n">
        <v>0.105516</v>
      </c>
      <c r="H328" s="34" t="n">
        <f aca="false">NORMSINV(F328)</f>
        <v>1.45127966984762</v>
      </c>
      <c r="I328" s="34" t="n">
        <f aca="false">NORMSINV(G328)</f>
        <v>-1.25073274361884</v>
      </c>
      <c r="J328" s="59" t="n">
        <f aca="false">mc_s0*EXP((mc_mu-mc_vol^2/2)*mc_t1+mc_vol*SQRT(mc_t1)*H328)</f>
        <v>1316.7156175696</v>
      </c>
      <c r="K328" s="59" t="n">
        <f aca="false">J328*EXP((mc_mu-mc_vol^2/2)*(mc_t2-mc_t1)+mc_vol*SQRT(mc_t2-mc_t1)*I328)</f>
        <v>1100.95743199431</v>
      </c>
      <c r="L328" s="31" t="n">
        <f aca="false">(t1_usd*J328+t2_usd*K328)/1000</f>
        <v>11308.8284437764</v>
      </c>
    </row>
    <row r="329" customFormat="false" ht="15" hidden="false" customHeight="false" outlineLevel="0" collapsed="false">
      <c r="E329" s="54" t="n">
        <v>325</v>
      </c>
      <c r="F329" s="61" t="n">
        <v>0.677626</v>
      </c>
      <c r="G329" s="61" t="n">
        <v>0.32413</v>
      </c>
      <c r="H329" s="34" t="n">
        <f aca="false">NORMSINV(F329)</f>
        <v>0.461070535809842</v>
      </c>
      <c r="I329" s="34" t="n">
        <f aca="false">NORMSINV(G329)</f>
        <v>-0.456180759502797</v>
      </c>
      <c r="J329" s="59" t="n">
        <f aca="false">mc_s0*EXP((mc_mu-mc_vol^2/2)*mc_t1+mc_vol*SQRT(mc_t1)*H329)</f>
        <v>1197.879717038</v>
      </c>
      <c r="K329" s="59" t="n">
        <f aca="false">J329*EXP((mc_mu-mc_vol^2/2)*(mc_t2-mc_t1)+mc_vol*SQRT(mc_t2-mc_t1)*I329)</f>
        <v>1135.19995489445</v>
      </c>
      <c r="L329" s="31" t="n">
        <f aca="false">(t1_usd*J329+t2_usd*K329)/1000</f>
        <v>10542.0379335654</v>
      </c>
    </row>
    <row r="330" customFormat="false" ht="15" hidden="false" customHeight="false" outlineLevel="0" collapsed="false">
      <c r="E330" s="54" t="n">
        <v>326</v>
      </c>
      <c r="F330" s="61" t="n">
        <v>0.791671</v>
      </c>
      <c r="G330" s="61" t="n">
        <v>0.750754</v>
      </c>
      <c r="H330" s="34" t="n">
        <f aca="false">NORMSINV(F330)</f>
        <v>0.81223290808301</v>
      </c>
      <c r="I330" s="34" t="n">
        <f aca="false">NORMSINV(G330)</f>
        <v>0.676864389374899</v>
      </c>
      <c r="J330" s="59" t="n">
        <f aca="false">mc_s0*EXP((mc_mu-mc_vol^2/2)*mc_t1+mc_vol*SQRT(mc_t1)*H330)</f>
        <v>1238.74286049463</v>
      </c>
      <c r="K330" s="59" t="n">
        <f aca="false">J330*EXP((mc_mu-mc_vol^2/2)*(mc_t2-mc_t1)+mc_vol*SQRT(mc_t2-mc_t1)*I330)</f>
        <v>1403.42119825981</v>
      </c>
      <c r="L330" s="31" t="n">
        <f aca="false">(t1_usd*J330+t2_usd*K330)/1000</f>
        <v>11337.7003001561</v>
      </c>
    </row>
    <row r="331" customFormat="false" ht="15" hidden="false" customHeight="false" outlineLevel="0" collapsed="false">
      <c r="E331" s="54" t="n">
        <v>327</v>
      </c>
      <c r="F331" s="61" t="n">
        <v>0.033325</v>
      </c>
      <c r="G331" s="61" t="n">
        <v>0.905542</v>
      </c>
      <c r="H331" s="34" t="n">
        <f aca="false">NORMSINV(F331)</f>
        <v>-1.83402690803662</v>
      </c>
      <c r="I331" s="34" t="n">
        <f aca="false">NORMSINV(G331)</f>
        <v>1.31379262546049</v>
      </c>
      <c r="J331" s="59" t="n">
        <f aca="false">mc_s0*EXP((mc_mu-mc_vol^2/2)*mc_t1+mc_vol*SQRT(mc_t1)*H331)</f>
        <v>962.057901627104</v>
      </c>
      <c r="K331" s="59" t="n">
        <f aca="false">J331*EXP((mc_mu-mc_vol^2/2)*(mc_t2-mc_t1)+mc_vol*SQRT(mc_t2-mc_t1)*I331)</f>
        <v>1205.03768769729</v>
      </c>
      <c r="L331" s="31" t="n">
        <f aca="false">(t1_usd*J331+t2_usd*K331)/1000</f>
        <v>9023.97691801457</v>
      </c>
    </row>
    <row r="332" customFormat="false" ht="15" hidden="false" customHeight="false" outlineLevel="0" collapsed="false">
      <c r="E332" s="54" t="n">
        <v>328</v>
      </c>
      <c r="F332" s="61" t="n">
        <v>0.429083</v>
      </c>
      <c r="G332" s="61" t="n">
        <v>0.130728</v>
      </c>
      <c r="H332" s="34" t="n">
        <f aca="false">NORMSINV(F332)</f>
        <v>-0.178709257213579</v>
      </c>
      <c r="I332" s="34" t="n">
        <f aca="false">NORMSINV(G332)</f>
        <v>-1.12295642855467</v>
      </c>
      <c r="J332" s="59" t="n">
        <f aca="false">mc_s0*EXP((mc_mu-mc_vol^2/2)*mc_t1+mc_vol*SQRT(mc_t1)*H332)</f>
        <v>1126.86523136778</v>
      </c>
      <c r="K332" s="59" t="n">
        <f aca="false">J332*EXP((mc_mu-mc_vol^2/2)*(mc_t2-mc_t1)+mc_vol*SQRT(mc_t2-mc_t1)*I332)</f>
        <v>961.381516737444</v>
      </c>
      <c r="L332" s="31" t="n">
        <f aca="false">(t1_usd*J332+t2_usd*K332)/1000</f>
        <v>9714.68150137559</v>
      </c>
    </row>
    <row r="333" customFormat="false" ht="15" hidden="false" customHeight="false" outlineLevel="0" collapsed="false">
      <c r="E333" s="54" t="n">
        <v>329</v>
      </c>
      <c r="F333" s="61" t="n">
        <v>0.686666</v>
      </c>
      <c r="G333" s="61" t="n">
        <v>0.120221</v>
      </c>
      <c r="H333" s="34" t="n">
        <f aca="false">NORMSINV(F333)</f>
        <v>0.486421993678415</v>
      </c>
      <c r="I333" s="34" t="n">
        <f aca="false">NORMSINV(G333)</f>
        <v>-1.17388273190341</v>
      </c>
      <c r="J333" s="59" t="n">
        <f aca="false">mc_s0*EXP((mc_mu-mc_vol^2/2)*mc_t1+mc_vol*SQRT(mc_t1)*H333)</f>
        <v>1200.78406306709</v>
      </c>
      <c r="K333" s="59" t="n">
        <f aca="false">J333*EXP((mc_mu-mc_vol^2/2)*(mc_t2-mc_t1)+mc_vol*SQRT(mc_t2-mc_t1)*I333)</f>
        <v>1016.25621250265</v>
      </c>
      <c r="L333" s="31" t="n">
        <f aca="false">(t1_usd*J333+t2_usd*K333)/1000</f>
        <v>10336.3752452247</v>
      </c>
    </row>
    <row r="334" customFormat="false" ht="15" hidden="false" customHeight="false" outlineLevel="0" collapsed="false">
      <c r="E334" s="54" t="n">
        <v>330</v>
      </c>
      <c r="F334" s="61" t="n">
        <v>0.313294</v>
      </c>
      <c r="G334" s="61" t="n">
        <v>0.712067</v>
      </c>
      <c r="H334" s="34" t="n">
        <f aca="false">NORMSINV(F334)</f>
        <v>-0.486534853735245</v>
      </c>
      <c r="I334" s="34" t="n">
        <f aca="false">NORMSINV(G334)</f>
        <v>0.559433359086969</v>
      </c>
      <c r="J334" s="59" t="n">
        <f aca="false">mc_s0*EXP((mc_mu-mc_vol^2/2)*mc_t1+mc_vol*SQRT(mc_t1)*H334)</f>
        <v>1094.21294931852</v>
      </c>
      <c r="K334" s="59" t="n">
        <f aca="false">J334*EXP((mc_mu-mc_vol^2/2)*(mc_t2-mc_t1)+mc_vol*SQRT(mc_t2-mc_t1)*I334)</f>
        <v>1216.94659533306</v>
      </c>
      <c r="L334" s="31" t="n">
        <f aca="false">(t1_usd*J334+t2_usd*K334)/1000</f>
        <v>9971.68917636246</v>
      </c>
    </row>
    <row r="335" customFormat="false" ht="15" hidden="false" customHeight="false" outlineLevel="0" collapsed="false">
      <c r="E335" s="54" t="n">
        <v>331</v>
      </c>
      <c r="F335" s="61" t="n">
        <v>0.220371</v>
      </c>
      <c r="G335" s="61" t="n">
        <v>0.656793</v>
      </c>
      <c r="H335" s="34" t="n">
        <f aca="false">NORMSINV(F335)</f>
        <v>-0.770940837394876</v>
      </c>
      <c r="I335" s="34" t="n">
        <f aca="false">NORMSINV(G335)</f>
        <v>0.403726296571513</v>
      </c>
      <c r="J335" s="59" t="n">
        <f aca="false">mc_s0*EXP((mc_mu-mc_vol^2/2)*mc_t1+mc_vol*SQRT(mc_t1)*H335)</f>
        <v>1064.88640437574</v>
      </c>
      <c r="K335" s="59" t="n">
        <f aca="false">J335*EXP((mc_mu-mc_vol^2/2)*(mc_t2-mc_t1)+mc_vol*SQRT(mc_t2-mc_t1)*I335)</f>
        <v>1155.62272037727</v>
      </c>
      <c r="L335" s="31" t="n">
        <f aca="false">(t1_usd*J335+t2_usd*K335)/1000</f>
        <v>9649.88799934696</v>
      </c>
    </row>
    <row r="336" customFormat="false" ht="15" hidden="false" customHeight="false" outlineLevel="0" collapsed="false">
      <c r="E336" s="54" t="n">
        <v>332</v>
      </c>
      <c r="F336" s="61" t="n">
        <v>0.040167</v>
      </c>
      <c r="G336" s="61" t="n">
        <v>0.638074</v>
      </c>
      <c r="H336" s="34" t="n">
        <f aca="false">NORMSINV(F336)</f>
        <v>-1.74875140549385</v>
      </c>
      <c r="I336" s="34" t="n">
        <f aca="false">NORMSINV(G336)</f>
        <v>0.353315402082412</v>
      </c>
      <c r="J336" s="59" t="n">
        <f aca="false">mc_s0*EXP((mc_mu-mc_vol^2/2)*mc_t1+mc_vol*SQRT(mc_t1)*H336)</f>
        <v>969.92657962152</v>
      </c>
      <c r="K336" s="59" t="n">
        <f aca="false">J336*EXP((mc_mu-mc_vol^2/2)*(mc_t2-mc_t1)+mc_vol*SQRT(mc_t2-mc_t1)*I336)</f>
        <v>1044.24266899049</v>
      </c>
      <c r="L336" s="31" t="n">
        <f aca="false">(t1_usd*J336+t2_usd*K336)/1000</f>
        <v>8773.54712843257</v>
      </c>
    </row>
    <row r="337" customFormat="false" ht="15" hidden="false" customHeight="false" outlineLevel="0" collapsed="false">
      <c r="E337" s="54" t="n">
        <v>333</v>
      </c>
      <c r="F337" s="61" t="n">
        <v>0.43336</v>
      </c>
      <c r="G337" s="61" t="n">
        <v>0.401839</v>
      </c>
      <c r="H337" s="34" t="n">
        <f aca="false">NORMSINV(F337)</f>
        <v>-0.167826212978357</v>
      </c>
      <c r="I337" s="34" t="n">
        <f aca="false">NORMSINV(G337)</f>
        <v>-0.248589928346719</v>
      </c>
      <c r="J337" s="59" t="n">
        <f aca="false">mc_s0*EXP((mc_mu-mc_vol^2/2)*mc_t1+mc_vol*SQRT(mc_t1)*H337)</f>
        <v>1128.03730361791</v>
      </c>
      <c r="K337" s="59" t="n">
        <f aca="false">J337*EXP((mc_mu-mc_vol^2/2)*(mc_t2-mc_t1)+mc_vol*SQRT(mc_t2-mc_t1)*I337)</f>
        <v>1104.56306660927</v>
      </c>
      <c r="L337" s="31" t="n">
        <f aca="false">(t1_usd*J337+t2_usd*K337)/1000</f>
        <v>9994.93095188295</v>
      </c>
    </row>
    <row r="338" customFormat="false" ht="15" hidden="false" customHeight="false" outlineLevel="0" collapsed="false">
      <c r="E338" s="54" t="n">
        <v>334</v>
      </c>
      <c r="F338" s="61" t="n">
        <v>0.431907</v>
      </c>
      <c r="G338" s="61" t="n">
        <v>0.835114</v>
      </c>
      <c r="H338" s="34" t="n">
        <f aca="false">NORMSINV(F338)</f>
        <v>-0.171521151993392</v>
      </c>
      <c r="I338" s="34" t="n">
        <f aca="false">NORMSINV(G338)</f>
        <v>0.974573225779297</v>
      </c>
      <c r="J338" s="59" t="n">
        <f aca="false">mc_s0*EXP((mc_mu-mc_vol^2/2)*mc_t1+mc_vol*SQRT(mc_t1)*H338)</f>
        <v>1127.63923279565</v>
      </c>
      <c r="K338" s="59" t="n">
        <f aca="false">J338*EXP((mc_mu-mc_vol^2/2)*(mc_t2-mc_t1)+mc_vol*SQRT(mc_t2-mc_t1)*I338)</f>
        <v>1338.91433295104</v>
      </c>
      <c r="L338" s="31" t="n">
        <f aca="false">(t1_usd*J338+t2_usd*K338)/1000</f>
        <v>10437.4118621765</v>
      </c>
    </row>
    <row r="339" customFormat="false" ht="15" hidden="false" customHeight="false" outlineLevel="0" collapsed="false">
      <c r="E339" s="54" t="n">
        <v>335</v>
      </c>
      <c r="F339" s="61" t="n">
        <v>0.985331</v>
      </c>
      <c r="G339" s="61" t="n">
        <v>0.163219</v>
      </c>
      <c r="H339" s="34" t="n">
        <f aca="false">NORMSINV(F339)</f>
        <v>2.17891477447058</v>
      </c>
      <c r="I339" s="34" t="n">
        <f aca="false">NORMSINV(G339)</f>
        <v>-0.981313839627279</v>
      </c>
      <c r="J339" s="59" t="n">
        <f aca="false">mc_s0*EXP((mc_mu-mc_vol^2/2)*mc_t1+mc_vol*SQRT(mc_t1)*H339)</f>
        <v>1411.49028058122</v>
      </c>
      <c r="K339" s="59" t="n">
        <f aca="false">J339*EXP((mc_mu-mc_vol^2/2)*(mc_t2-mc_t1)+mc_vol*SQRT(mc_t2-mc_t1)*I339)</f>
        <v>1231.39096503152</v>
      </c>
      <c r="L339" s="31" t="n">
        <f aca="false">(t1_usd*J339+t2_usd*K339)/1000</f>
        <v>12220.0747976284</v>
      </c>
    </row>
    <row r="340" customFormat="false" ht="15" hidden="false" customHeight="false" outlineLevel="0" collapsed="false">
      <c r="E340" s="54" t="n">
        <v>336</v>
      </c>
      <c r="F340" s="61" t="n">
        <v>0.585087</v>
      </c>
      <c r="G340" s="61" t="n">
        <v>0.905689</v>
      </c>
      <c r="H340" s="34" t="n">
        <f aca="false">NORMSINV(F340)</f>
        <v>0.214924734695721</v>
      </c>
      <c r="I340" s="34" t="n">
        <f aca="false">NORMSINV(G340)</f>
        <v>1.31466652968624</v>
      </c>
      <c r="J340" s="59" t="n">
        <f aca="false">mc_s0*EXP((mc_mu-mc_vol^2/2)*mc_t1+mc_vol*SQRT(mc_t1)*H340)</f>
        <v>1170.04311483532</v>
      </c>
      <c r="K340" s="59" t="n">
        <f aca="false">J340*EXP((mc_mu-mc_vol^2/2)*(mc_t2-mc_t1)+mc_vol*SQRT(mc_t2-mc_t1)*I340)</f>
        <v>1465.7540261201</v>
      </c>
      <c r="L340" s="31" t="n">
        <f aca="false">(t1_usd*J340+t2_usd*K340)/1000</f>
        <v>10975.2344534754</v>
      </c>
    </row>
    <row r="341" customFormat="false" ht="15" hidden="false" customHeight="false" outlineLevel="0" collapsed="false">
      <c r="E341" s="54" t="n">
        <v>337</v>
      </c>
      <c r="F341" s="61" t="n">
        <v>0.473364</v>
      </c>
      <c r="G341" s="61" t="n">
        <v>0.557813</v>
      </c>
      <c r="H341" s="34" t="n">
        <f aca="false">NORMSINV(F341)</f>
        <v>-0.0668162332805187</v>
      </c>
      <c r="I341" s="34" t="n">
        <f aca="false">NORMSINV(G341)</f>
        <v>0.145426681242825</v>
      </c>
      <c r="J341" s="59" t="n">
        <f aca="false">mc_s0*EXP((mc_mu-mc_vol^2/2)*mc_t1+mc_vol*SQRT(mc_t1)*H341)</f>
        <v>1138.97411888308</v>
      </c>
      <c r="K341" s="59" t="n">
        <f aca="false">J341*EXP((mc_mu-mc_vol^2/2)*(mc_t2-mc_t1)+mc_vol*SQRT(mc_t2-mc_t1)*I341)</f>
        <v>1186.71966701836</v>
      </c>
      <c r="L341" s="31" t="n">
        <f aca="false">(t1_usd*J341+t2_usd*K341)/1000</f>
        <v>10227.5861995165</v>
      </c>
    </row>
    <row r="342" customFormat="false" ht="15" hidden="false" customHeight="false" outlineLevel="0" collapsed="false">
      <c r="E342" s="54" t="n">
        <v>338</v>
      </c>
      <c r="F342" s="61" t="n">
        <v>0.259902</v>
      </c>
      <c r="G342" s="61" t="n">
        <v>0.898292</v>
      </c>
      <c r="H342" s="34" t="n">
        <f aca="false">NORMSINV(F342)</f>
        <v>-0.643647563337751</v>
      </c>
      <c r="I342" s="34" t="n">
        <f aca="false">NORMSINV(G342)</f>
        <v>1.27187932159965</v>
      </c>
      <c r="J342" s="59" t="n">
        <f aca="false">mc_s0*EXP((mc_mu-mc_vol^2/2)*mc_t1+mc_vol*SQRT(mc_t1)*H342)</f>
        <v>1077.91381317487</v>
      </c>
      <c r="K342" s="59" t="n">
        <f aca="false">J342*EXP((mc_mu-mc_vol^2/2)*(mc_t2-mc_t1)+mc_vol*SQRT(mc_t2-mc_t1)*I342)</f>
        <v>1341.26574085096</v>
      </c>
      <c r="L342" s="31" t="n">
        <f aca="false">(t1_usd*J342+t2_usd*K342)/1000</f>
        <v>10093.8015998409</v>
      </c>
    </row>
    <row r="343" customFormat="false" ht="15" hidden="false" customHeight="false" outlineLevel="0" collapsed="false">
      <c r="E343" s="54" t="n">
        <v>339</v>
      </c>
      <c r="F343" s="61" t="n">
        <v>0.160589</v>
      </c>
      <c r="G343" s="61" t="n">
        <v>0.752392</v>
      </c>
      <c r="H343" s="34" t="n">
        <f aca="false">NORMSINV(F343)</f>
        <v>-0.99204002723971</v>
      </c>
      <c r="I343" s="34" t="n">
        <f aca="false">NORMSINV(G343)</f>
        <v>0.682036296496882</v>
      </c>
      <c r="J343" s="59" t="n">
        <f aca="false">mc_s0*EXP((mc_mu-mc_vol^2/2)*mc_t1+mc_vol*SQRT(mc_t1)*H343)</f>
        <v>1042.63186497814</v>
      </c>
      <c r="K343" s="59" t="n">
        <f aca="false">J343*EXP((mc_mu-mc_vol^2/2)*(mc_t2-mc_t1)+mc_vol*SQRT(mc_t2-mc_t1)*I343)</f>
        <v>1182.20239909233</v>
      </c>
      <c r="L343" s="31" t="n">
        <f aca="false">(t1_usd*J343+t2_usd*K343)/1000</f>
        <v>9544.60761312243</v>
      </c>
    </row>
    <row r="344" customFormat="false" ht="15" hidden="false" customHeight="false" outlineLevel="0" collapsed="false">
      <c r="E344" s="54" t="n">
        <v>340</v>
      </c>
      <c r="F344" s="61" t="n">
        <v>0.376251</v>
      </c>
      <c r="G344" s="61" t="n">
        <v>0.777633</v>
      </c>
      <c r="H344" s="34" t="n">
        <f aca="false">NORMSINV(F344)</f>
        <v>-0.315341998787741</v>
      </c>
      <c r="I344" s="34" t="n">
        <f aca="false">NORMSINV(G344)</f>
        <v>0.764223608397563</v>
      </c>
      <c r="J344" s="59" t="n">
        <f aca="false">mc_s0*EXP((mc_mu-mc_vol^2/2)*mc_t1+mc_vol*SQRT(mc_t1)*H344)</f>
        <v>1112.25348946179</v>
      </c>
      <c r="K344" s="59" t="n">
        <f aca="false">J344*EXP((mc_mu-mc_vol^2/2)*(mc_t2-mc_t1)+mc_vol*SQRT(mc_t2-mc_t1)*I344)</f>
        <v>1277.58461059545</v>
      </c>
      <c r="L344" s="31" t="n">
        <f aca="false">(t1_usd*J344+t2_usd*K344)/1000</f>
        <v>10213.1851863639</v>
      </c>
    </row>
    <row r="345" customFormat="false" ht="15" hidden="false" customHeight="false" outlineLevel="0" collapsed="false">
      <c r="E345" s="54" t="n">
        <v>341</v>
      </c>
      <c r="F345" s="61" t="n">
        <v>0.114688</v>
      </c>
      <c r="G345" s="61" t="n">
        <v>0.259758</v>
      </c>
      <c r="H345" s="34" t="n">
        <f aca="false">NORMSINV(F345)</f>
        <v>-1.2019678100895</v>
      </c>
      <c r="I345" s="34" t="n">
        <f aca="false">NORMSINV(G345)</f>
        <v>-0.644091657170488</v>
      </c>
      <c r="J345" s="59" t="n">
        <f aca="false">mc_s0*EXP((mc_mu-mc_vol^2/2)*mc_t1+mc_vol*SQRT(mc_t1)*H345)</f>
        <v>1021.93235727038</v>
      </c>
      <c r="K345" s="59" t="n">
        <f aca="false">J345*EXP((mc_mu-mc_vol^2/2)*(mc_t2-mc_t1)+mc_vol*SQRT(mc_t2-mc_t1)*I345)</f>
        <v>940.200187519705</v>
      </c>
      <c r="L345" s="31" t="n">
        <f aca="false">(t1_usd*J345+t2_usd*K345)/1000</f>
        <v>8939.90685718012</v>
      </c>
    </row>
    <row r="346" customFormat="false" ht="15" hidden="false" customHeight="false" outlineLevel="0" collapsed="false">
      <c r="E346" s="54" t="n">
        <v>342</v>
      </c>
      <c r="F346" s="61" t="n">
        <v>0.343547</v>
      </c>
      <c r="G346" s="61" t="n">
        <v>0.66415</v>
      </c>
      <c r="H346" s="34" t="n">
        <f aca="false">NORMSINV(F346)</f>
        <v>-0.402801850111243</v>
      </c>
      <c r="I346" s="34" t="n">
        <f aca="false">NORMSINV(G346)</f>
        <v>0.423816011630343</v>
      </c>
      <c r="J346" s="59" t="n">
        <f aca="false">mc_s0*EXP((mc_mu-mc_vol^2/2)*mc_t1+mc_vol*SQRT(mc_t1)*H346)</f>
        <v>1102.99999242562</v>
      </c>
      <c r="K346" s="59" t="n">
        <f aca="false">J346*EXP((mc_mu-mc_vol^2/2)*(mc_t2-mc_t1)+mc_vol*SQRT(mc_t2-mc_t1)*I346)</f>
        <v>1200.77953151232</v>
      </c>
      <c r="L346" s="31" t="n">
        <f aca="false">(t1_usd*J346+t2_usd*K346)/1000</f>
        <v>10002.4810568527</v>
      </c>
    </row>
    <row r="347" customFormat="false" ht="15" hidden="false" customHeight="false" outlineLevel="0" collapsed="false">
      <c r="E347" s="54" t="n">
        <v>343</v>
      </c>
      <c r="F347" s="61" t="n">
        <v>0.989348</v>
      </c>
      <c r="G347" s="61" t="n">
        <v>0.824324</v>
      </c>
      <c r="H347" s="34" t="n">
        <f aca="false">NORMSINV(F347)</f>
        <v>2.30255310945303</v>
      </c>
      <c r="I347" s="34" t="n">
        <f aca="false">NORMSINV(G347)</f>
        <v>0.931970057247334</v>
      </c>
      <c r="J347" s="59" t="n">
        <f aca="false">mc_s0*EXP((mc_mu-mc_vol^2/2)*mc_t1+mc_vol*SQRT(mc_t1)*H347)</f>
        <v>1428.25917298511</v>
      </c>
      <c r="K347" s="59" t="n">
        <f aca="false">J347*EXP((mc_mu-mc_vol^2/2)*(mc_t2-mc_t1)+mc_vol*SQRT(mc_t2-mc_t1)*I347)</f>
        <v>1684.51078267458</v>
      </c>
      <c r="L347" s="31" t="n">
        <f aca="false">(t1_usd*J347+t2_usd*K347)/1000</f>
        <v>13198.3846979774</v>
      </c>
    </row>
    <row r="348" customFormat="false" ht="15" hidden="false" customHeight="false" outlineLevel="0" collapsed="false">
      <c r="E348" s="54" t="n">
        <v>344</v>
      </c>
      <c r="F348" s="61" t="n">
        <v>0.47801</v>
      </c>
      <c r="G348" s="61" t="n">
        <v>0.287254</v>
      </c>
      <c r="H348" s="34" t="n">
        <f aca="false">NORMSINV(F348)</f>
        <v>-0.0551486976911609</v>
      </c>
      <c r="I348" s="34" t="n">
        <f aca="false">NORMSINV(G348)</f>
        <v>-0.561424772937534</v>
      </c>
      <c r="J348" s="59" t="n">
        <f aca="false">mc_s0*EXP((mc_mu-mc_vol^2/2)*mc_t1+mc_vol*SQRT(mc_t1)*H348)</f>
        <v>1140.24422870716</v>
      </c>
      <c r="K348" s="59" t="n">
        <f aca="false">J348*EXP((mc_mu-mc_vol^2/2)*(mc_t2-mc_t1)+mc_vol*SQRT(mc_t2-mc_t1)*I348)</f>
        <v>1062.80586147327</v>
      </c>
      <c r="L348" s="31" t="n">
        <f aca="false">(t1_usd*J348+t2_usd*K348)/1000</f>
        <v>10001.0407377493</v>
      </c>
    </row>
    <row r="349" customFormat="false" ht="15" hidden="false" customHeight="false" outlineLevel="0" collapsed="false">
      <c r="E349" s="54" t="n">
        <v>345</v>
      </c>
      <c r="F349" s="61" t="n">
        <v>0.009123</v>
      </c>
      <c r="G349" s="61" t="n">
        <v>0.744694</v>
      </c>
      <c r="H349" s="34" t="n">
        <f aca="false">NORMSINV(F349)</f>
        <v>-2.36058777190096</v>
      </c>
      <c r="I349" s="34" t="n">
        <f aca="false">NORMSINV(G349)</f>
        <v>0.657885046615176</v>
      </c>
      <c r="J349" s="59" t="n">
        <f aca="false">mc_s0*EXP((mc_mu-mc_vol^2/2)*mc_t1+mc_vol*SQRT(mc_t1)*H349)</f>
        <v>914.864678173896</v>
      </c>
      <c r="K349" s="59" t="n">
        <f aca="false">J349*EXP((mc_mu-mc_vol^2/2)*(mc_t2-mc_t1)+mc_vol*SQRT(mc_t2-mc_t1)*I349)</f>
        <v>1033.39117058284</v>
      </c>
      <c r="L349" s="31" t="n">
        <f aca="false">(t1_usd*J349+t2_usd*K349)/1000</f>
        <v>8367.49597132467</v>
      </c>
    </row>
    <row r="350" customFormat="false" ht="15" hidden="false" customHeight="false" outlineLevel="0" collapsed="false">
      <c r="E350" s="54" t="n">
        <v>346</v>
      </c>
      <c r="F350" s="61" t="n">
        <v>0.799873</v>
      </c>
      <c r="G350" s="61" t="n">
        <v>0.232412</v>
      </c>
      <c r="H350" s="34" t="n">
        <f aca="false">NORMSINV(F350)</f>
        <v>0.841167687008992</v>
      </c>
      <c r="I350" s="34" t="n">
        <f aca="false">NORMSINV(G350)</f>
        <v>-0.730926579505497</v>
      </c>
      <c r="J350" s="59" t="n">
        <f aca="false">mc_s0*EXP((mc_mu-mc_vol^2/2)*mc_t1+mc_vol*SQRT(mc_t1)*H350)</f>
        <v>1242.17139006392</v>
      </c>
      <c r="K350" s="59" t="n">
        <f aca="false">J350*EXP((mc_mu-mc_vol^2/2)*(mc_t2-mc_t1)+mc_vol*SQRT(mc_t2-mc_t1)*I350)</f>
        <v>1127.29235582275</v>
      </c>
      <c r="L350" s="31" t="n">
        <f aca="false">(t1_usd*J350+t2_usd*K350)/1000</f>
        <v>10837.0552065106</v>
      </c>
    </row>
    <row r="351" customFormat="false" ht="15" hidden="false" customHeight="false" outlineLevel="0" collapsed="false">
      <c r="E351" s="54" t="n">
        <v>347</v>
      </c>
      <c r="F351" s="61" t="n">
        <v>0.981418</v>
      </c>
      <c r="G351" s="61" t="n">
        <v>0.367977</v>
      </c>
      <c r="H351" s="34" t="n">
        <f aca="false">NORMSINV(F351)</f>
        <v>2.0839578660341</v>
      </c>
      <c r="I351" s="34" t="n">
        <f aca="false">NORMSINV(G351)</f>
        <v>-0.337216101763007</v>
      </c>
      <c r="J351" s="59" t="n">
        <f aca="false">mc_s0*EXP((mc_mu-mc_vol^2/2)*mc_t1+mc_vol*SQRT(mc_t1)*H351)</f>
        <v>1398.74520088746</v>
      </c>
      <c r="K351" s="59" t="n">
        <f aca="false">J351*EXP((mc_mu-mc_vol^2/2)*(mc_t2-mc_t1)+mc_vol*SQRT(mc_t2-mc_t1)*I351)</f>
        <v>1350.64098876984</v>
      </c>
      <c r="L351" s="31" t="n">
        <f aca="false">(t1_usd*J351+t2_usd*K351)/1000</f>
        <v>12357.4342848749</v>
      </c>
    </row>
    <row r="352" customFormat="false" ht="15" hidden="false" customHeight="false" outlineLevel="0" collapsed="false">
      <c r="E352" s="54" t="n">
        <v>348</v>
      </c>
      <c r="F352" s="61" t="n">
        <v>0.551135</v>
      </c>
      <c r="G352" s="61" t="n">
        <v>0.781903</v>
      </c>
      <c r="H352" s="34" t="n">
        <f aca="false">NORMSINV(F352)</f>
        <v>0.128529442126636</v>
      </c>
      <c r="I352" s="34" t="n">
        <f aca="false">NORMSINV(G352)</f>
        <v>0.778636282207255</v>
      </c>
      <c r="J352" s="59" t="n">
        <f aca="false">mc_s0*EXP((mc_mu-mc_vol^2/2)*mc_t1+mc_vol*SQRT(mc_t1)*H352)</f>
        <v>1160.42682876321</v>
      </c>
      <c r="K352" s="59" t="n">
        <f aca="false">J352*EXP((mc_mu-mc_vol^2/2)*(mc_t2-mc_t1)+mc_vol*SQRT(mc_t2-mc_t1)*I352)</f>
        <v>1335.94963617995</v>
      </c>
      <c r="L352" s="31" t="n">
        <f aca="false">(t1_usd*J352+t2_usd*K352)/1000</f>
        <v>10661.2921100844</v>
      </c>
    </row>
    <row r="353" customFormat="false" ht="15" hidden="false" customHeight="false" outlineLevel="0" collapsed="false">
      <c r="E353" s="54" t="n">
        <v>349</v>
      </c>
      <c r="F353" s="61" t="n">
        <v>0.637458</v>
      </c>
      <c r="G353" s="61" t="n">
        <v>0.727811</v>
      </c>
      <c r="H353" s="34" t="n">
        <f aca="false">NORMSINV(F353)</f>
        <v>0.351672348777178</v>
      </c>
      <c r="I353" s="34" t="n">
        <f aca="false">NORMSINV(G353)</f>
        <v>0.606205953355313</v>
      </c>
      <c r="J353" s="59" t="n">
        <f aca="false">mc_s0*EXP((mc_mu-mc_vol^2/2)*mc_t1+mc_vol*SQRT(mc_t1)*H353)</f>
        <v>1185.42705010223</v>
      </c>
      <c r="K353" s="59" t="n">
        <f aca="false">J353*EXP((mc_mu-mc_vol^2/2)*(mc_t2-mc_t1)+mc_vol*SQRT(mc_t2-mc_t1)*I353)</f>
        <v>1328.14565631269</v>
      </c>
      <c r="L353" s="31" t="n">
        <f aca="false">(t1_usd*J353+t2_usd*K353)/1000</f>
        <v>10821.4660977097</v>
      </c>
    </row>
    <row r="354" customFormat="false" ht="15" hidden="false" customHeight="false" outlineLevel="0" collapsed="false">
      <c r="E354" s="54" t="n">
        <v>350</v>
      </c>
      <c r="F354" s="61" t="n">
        <v>0.66169</v>
      </c>
      <c r="G354" s="61" t="n">
        <v>0.436746</v>
      </c>
      <c r="H354" s="34" t="n">
        <f aca="false">NORMSINV(F354)</f>
        <v>0.417079854041422</v>
      </c>
      <c r="I354" s="34" t="n">
        <f aca="false">NORMSINV(G354)</f>
        <v>-0.15922450239373</v>
      </c>
      <c r="J354" s="59" t="n">
        <f aca="false">mc_s0*EXP((mc_mu-mc_vol^2/2)*mc_t1+mc_vol*SQRT(mc_t1)*H354)</f>
        <v>1192.85666130041</v>
      </c>
      <c r="K354" s="59" t="n">
        <f aca="false">J354*EXP((mc_mu-mc_vol^2/2)*(mc_t2-mc_t1)+mc_vol*SQRT(mc_t2-mc_t1)*I354)</f>
        <v>1184.59979085712</v>
      </c>
      <c r="L354" s="31" t="n">
        <f aca="false">(t1_usd*J354+t2_usd*K354)/1000</f>
        <v>10600.7362317314</v>
      </c>
    </row>
    <row r="355" customFormat="false" ht="15" hidden="false" customHeight="false" outlineLevel="0" collapsed="false">
      <c r="E355" s="54" t="n">
        <v>351</v>
      </c>
      <c r="F355" s="61" t="n">
        <v>0.438709</v>
      </c>
      <c r="G355" s="61" t="n">
        <v>0.43395</v>
      </c>
      <c r="H355" s="34" t="n">
        <f aca="false">NORMSINV(F355)</f>
        <v>-0.154243175972714</v>
      </c>
      <c r="I355" s="34" t="n">
        <f aca="false">NORMSINV(G355)</f>
        <v>-0.166326515902934</v>
      </c>
      <c r="J355" s="59" t="n">
        <f aca="false">mc_s0*EXP((mc_mu-mc_vol^2/2)*mc_t1+mc_vol*SQRT(mc_t1)*H355)</f>
        <v>1129.50186767365</v>
      </c>
      <c r="K355" s="59" t="n">
        <f aca="false">J355*EXP((mc_mu-mc_vol^2/2)*(mc_t2-mc_t1)+mc_vol*SQRT(mc_t2-mc_t1)*I355)</f>
        <v>1120.42881619954</v>
      </c>
      <c r="L355" s="31" t="n">
        <f aca="false">(t1_usd*J355+t2_usd*K355)/1000</f>
        <v>10035.3278244947</v>
      </c>
    </row>
    <row r="356" customFormat="false" ht="15" hidden="false" customHeight="false" outlineLevel="0" collapsed="false">
      <c r="E356" s="54" t="n">
        <v>352</v>
      </c>
      <c r="F356" s="61" t="n">
        <v>0.135435</v>
      </c>
      <c r="G356" s="61" t="n">
        <v>0.801675</v>
      </c>
      <c r="H356" s="34" t="n">
        <f aca="false">NORMSINV(F356)</f>
        <v>-1.10106125119655</v>
      </c>
      <c r="I356" s="34" t="n">
        <f aca="false">NORMSINV(G356)</f>
        <v>0.847619340112028</v>
      </c>
      <c r="J356" s="59" t="n">
        <f aca="false">mc_s0*EXP((mc_mu-mc_vol^2/2)*mc_t1+mc_vol*SQRT(mc_t1)*H356)</f>
        <v>1031.83024512234</v>
      </c>
      <c r="K356" s="59" t="n">
        <f aca="false">J356*EXP((mc_mu-mc_vol^2/2)*(mc_t2-mc_t1)+mc_vol*SQRT(mc_t2-mc_t1)*I356)</f>
        <v>1200.88634720793</v>
      </c>
      <c r="L356" s="31" t="n">
        <f aca="false">(t1_usd*J356+t2_usd*K356)/1000</f>
        <v>9504.49577555143</v>
      </c>
    </row>
    <row r="357" customFormat="false" ht="15" hidden="false" customHeight="false" outlineLevel="0" collapsed="false">
      <c r="E357" s="54" t="n">
        <v>353</v>
      </c>
      <c r="F357" s="61" t="n">
        <v>0.11196</v>
      </c>
      <c r="G357" s="61" t="n">
        <v>0.297919</v>
      </c>
      <c r="H357" s="34" t="n">
        <f aca="false">NORMSINV(F357)</f>
        <v>-1.21617044449367</v>
      </c>
      <c r="I357" s="34" t="n">
        <f aca="false">NORMSINV(G357)</f>
        <v>-0.530395132665024</v>
      </c>
      <c r="J357" s="59" t="n">
        <f aca="false">mc_s0*EXP((mc_mu-mc_vol^2/2)*mc_t1+mc_vol*SQRT(mc_t1)*H357)</f>
        <v>1020.54686935212</v>
      </c>
      <c r="K357" s="59" t="n">
        <f aca="false">J357*EXP((mc_mu-mc_vol^2/2)*(mc_t2-mc_t1)+mc_vol*SQRT(mc_t2-mc_t1)*I357)</f>
        <v>955.900610897418</v>
      </c>
      <c r="L357" s="31" t="n">
        <f aca="false">(t1_usd*J357+t2_usd*K357)/1000</f>
        <v>8960.03924616997</v>
      </c>
    </row>
    <row r="358" customFormat="false" ht="15" hidden="false" customHeight="false" outlineLevel="0" collapsed="false">
      <c r="E358" s="54" t="n">
        <v>354</v>
      </c>
      <c r="F358" s="61" t="n">
        <v>0.956546</v>
      </c>
      <c r="G358" s="61" t="n">
        <v>0.657273</v>
      </c>
      <c r="H358" s="34" t="n">
        <f aca="false">NORMSINV(F358)</f>
        <v>1.71193851454379</v>
      </c>
      <c r="I358" s="34" t="n">
        <f aca="false">NORMSINV(G358)</f>
        <v>0.405031985299353</v>
      </c>
      <c r="J358" s="59" t="n">
        <f aca="false">mc_s0*EXP((mc_mu-mc_vol^2/2)*mc_t1+mc_vol*SQRT(mc_t1)*H358)</f>
        <v>1349.91183724291</v>
      </c>
      <c r="K358" s="59" t="n">
        <f aca="false">J358*EXP((mc_mu-mc_vol^2/2)*(mc_t2-mc_t1)+mc_vol*SQRT(mc_t2-mc_t1)*I358)</f>
        <v>1465.23592703308</v>
      </c>
      <c r="L358" s="31" t="n">
        <f aca="false">(t1_usd*J358+t2_usd*K358)/1000</f>
        <v>12233.3311220632</v>
      </c>
    </row>
    <row r="359" customFormat="false" ht="15" hidden="false" customHeight="false" outlineLevel="0" collapsed="false">
      <c r="E359" s="54" t="n">
        <v>355</v>
      </c>
      <c r="F359" s="61" t="n">
        <v>0.789047</v>
      </c>
      <c r="G359" s="61" t="n">
        <v>0.94319</v>
      </c>
      <c r="H359" s="34" t="n">
        <f aca="false">NORMSINV(F359)</f>
        <v>0.803118925327412</v>
      </c>
      <c r="I359" s="34" t="n">
        <f aca="false">NORMSINV(G359)</f>
        <v>1.58212954556251</v>
      </c>
      <c r="J359" s="59" t="n">
        <f aca="false">mc_s0*EXP((mc_mu-mc_vol^2/2)*mc_t1+mc_vol*SQRT(mc_t1)*H359)</f>
        <v>1237.66489072092</v>
      </c>
      <c r="K359" s="59" t="n">
        <f aca="false">J359*EXP((mc_mu-mc_vol^2/2)*(mc_t2-mc_t1)+mc_vol*SQRT(mc_t2-mc_t1)*I359)</f>
        <v>1617.21576843975</v>
      </c>
      <c r="L359" s="31" t="n">
        <f aca="false">(t1_usd*J359+t2_usd*K359)/1000</f>
        <v>11736.364195082</v>
      </c>
    </row>
    <row r="360" customFormat="false" ht="15" hidden="false" customHeight="false" outlineLevel="0" collapsed="false">
      <c r="E360" s="54" t="n">
        <v>356</v>
      </c>
      <c r="F360" s="61" t="n">
        <v>0.111758</v>
      </c>
      <c r="G360" s="61" t="n">
        <v>0.520847</v>
      </c>
      <c r="H360" s="34" t="n">
        <f aca="false">NORMSINV(F360)</f>
        <v>-1.21723189013797</v>
      </c>
      <c r="I360" s="34" t="n">
        <f aca="false">NORMSINV(G360)</f>
        <v>0.0522794844452871</v>
      </c>
      <c r="J360" s="59" t="n">
        <f aca="false">mc_s0*EXP((mc_mu-mc_vol^2/2)*mc_t1+mc_vol*SQRT(mc_t1)*H360)</f>
        <v>1020.44339923362</v>
      </c>
      <c r="K360" s="59" t="n">
        <f aca="false">J360*EXP((mc_mu-mc_vol^2/2)*(mc_t2-mc_t1)+mc_vol*SQRT(mc_t2-mc_t1)*I360)</f>
        <v>1047.72676355336</v>
      </c>
      <c r="L360" s="31" t="n">
        <f aca="false">(t1_usd*J360+t2_usd*K360)/1000</f>
        <v>9133.78464538674</v>
      </c>
    </row>
    <row r="361" customFormat="false" ht="15" hidden="false" customHeight="false" outlineLevel="0" collapsed="false">
      <c r="E361" s="54" t="n">
        <v>357</v>
      </c>
      <c r="F361" s="61" t="n">
        <v>0.021483</v>
      </c>
      <c r="G361" s="61" t="n">
        <v>0.878408</v>
      </c>
      <c r="H361" s="34" t="n">
        <f aca="false">NORMSINV(F361)</f>
        <v>-2.02404035233881</v>
      </c>
      <c r="I361" s="34" t="n">
        <f aca="false">NORMSINV(G361)</f>
        <v>1.16706529944954</v>
      </c>
      <c r="J361" s="59" t="n">
        <f aca="false">mc_s0*EXP((mc_mu-mc_vol^2/2)*mc_t1+mc_vol*SQRT(mc_t1)*H361)</f>
        <v>944.753507306435</v>
      </c>
      <c r="K361" s="59" t="n">
        <f aca="false">J361*EXP((mc_mu-mc_vol^2/2)*(mc_t2-mc_t1)+mc_vol*SQRT(mc_t2-mc_t1)*I361)</f>
        <v>1156.31361974961</v>
      </c>
      <c r="L361" s="31" t="n">
        <f aca="false">(t1_usd*J361+t2_usd*K361)/1000</f>
        <v>8810.2704286693</v>
      </c>
    </row>
    <row r="362" customFormat="false" ht="15" hidden="false" customHeight="false" outlineLevel="0" collapsed="false">
      <c r="E362" s="54" t="n">
        <v>358</v>
      </c>
      <c r="F362" s="61" t="n">
        <v>0.046072</v>
      </c>
      <c r="G362" s="61" t="n">
        <v>0.28793</v>
      </c>
      <c r="H362" s="34" t="n">
        <f aca="false">NORMSINV(F362)</f>
        <v>-1.68419494432456</v>
      </c>
      <c r="I362" s="34" t="n">
        <f aca="false">NORMSINV(G362)</f>
        <v>-0.559442152791957</v>
      </c>
      <c r="J362" s="59" t="n">
        <f aca="false">mc_s0*EXP((mc_mu-mc_vol^2/2)*mc_t1+mc_vol*SQRT(mc_t1)*H362)</f>
        <v>975.926211089323</v>
      </c>
      <c r="K362" s="59" t="n">
        <f aca="false">J362*EXP((mc_mu-mc_vol^2/2)*(mc_t2-mc_t1)+mc_vol*SQRT(mc_t2-mc_t1)*I362)</f>
        <v>909.931573253799</v>
      </c>
      <c r="L362" s="31" t="n">
        <f aca="false">(t1_usd*J362+t2_usd*K362)/1000</f>
        <v>8560.35346680748</v>
      </c>
    </row>
    <row r="363" customFormat="false" ht="15" hidden="false" customHeight="false" outlineLevel="0" collapsed="false">
      <c r="E363" s="54" t="n">
        <v>359</v>
      </c>
      <c r="F363" s="61" t="n">
        <v>0.425053</v>
      </c>
      <c r="G363" s="61" t="n">
        <v>0.977372</v>
      </c>
      <c r="H363" s="34" t="n">
        <f aca="false">NORMSINV(F363)</f>
        <v>-0.188983179568415</v>
      </c>
      <c r="I363" s="34" t="n">
        <f aca="false">NORMSINV(G363)</f>
        <v>2.00226721560211</v>
      </c>
      <c r="J363" s="59" t="n">
        <f aca="false">mc_s0*EXP((mc_mu-mc_vol^2/2)*mc_t1+mc_vol*SQRT(mc_t1)*H363)</f>
        <v>1125.75987728784</v>
      </c>
      <c r="K363" s="59" t="n">
        <f aca="false">J363*EXP((mc_mu-mc_vol^2/2)*(mc_t2-mc_t1)+mc_vol*SQRT(mc_t2-mc_t1)*I363)</f>
        <v>1571.68556421815</v>
      </c>
      <c r="L363" s="31" t="n">
        <f aca="false">(t1_usd*J363+t2_usd*K363)/1000</f>
        <v>10866.5217130293</v>
      </c>
    </row>
    <row r="364" customFormat="false" ht="15" hidden="false" customHeight="false" outlineLevel="0" collapsed="false">
      <c r="E364" s="54" t="n">
        <v>360</v>
      </c>
      <c r="F364" s="61" t="n">
        <v>0.100013</v>
      </c>
      <c r="G364" s="61" t="n">
        <v>0.837432</v>
      </c>
      <c r="H364" s="34" t="n">
        <f aca="false">NORMSINV(F364)</f>
        <v>-1.28147749428216</v>
      </c>
      <c r="I364" s="34" t="n">
        <f aca="false">NORMSINV(G364)</f>
        <v>0.983958333635679</v>
      </c>
      <c r="J364" s="59" t="n">
        <f aca="false">mc_s0*EXP((mc_mu-mc_vol^2/2)*mc_t1+mc_vol*SQRT(mc_t1)*H364)</f>
        <v>1014.20020773712</v>
      </c>
      <c r="K364" s="59" t="n">
        <f aca="false">J364*EXP((mc_mu-mc_vol^2/2)*(mc_t2-mc_t1)+mc_vol*SQRT(mc_t2-mc_t1)*I364)</f>
        <v>1206.00370667121</v>
      </c>
      <c r="L364" s="31" t="n">
        <f aca="false">(t1_usd*J364+t2_usd*K364)/1000</f>
        <v>9390.80849683516</v>
      </c>
    </row>
    <row r="365" customFormat="false" ht="15" hidden="false" customHeight="false" outlineLevel="0" collapsed="false">
      <c r="E365" s="54" t="n">
        <v>361</v>
      </c>
      <c r="F365" s="61" t="n">
        <v>0.994602</v>
      </c>
      <c r="G365" s="61" t="n">
        <v>0.432862</v>
      </c>
      <c r="H365" s="34" t="n">
        <f aca="false">NORMSINV(F365)</f>
        <v>2.54923346498563</v>
      </c>
      <c r="I365" s="34" t="n">
        <f aca="false">NORMSINV(G365)</f>
        <v>-0.169092352673226</v>
      </c>
      <c r="J365" s="59" t="n">
        <f aca="false">mc_s0*EXP((mc_mu-mc_vol^2/2)*mc_t1+mc_vol*SQRT(mc_t1)*H365)</f>
        <v>1462.31368373674</v>
      </c>
      <c r="K365" s="59" t="n">
        <f aca="false">J365*EXP((mc_mu-mc_vol^2/2)*(mc_t2-mc_t1)+mc_vol*SQRT(mc_t2-mc_t1)*I365)</f>
        <v>1449.93509357666</v>
      </c>
      <c r="L365" s="31" t="n">
        <f aca="false">(t1_usd*J365+t2_usd*K365)/1000</f>
        <v>12991.0724639528</v>
      </c>
    </row>
    <row r="366" customFormat="false" ht="15" hidden="false" customHeight="false" outlineLevel="0" collapsed="false">
      <c r="E366" s="54" t="n">
        <v>362</v>
      </c>
      <c r="F366" s="61" t="n">
        <v>0.196887</v>
      </c>
      <c r="G366" s="61" t="n">
        <v>0.775381</v>
      </c>
      <c r="H366" s="34" t="n">
        <f aca="false">NORMSINV(F366)</f>
        <v>-0.85279319195803</v>
      </c>
      <c r="I366" s="34" t="n">
        <f aca="false">NORMSINV(G366)</f>
        <v>0.756686007115013</v>
      </c>
      <c r="J366" s="59" t="n">
        <f aca="false">mc_s0*EXP((mc_mu-mc_vol^2/2)*mc_t1+mc_vol*SQRT(mc_t1)*H366)</f>
        <v>1056.592787021</v>
      </c>
      <c r="K366" s="59" t="n">
        <f aca="false">J366*EXP((mc_mu-mc_vol^2/2)*(mc_t2-mc_t1)+mc_vol*SQRT(mc_t2-mc_t1)*I366)</f>
        <v>1212.20940450815</v>
      </c>
      <c r="L366" s="31" t="n">
        <f aca="false">(t1_usd*J366+t2_usd*K366)/1000</f>
        <v>9699.34737771251</v>
      </c>
    </row>
    <row r="367" customFormat="false" ht="15" hidden="false" customHeight="false" outlineLevel="0" collapsed="false">
      <c r="E367" s="54" t="n">
        <v>363</v>
      </c>
      <c r="F367" s="61" t="n">
        <v>0.431646</v>
      </c>
      <c r="G367" s="61" t="n">
        <v>0.046801</v>
      </c>
      <c r="H367" s="34" t="n">
        <f aca="false">NORMSINV(F367)</f>
        <v>-0.172185114517348</v>
      </c>
      <c r="I367" s="34" t="n">
        <f aca="false">NORMSINV(G367)</f>
        <v>-1.67669570973258</v>
      </c>
      <c r="J367" s="59" t="n">
        <f aca="false">mc_s0*EXP((mc_mu-mc_vol^2/2)*mc_t1+mc_vol*SQRT(mc_t1)*H367)</f>
        <v>1127.56771630064</v>
      </c>
      <c r="K367" s="59" t="n">
        <f aca="false">J367*EXP((mc_mu-mc_vol^2/2)*(mc_t2-mc_t1)+mc_vol*SQRT(mc_t2-mc_t1)*I367)</f>
        <v>881.591668832206</v>
      </c>
      <c r="L367" s="31" t="n">
        <f aca="false">(t1_usd*J367+t2_usd*K367)/1000</f>
        <v>9567.9981848857</v>
      </c>
    </row>
    <row r="368" customFormat="false" ht="15" hidden="false" customHeight="false" outlineLevel="0" collapsed="false">
      <c r="E368" s="54" t="n">
        <v>364</v>
      </c>
      <c r="F368" s="61" t="n">
        <v>0.641862</v>
      </c>
      <c r="G368" s="61" t="n">
        <v>0.96769</v>
      </c>
      <c r="H368" s="34" t="n">
        <f aca="false">NORMSINV(F368)</f>
        <v>0.363440302461351</v>
      </c>
      <c r="I368" s="34" t="n">
        <f aca="false">NORMSINV(G368)</f>
        <v>1.84787795714207</v>
      </c>
      <c r="J368" s="59" t="n">
        <f aca="false">mc_s0*EXP((mc_mu-mc_vol^2/2)*mc_t1+mc_vol*SQRT(mc_t1)*H368)</f>
        <v>1186.76034480051</v>
      </c>
      <c r="K368" s="59" t="n">
        <f aca="false">J368*EXP((mc_mu-mc_vol^2/2)*(mc_t2-mc_t1)+mc_vol*SQRT(mc_t2-mc_t1)*I368)</f>
        <v>1617.02314700717</v>
      </c>
      <c r="L368" s="31" t="n">
        <f aca="false">(t1_usd*J368+t2_usd*K368)/1000</f>
        <v>11379.6663929172</v>
      </c>
    </row>
    <row r="369" customFormat="false" ht="15" hidden="false" customHeight="false" outlineLevel="0" collapsed="false">
      <c r="E369" s="54" t="n">
        <v>365</v>
      </c>
      <c r="F369" s="61" t="n">
        <v>0.639117</v>
      </c>
      <c r="G369" s="61" t="n">
        <v>0.378593</v>
      </c>
      <c r="H369" s="34" t="n">
        <f aca="false">NORMSINV(F369)</f>
        <v>0.356099568986111</v>
      </c>
      <c r="I369" s="34" t="n">
        <f aca="false">NORMSINV(G369)</f>
        <v>-0.309178168360155</v>
      </c>
      <c r="J369" s="59" t="n">
        <f aca="false">mc_s0*EXP((mc_mu-mc_vol^2/2)*mc_t1+mc_vol*SQRT(mc_t1)*H369)</f>
        <v>1185.92847286026</v>
      </c>
      <c r="K369" s="59" t="n">
        <f aca="false">J369*EXP((mc_mu-mc_vol^2/2)*(mc_t2-mc_t1)+mc_vol*SQRT(mc_t2-mc_t1)*I369)</f>
        <v>1150.21434670278</v>
      </c>
      <c r="L369" s="31" t="n">
        <f aca="false">(t1_usd*J369+t2_usd*K369)/1000</f>
        <v>10486.9065687571</v>
      </c>
    </row>
    <row r="370" customFormat="false" ht="15" hidden="false" customHeight="false" outlineLevel="0" collapsed="false">
      <c r="E370" s="54" t="n">
        <v>366</v>
      </c>
      <c r="F370" s="61" t="n">
        <v>0.785572</v>
      </c>
      <c r="G370" s="61" t="n">
        <v>0.190553</v>
      </c>
      <c r="H370" s="34" t="n">
        <f aca="false">NORMSINV(F370)</f>
        <v>0.791150796549724</v>
      </c>
      <c r="I370" s="34" t="n">
        <f aca="false">NORMSINV(G370)</f>
        <v>-0.875860270703655</v>
      </c>
      <c r="J370" s="59" t="n">
        <f aca="false">mc_s0*EXP((mc_mu-mc_vol^2/2)*mc_t1+mc_vol*SQRT(mc_t1)*H370)</f>
        <v>1236.25076718915</v>
      </c>
      <c r="K370" s="59" t="n">
        <f aca="false">J370*EXP((mc_mu-mc_vol^2/2)*(mc_t2-mc_t1)+mc_vol*SQRT(mc_t2-mc_t1)*I370)</f>
        <v>1096.58444960703</v>
      </c>
      <c r="L370" s="31" t="n">
        <f aca="false">(t1_usd*J370+t2_usd*K370)/1000</f>
        <v>10737.2658245774</v>
      </c>
    </row>
    <row r="371" customFormat="false" ht="15" hidden="false" customHeight="false" outlineLevel="0" collapsed="false">
      <c r="E371" s="54" t="n">
        <v>367</v>
      </c>
      <c r="F371" s="61" t="n">
        <v>0.767425</v>
      </c>
      <c r="G371" s="61" t="n">
        <v>0.737509</v>
      </c>
      <c r="H371" s="34" t="n">
        <f aca="false">NORMSINV(F371)</f>
        <v>0.730392993321993</v>
      </c>
      <c r="I371" s="34" t="n">
        <f aca="false">NORMSINV(G371)</f>
        <v>0.635684624354148</v>
      </c>
      <c r="J371" s="59" t="n">
        <f aca="false">mc_s0*EXP((mc_mu-mc_vol^2/2)*mc_t1+mc_vol*SQRT(mc_t1)*H371)</f>
        <v>1229.09666352665</v>
      </c>
      <c r="K371" s="59" t="n">
        <f aca="false">J371*EXP((mc_mu-mc_vol^2/2)*(mc_t2-mc_t1)+mc_vol*SQRT(mc_t2-mc_t1)*I371)</f>
        <v>1383.48510531144</v>
      </c>
      <c r="L371" s="31" t="n">
        <f aca="false">(t1_usd*J371+t2_usd*K371)/1000</f>
        <v>11232.2983447783</v>
      </c>
    </row>
    <row r="372" customFormat="false" ht="15" hidden="false" customHeight="false" outlineLevel="0" collapsed="false">
      <c r="E372" s="54" t="n">
        <v>368</v>
      </c>
      <c r="F372" s="61" t="n">
        <v>0.779475</v>
      </c>
      <c r="G372" s="61" t="n">
        <v>0.436246</v>
      </c>
      <c r="H372" s="34" t="n">
        <f aca="false">NORMSINV(F372)</f>
        <v>0.770421337914855</v>
      </c>
      <c r="I372" s="34" t="n">
        <f aca="false">NORMSINV(G372)</f>
        <v>-0.16049393356419</v>
      </c>
      <c r="J372" s="59" t="n">
        <f aca="false">mc_s0*EXP((mc_mu-mc_vol^2/2)*mc_t1+mc_vol*SQRT(mc_t1)*H372)</f>
        <v>1233.80524912922</v>
      </c>
      <c r="K372" s="59" t="n">
        <f aca="false">J372*EXP((mc_mu-mc_vol^2/2)*(mc_t2-mc_t1)+mc_vol*SQRT(mc_t2-mc_t1)*I372)</f>
        <v>1225.01984113212</v>
      </c>
      <c r="L372" s="31" t="n">
        <f aca="false">(t1_usd*J372+t2_usd*K372)/1000</f>
        <v>10964.1744420555</v>
      </c>
    </row>
    <row r="373" customFormat="false" ht="15" hidden="false" customHeight="false" outlineLevel="0" collapsed="false">
      <c r="E373" s="54" t="n">
        <v>369</v>
      </c>
      <c r="F373" s="61" t="n">
        <v>0.155631</v>
      </c>
      <c r="G373" s="61" t="n">
        <v>0.165904</v>
      </c>
      <c r="H373" s="34" t="n">
        <f aca="false">NORMSINV(F373)</f>
        <v>-1.01257752402043</v>
      </c>
      <c r="I373" s="34" t="n">
        <f aca="false">NORMSINV(G373)</f>
        <v>-0.97047857349302</v>
      </c>
      <c r="J373" s="59" t="n">
        <f aca="false">mc_s0*EXP((mc_mu-mc_vol^2/2)*mc_t1+mc_vol*SQRT(mc_t1)*H373)</f>
        <v>1040.58843941299</v>
      </c>
      <c r="K373" s="59" t="n">
        <f aca="false">J373*EXP((mc_mu-mc_vol^2/2)*(mc_t2-mc_t1)+mc_vol*SQRT(mc_t2-mc_t1)*I373)</f>
        <v>909.36587597496</v>
      </c>
      <c r="L373" s="31" t="n">
        <f aca="false">(t1_usd*J373+t2_usd*K373)/1000</f>
        <v>9011.91424024336</v>
      </c>
    </row>
    <row r="374" customFormat="false" ht="15" hidden="false" customHeight="false" outlineLevel="0" collapsed="false">
      <c r="E374" s="54" t="n">
        <v>370</v>
      </c>
      <c r="F374" s="61" t="n">
        <v>0.159609</v>
      </c>
      <c r="G374" s="61" t="n">
        <v>0.947068</v>
      </c>
      <c r="H374" s="34" t="n">
        <f aca="false">NORMSINV(F374)</f>
        <v>-0.996066161242375</v>
      </c>
      <c r="I374" s="34" t="n">
        <f aca="false">NORMSINV(G374)</f>
        <v>1.61706616244422</v>
      </c>
      <c r="J374" s="59" t="n">
        <f aca="false">mc_s0*EXP((mc_mu-mc_vol^2/2)*mc_t1+mc_vol*SQRT(mc_t1)*H374)</f>
        <v>1042.23095952906</v>
      </c>
      <c r="K374" s="59" t="n">
        <f aca="false">J374*EXP((mc_mu-mc_vol^2/2)*(mc_t2-mc_t1)+mc_vol*SQRT(mc_t2-mc_t1)*I374)</f>
        <v>1369.36742522687</v>
      </c>
      <c r="L374" s="31" t="n">
        <f aca="false">(t1_usd*J374+t2_usd*K374)/1000</f>
        <v>9897.41482463443</v>
      </c>
    </row>
    <row r="375" customFormat="false" ht="15" hidden="false" customHeight="false" outlineLevel="0" collapsed="false">
      <c r="E375" s="54" t="n">
        <v>371</v>
      </c>
      <c r="F375" s="61" t="n">
        <v>0.774861</v>
      </c>
      <c r="G375" s="61" t="n">
        <v>0.709713</v>
      </c>
      <c r="H375" s="34" t="n">
        <f aca="false">NORMSINV(F375)</f>
        <v>0.754951638968879</v>
      </c>
      <c r="I375" s="34" t="n">
        <f aca="false">NORMSINV(G375)</f>
        <v>0.55254647805492</v>
      </c>
      <c r="J375" s="59" t="n">
        <f aca="false">mc_s0*EXP((mc_mu-mc_vol^2/2)*mc_t1+mc_vol*SQRT(mc_t1)*H375)</f>
        <v>1231.98339381165</v>
      </c>
      <c r="K375" s="59" t="n">
        <f aca="false">J375*EXP((mc_mu-mc_vol^2/2)*(mc_t2-mc_t1)+mc_vol*SQRT(mc_t2-mc_t1)*I375)</f>
        <v>1368.68394504442</v>
      </c>
      <c r="L375" s="31" t="n">
        <f aca="false">(t1_usd*J375+t2_usd*K375)/1000</f>
        <v>11224.3832522659</v>
      </c>
    </row>
    <row r="376" customFormat="false" ht="15" hidden="false" customHeight="false" outlineLevel="0" collapsed="false">
      <c r="E376" s="54" t="n">
        <v>372</v>
      </c>
      <c r="F376" s="61" t="n">
        <v>0.479919</v>
      </c>
      <c r="G376" s="61" t="n">
        <v>0.108401</v>
      </c>
      <c r="H376" s="34" t="n">
        <f aca="false">NORMSINV(F376)</f>
        <v>-0.0503568769110655</v>
      </c>
      <c r="I376" s="34" t="n">
        <f aca="false">NORMSINV(G376)</f>
        <v>-1.23507659260069</v>
      </c>
      <c r="J376" s="59" t="n">
        <f aca="false">mc_s0*EXP((mc_mu-mc_vol^2/2)*mc_t1+mc_vol*SQRT(mc_t1)*H376)</f>
        <v>1140.76626908651</v>
      </c>
      <c r="K376" s="59" t="n">
        <f aca="false">J376*EXP((mc_mu-mc_vol^2/2)*(mc_t2-mc_t1)+mc_vol*SQRT(mc_t2-mc_t1)*I376)</f>
        <v>956.195615532274</v>
      </c>
      <c r="L376" s="31" t="n">
        <f aca="false">(t1_usd*J376+t2_usd*K376)/1000</f>
        <v>9802.13555311686</v>
      </c>
    </row>
    <row r="377" customFormat="false" ht="15" hidden="false" customHeight="false" outlineLevel="0" collapsed="false">
      <c r="E377" s="54" t="n">
        <v>373</v>
      </c>
      <c r="F377" s="61" t="n">
        <v>0.264257</v>
      </c>
      <c r="G377" s="61" t="n">
        <v>0.2844</v>
      </c>
      <c r="H377" s="34" t="n">
        <f aca="false">NORMSINV(F377)</f>
        <v>-0.63027603443973</v>
      </c>
      <c r="I377" s="34" t="n">
        <f aca="false">NORMSINV(G377)</f>
        <v>-0.569819689095657</v>
      </c>
      <c r="J377" s="59" t="n">
        <f aca="false">mc_s0*EXP((mc_mu-mc_vol^2/2)*mc_t1+mc_vol*SQRT(mc_t1)*H377)</f>
        <v>1079.29149440644</v>
      </c>
      <c r="K377" s="59" t="n">
        <f aca="false">J377*EXP((mc_mu-mc_vol^2/2)*(mc_t2-mc_t1)+mc_vol*SQRT(mc_t2-mc_t1)*I377)</f>
        <v>1004.66263170496</v>
      </c>
      <c r="L377" s="31" t="n">
        <f aca="false">(t1_usd*J377+t2_usd*K377)/1000</f>
        <v>9463.89946108451</v>
      </c>
    </row>
    <row r="378" customFormat="false" ht="15" hidden="false" customHeight="false" outlineLevel="0" collapsed="false">
      <c r="E378" s="54" t="n">
        <v>374</v>
      </c>
      <c r="F378" s="61" t="n">
        <v>0.653939</v>
      </c>
      <c r="G378" s="61" t="n">
        <v>0.363545</v>
      </c>
      <c r="H378" s="34" t="n">
        <f aca="false">NORMSINV(F378)</f>
        <v>0.395976994193903</v>
      </c>
      <c r="I378" s="34" t="n">
        <f aca="false">NORMSINV(G378)</f>
        <v>-0.348999080333841</v>
      </c>
      <c r="J378" s="59" t="n">
        <f aca="false">mc_s0*EXP((mc_mu-mc_vol^2/2)*mc_t1+mc_vol*SQRT(mc_t1)*H378)</f>
        <v>1190.45452209158</v>
      </c>
      <c r="K378" s="59" t="n">
        <f aca="false">J378*EXP((mc_mu-mc_vol^2/2)*(mc_t2-mc_t1)+mc_vol*SQRT(mc_t2-mc_t1)*I378)</f>
        <v>1147.38105851637</v>
      </c>
      <c r="L378" s="31" t="n">
        <f aca="false">(t1_usd*J378+t2_usd*K378)/1000</f>
        <v>10513.2056658221</v>
      </c>
    </row>
    <row r="379" customFormat="false" ht="15" hidden="false" customHeight="false" outlineLevel="0" collapsed="false">
      <c r="E379" s="54" t="n">
        <v>375</v>
      </c>
      <c r="F379" s="61" t="n">
        <v>0.929855</v>
      </c>
      <c r="G379" s="61" t="n">
        <v>0.173956</v>
      </c>
      <c r="H379" s="34" t="n">
        <f aca="false">NORMSINV(F379)</f>
        <v>1.47471195724697</v>
      </c>
      <c r="I379" s="34" t="n">
        <f aca="false">NORMSINV(G379)</f>
        <v>-0.93864702590352</v>
      </c>
      <c r="J379" s="59" t="n">
        <f aca="false">mc_s0*EXP((mc_mu-mc_vol^2/2)*mc_t1+mc_vol*SQRT(mc_t1)*H379)</f>
        <v>1319.66614091797</v>
      </c>
      <c r="K379" s="59" t="n">
        <f aca="false">J379*EXP((mc_mu-mc_vol^2/2)*(mc_t2-mc_t1)+mc_vol*SQRT(mc_t2-mc_t1)*I379)</f>
        <v>1159.05045223625</v>
      </c>
      <c r="L379" s="31" t="n">
        <f aca="false">(t1_usd*J379+t2_usd*K379)/1000</f>
        <v>11439.8588456747</v>
      </c>
    </row>
    <row r="380" customFormat="false" ht="15" hidden="false" customHeight="false" outlineLevel="0" collapsed="false">
      <c r="E380" s="54" t="n">
        <v>376</v>
      </c>
      <c r="F380" s="61" t="n">
        <v>0.185773</v>
      </c>
      <c r="G380" s="61" t="n">
        <v>0.241963</v>
      </c>
      <c r="H380" s="34" t="n">
        <f aca="false">NORMSINV(F380)</f>
        <v>-0.893581216526393</v>
      </c>
      <c r="I380" s="34" t="n">
        <f aca="false">NORMSINV(G380)</f>
        <v>-0.700002088760077</v>
      </c>
      <c r="J380" s="59" t="n">
        <f aca="false">mc_s0*EXP((mc_mu-mc_vol^2/2)*mc_t1+mc_vol*SQRT(mc_t1)*H380)</f>
        <v>1052.4841214466</v>
      </c>
      <c r="K380" s="59" t="n">
        <f aca="false">J380*EXP((mc_mu-mc_vol^2/2)*(mc_t2-mc_t1)+mc_vol*SQRT(mc_t2-mc_t1)*I380)</f>
        <v>959.814091705383</v>
      </c>
      <c r="L380" s="31" t="n">
        <f aca="false">(t1_usd*J380+t2_usd*K380)/1000</f>
        <v>9191.03562436643</v>
      </c>
    </row>
    <row r="381" customFormat="false" ht="15" hidden="false" customHeight="false" outlineLevel="0" collapsed="false">
      <c r="E381" s="54" t="n">
        <v>377</v>
      </c>
      <c r="F381" s="61" t="n">
        <v>0.287674</v>
      </c>
      <c r="G381" s="61" t="n">
        <v>0.723558</v>
      </c>
      <c r="H381" s="34" t="n">
        <f aca="false">NORMSINV(F381)</f>
        <v>-0.560192708421478</v>
      </c>
      <c r="I381" s="34" t="n">
        <f aca="false">NORMSINV(G381)</f>
        <v>0.593444074438292</v>
      </c>
      <c r="J381" s="59" t="n">
        <f aca="false">mc_s0*EXP((mc_mu-mc_vol^2/2)*mc_t1+mc_vol*SQRT(mc_t1)*H381)</f>
        <v>1086.54109734386</v>
      </c>
      <c r="K381" s="59" t="n">
        <f aca="false">J381*EXP((mc_mu-mc_vol^2/2)*(mc_t2-mc_t1)+mc_vol*SQRT(mc_t2-mc_t1)*I381)</f>
        <v>1214.90853802652</v>
      </c>
      <c r="L381" s="31" t="n">
        <f aca="false">(t1_usd*J381+t2_usd*K381)/1000</f>
        <v>9914.11390365742</v>
      </c>
    </row>
    <row r="382" customFormat="false" ht="15" hidden="false" customHeight="false" outlineLevel="0" collapsed="false">
      <c r="E382" s="54" t="n">
        <v>378</v>
      </c>
      <c r="F382" s="61" t="n">
        <v>0.334918</v>
      </c>
      <c r="G382" s="61" t="n">
        <v>0.079309</v>
      </c>
      <c r="H382" s="34" t="n">
        <f aca="false">NORMSINV(F382)</f>
        <v>-0.426373099302058</v>
      </c>
      <c r="I382" s="34" t="n">
        <f aca="false">NORMSINV(G382)</f>
        <v>-1.40973481696443</v>
      </c>
      <c r="J382" s="59" t="n">
        <f aca="false">mc_s0*EXP((mc_mu-mc_vol^2/2)*mc_t1+mc_vol*SQRT(mc_t1)*H382)</f>
        <v>1100.51928513163</v>
      </c>
      <c r="K382" s="59" t="n">
        <f aca="false">J382*EXP((mc_mu-mc_vol^2/2)*(mc_t2-mc_t1)+mc_vol*SQRT(mc_t2-mc_t1)*I382)</f>
        <v>897.415984920938</v>
      </c>
      <c r="L382" s="31" t="n">
        <f aca="false">(t1_usd*J382+t2_usd*K382)/1000</f>
        <v>9408.72536727119</v>
      </c>
    </row>
    <row r="383" customFormat="false" ht="15" hidden="false" customHeight="false" outlineLevel="0" collapsed="false">
      <c r="E383" s="54" t="n">
        <v>379</v>
      </c>
      <c r="F383" s="61" t="n">
        <v>0.975079</v>
      </c>
      <c r="G383" s="61" t="n">
        <v>0.500844</v>
      </c>
      <c r="H383" s="34" t="n">
        <f aca="false">NORMSINV(F383)</f>
        <v>1.96131747519462</v>
      </c>
      <c r="I383" s="34" t="n">
        <f aca="false">NORMSINV(G383)</f>
        <v>0.00211559584193225</v>
      </c>
      <c r="J383" s="59" t="n">
        <f aca="false">mc_s0*EXP((mc_mu-mc_vol^2/2)*mc_t1+mc_vol*SQRT(mc_t1)*H383)</f>
        <v>1382.45460378497</v>
      </c>
      <c r="K383" s="59" t="n">
        <f aca="false">J383*EXP((mc_mu-mc_vol^2/2)*(mc_t2-mc_t1)+mc_vol*SQRT(mc_t2-mc_t1)*I383)</f>
        <v>1408.24003413892</v>
      </c>
      <c r="L383" s="31" t="n">
        <f aca="false">(t1_usd*J383+t2_usd*K383)/1000</f>
        <v>12352.8382913588</v>
      </c>
    </row>
    <row r="384" customFormat="false" ht="15" hidden="false" customHeight="false" outlineLevel="0" collapsed="false">
      <c r="E384" s="54" t="n">
        <v>380</v>
      </c>
      <c r="F384" s="61" t="n">
        <v>0.84296</v>
      </c>
      <c r="G384" s="61" t="n">
        <v>0.289618</v>
      </c>
      <c r="H384" s="34" t="n">
        <f aca="false">NORMSINV(F384)</f>
        <v>1.00669784093652</v>
      </c>
      <c r="I384" s="34" t="n">
        <f aca="false">NORMSINV(G384)</f>
        <v>-0.554501031397922</v>
      </c>
      <c r="J384" s="59" t="n">
        <f aca="false">mc_s0*EXP((mc_mu-mc_vol^2/2)*mc_t1+mc_vol*SQRT(mc_t1)*H384)</f>
        <v>1261.9685512748</v>
      </c>
      <c r="K384" s="59" t="n">
        <f aca="false">J384*EXP((mc_mu-mc_vol^2/2)*(mc_t2-mc_t1)+mc_vol*SQRT(mc_t2-mc_t1)*I384)</f>
        <v>1177.54757969963</v>
      </c>
      <c r="L384" s="31" t="n">
        <f aca="false">(t1_usd*J384+t2_usd*K384)/1000</f>
        <v>11071.1202603529</v>
      </c>
    </row>
    <row r="385" customFormat="false" ht="15" hidden="false" customHeight="false" outlineLevel="0" collapsed="false">
      <c r="E385" s="54" t="n">
        <v>381</v>
      </c>
      <c r="F385" s="61" t="n">
        <v>0.317168</v>
      </c>
      <c r="G385" s="61" t="n">
        <v>0.403716</v>
      </c>
      <c r="H385" s="34" t="n">
        <f aca="false">NORMSINV(F385)</f>
        <v>-0.475632804991267</v>
      </c>
      <c r="I385" s="34" t="n">
        <f aca="false">NORMSINV(G385)</f>
        <v>-0.243740247797243</v>
      </c>
      <c r="J385" s="59" t="n">
        <f aca="false">mc_s0*EXP((mc_mu-mc_vol^2/2)*mc_t1+mc_vol*SQRT(mc_t1)*H385)</f>
        <v>1095.35304781752</v>
      </c>
      <c r="K385" s="59" t="n">
        <f aca="false">J385*EXP((mc_mu-mc_vol^2/2)*(mc_t2-mc_t1)+mc_vol*SQRT(mc_t2-mc_t1)*I385)</f>
        <v>1073.37900894576</v>
      </c>
      <c r="L385" s="31" t="n">
        <f aca="false">(t1_usd*J385+t2_usd*K385)/1000</f>
        <v>9706.89145171955</v>
      </c>
    </row>
    <row r="386" customFormat="false" ht="15" hidden="false" customHeight="false" outlineLevel="0" collapsed="false">
      <c r="E386" s="54" t="n">
        <v>382</v>
      </c>
      <c r="F386" s="61" t="n">
        <v>0.561925</v>
      </c>
      <c r="G386" s="61" t="n">
        <v>0.426657</v>
      </c>
      <c r="H386" s="34" t="n">
        <f aca="false">NORMSINV(F386)</f>
        <v>0.155851595697845</v>
      </c>
      <c r="I386" s="34" t="n">
        <f aca="false">NORMSINV(G386)</f>
        <v>-0.184891676026153</v>
      </c>
      <c r="J386" s="59" t="n">
        <f aca="false">mc_s0*EXP((mc_mu-mc_vol^2/2)*mc_t1+mc_vol*SQRT(mc_t1)*H386)</f>
        <v>1163.45936354478</v>
      </c>
      <c r="K386" s="59" t="n">
        <f aca="false">J386*EXP((mc_mu-mc_vol^2/2)*(mc_t2-mc_t1)+mc_vol*SQRT(mc_t2-mc_t1)*I386)</f>
        <v>1150.74183382722</v>
      </c>
      <c r="L386" s="31" t="n">
        <f aca="false">(t1_usd*J386+t2_usd*K386)/1000</f>
        <v>10330.6250290852</v>
      </c>
    </row>
    <row r="387" customFormat="false" ht="15" hidden="false" customHeight="false" outlineLevel="0" collapsed="false">
      <c r="E387" s="54" t="n">
        <v>383</v>
      </c>
      <c r="F387" s="61" t="n">
        <v>0.514261</v>
      </c>
      <c r="G387" s="61" t="n">
        <v>0.312896</v>
      </c>
      <c r="H387" s="34" t="n">
        <f aca="false">NORMSINV(F387)</f>
        <v>0.0357546424533503</v>
      </c>
      <c r="I387" s="34" t="n">
        <f aca="false">NORMSINV(G387)</f>
        <v>-0.487658149263204</v>
      </c>
      <c r="J387" s="59" t="n">
        <f aca="false">mc_s0*EXP((mc_mu-mc_vol^2/2)*mc_t1+mc_vol*SQRT(mc_t1)*H387)</f>
        <v>1150.18845269213</v>
      </c>
      <c r="K387" s="59" t="n">
        <f aca="false">J387*EXP((mc_mu-mc_vol^2/2)*(mc_t2-mc_t1)+mc_vol*SQRT(mc_t2-mc_t1)*I387)</f>
        <v>1084.61045396054</v>
      </c>
      <c r="L387" s="31" t="n">
        <f aca="false">(t1_usd*J387+t2_usd*K387)/1000</f>
        <v>10112.07903137</v>
      </c>
    </row>
    <row r="388" customFormat="false" ht="15" hidden="false" customHeight="false" outlineLevel="0" collapsed="false">
      <c r="E388" s="54" t="n">
        <v>384</v>
      </c>
      <c r="F388" s="61" t="n">
        <v>0.249305</v>
      </c>
      <c r="G388" s="61" t="n">
        <v>0.969884</v>
      </c>
      <c r="H388" s="34" t="n">
        <f aca="false">NORMSINV(F388)</f>
        <v>-0.676678437900183</v>
      </c>
      <c r="I388" s="34" t="n">
        <f aca="false">NORMSINV(G388)</f>
        <v>1.87909150412786</v>
      </c>
      <c r="J388" s="59" t="n">
        <f aca="false">mc_s0*EXP((mc_mu-mc_vol^2/2)*mc_t1+mc_vol*SQRT(mc_t1)*H388)</f>
        <v>1074.51814380334</v>
      </c>
      <c r="K388" s="59" t="n">
        <f aca="false">J388*EXP((mc_mu-mc_vol^2/2)*(mc_t2-mc_t1)+mc_vol*SQRT(mc_t2-mc_t1)*I388)</f>
        <v>1471.30691766364</v>
      </c>
      <c r="L388" s="31" t="n">
        <f aca="false">(t1_usd*J388+t2_usd*K388)/1000</f>
        <v>10317.1101501843</v>
      </c>
    </row>
    <row r="389" customFormat="false" ht="15" hidden="false" customHeight="false" outlineLevel="0" collapsed="false">
      <c r="E389" s="54" t="n">
        <v>385</v>
      </c>
      <c r="F389" s="61" t="n">
        <v>0.537207</v>
      </c>
      <c r="G389" s="61" t="n">
        <v>0.580718</v>
      </c>
      <c r="H389" s="34" t="n">
        <f aca="false">NORMSINV(F389)</f>
        <v>0.0933997363069166</v>
      </c>
      <c r="I389" s="34" t="n">
        <f aca="false">NORMSINV(G389)</f>
        <v>0.203730636243769</v>
      </c>
      <c r="J389" s="59" t="n">
        <f aca="false">mc_s0*EXP((mc_mu-mc_vol^2/2)*mc_t1+mc_vol*SQRT(mc_t1)*H389)</f>
        <v>1156.53933191432</v>
      </c>
      <c r="K389" s="59" t="n">
        <f aca="false">J389*EXP((mc_mu-mc_vol^2/2)*(mc_t2-mc_t1)+mc_vol*SQRT(mc_t2-mc_t1)*I389)</f>
        <v>1216.14433764301</v>
      </c>
      <c r="L389" s="31" t="n">
        <f aca="false">(t1_usd*J389+t2_usd*K389)/1000</f>
        <v>10406.449564922</v>
      </c>
    </row>
    <row r="390" customFormat="false" ht="15" hidden="false" customHeight="false" outlineLevel="0" collapsed="false">
      <c r="E390" s="54" t="n">
        <v>386</v>
      </c>
      <c r="F390" s="61" t="n">
        <v>0.054983</v>
      </c>
      <c r="G390" s="61" t="n">
        <v>0.071322</v>
      </c>
      <c r="H390" s="34" t="n">
        <f aca="false">NORMSINV(F390)</f>
        <v>-1.59834597885988</v>
      </c>
      <c r="I390" s="34" t="n">
        <f aca="false">NORMSINV(G390)</f>
        <v>-1.46601573574963</v>
      </c>
      <c r="J390" s="59" t="n">
        <f aca="false">mc_s0*EXP((mc_mu-mc_vol^2/2)*mc_t1+mc_vol*SQRT(mc_t1)*H390)</f>
        <v>983.962216758149</v>
      </c>
      <c r="K390" s="59" t="n">
        <f aca="false">J390*EXP((mc_mu-mc_vol^2/2)*(mc_t2-mc_t1)+mc_vol*SQRT(mc_t2-mc_t1)*I390)</f>
        <v>795.284641141192</v>
      </c>
      <c r="L390" s="31" t="n">
        <f aca="false">(t1_usd*J390+t2_usd*K390)/1000</f>
        <v>8398.7763354753</v>
      </c>
    </row>
    <row r="391" customFormat="false" ht="15" hidden="false" customHeight="false" outlineLevel="0" collapsed="false">
      <c r="E391" s="54" t="n">
        <v>387</v>
      </c>
      <c r="F391" s="61" t="n">
        <v>0.310562</v>
      </c>
      <c r="G391" s="61" t="n">
        <v>0.461908</v>
      </c>
      <c r="H391" s="34" t="n">
        <f aca="false">NORMSINV(F391)</f>
        <v>-0.494257975718742</v>
      </c>
      <c r="I391" s="34" t="n">
        <f aca="false">NORMSINV(G391)</f>
        <v>-0.0956280331395288</v>
      </c>
      <c r="J391" s="59" t="n">
        <f aca="false">mc_s0*EXP((mc_mu-mc_vol^2/2)*mc_t1+mc_vol*SQRT(mc_t1)*H391)</f>
        <v>1093.40601013057</v>
      </c>
      <c r="K391" s="59" t="n">
        <f aca="false">J391*EXP((mc_mu-mc_vol^2/2)*(mc_t2-mc_t1)+mc_vol*SQRT(mc_t2-mc_t1)*I391)</f>
        <v>1096.77491447881</v>
      </c>
      <c r="L391" s="31" t="n">
        <f aca="false">(t1_usd*J391+t2_usd*K391)/1000</f>
        <v>9737.71440842373</v>
      </c>
    </row>
    <row r="392" customFormat="false" ht="15" hidden="false" customHeight="false" outlineLevel="0" collapsed="false">
      <c r="E392" s="54" t="n">
        <v>388</v>
      </c>
      <c r="F392" s="61" t="n">
        <v>0.042404</v>
      </c>
      <c r="G392" s="61" t="n">
        <v>0.806319</v>
      </c>
      <c r="H392" s="34" t="n">
        <f aca="false">NORMSINV(F392)</f>
        <v>-1.72344546014427</v>
      </c>
      <c r="I392" s="34" t="n">
        <f aca="false">NORMSINV(G392)</f>
        <v>0.864411277287011</v>
      </c>
      <c r="J392" s="59" t="n">
        <f aca="false">mc_s0*EXP((mc_mu-mc_vol^2/2)*mc_t1+mc_vol*SQRT(mc_t1)*H392)</f>
        <v>972.2740098323</v>
      </c>
      <c r="K392" s="59" t="n">
        <f aca="false">J392*EXP((mc_mu-mc_vol^2/2)*(mc_t2-mc_t1)+mc_vol*SQRT(mc_t2-mc_t1)*I392)</f>
        <v>1134.57079862174</v>
      </c>
      <c r="L392" s="31" t="n">
        <f aca="false">(t1_usd*J392+t2_usd*K392)/1000</f>
        <v>8961.60258620741</v>
      </c>
    </row>
    <row r="393" customFormat="false" ht="15" hidden="false" customHeight="false" outlineLevel="0" collapsed="false">
      <c r="E393" s="54" t="n">
        <v>389</v>
      </c>
      <c r="F393" s="61" t="n">
        <v>0.818946</v>
      </c>
      <c r="G393" s="61" t="n">
        <v>0.512843</v>
      </c>
      <c r="H393" s="34" t="n">
        <f aca="false">NORMSINV(F393)</f>
        <v>0.911355675479546</v>
      </c>
      <c r="I393" s="34" t="n">
        <f aca="false">NORMSINV(G393)</f>
        <v>0.0321981895021523</v>
      </c>
      <c r="J393" s="59" t="n">
        <f aca="false">mc_s0*EXP((mc_mu-mc_vol^2/2)*mc_t1+mc_vol*SQRT(mc_t1)*H393)</f>
        <v>1250.52755980979</v>
      </c>
      <c r="K393" s="59" t="n">
        <f aca="false">J393*EXP((mc_mu-mc_vol^2/2)*(mc_t2-mc_t1)+mc_vol*SQRT(mc_t2-mc_t1)*I393)</f>
        <v>1279.9057299528</v>
      </c>
      <c r="L393" s="31" t="n">
        <f aca="false">(t1_usd*J393+t2_usd*K393)/1000</f>
        <v>11185.5138055789</v>
      </c>
    </row>
    <row r="394" customFormat="false" ht="15" hidden="false" customHeight="false" outlineLevel="0" collapsed="false">
      <c r="E394" s="54" t="n">
        <v>390</v>
      </c>
      <c r="F394" s="61" t="n">
        <v>0.434659</v>
      </c>
      <c r="G394" s="61" t="n">
        <v>0.42687</v>
      </c>
      <c r="H394" s="34" t="n">
        <f aca="false">NORMSINV(F394)</f>
        <v>-0.164524831982195</v>
      </c>
      <c r="I394" s="34" t="n">
        <f aca="false">NORMSINV(G394)</f>
        <v>-0.184348587136651</v>
      </c>
      <c r="J394" s="59" t="n">
        <f aca="false">mc_s0*EXP((mc_mu-mc_vol^2/2)*mc_t1+mc_vol*SQRT(mc_t1)*H394)</f>
        <v>1128.39309370085</v>
      </c>
      <c r="K394" s="59" t="n">
        <f aca="false">J394*EXP((mc_mu-mc_vol^2/2)*(mc_t2-mc_t1)+mc_vol*SQRT(mc_t2-mc_t1)*I394)</f>
        <v>1116.15439035413</v>
      </c>
      <c r="L394" s="31" t="n">
        <f aca="false">(t1_usd*J394+t2_usd*K394)/1000</f>
        <v>10019.4449975788</v>
      </c>
    </row>
    <row r="395" customFormat="false" ht="15" hidden="false" customHeight="false" outlineLevel="0" collapsed="false">
      <c r="E395" s="54" t="n">
        <v>391</v>
      </c>
      <c r="F395" s="61" t="n">
        <v>0.619365</v>
      </c>
      <c r="G395" s="61" t="n">
        <v>0.667798</v>
      </c>
      <c r="H395" s="34" t="n">
        <f aca="false">NORMSINV(F395)</f>
        <v>0.303813475187742</v>
      </c>
      <c r="I395" s="34" t="n">
        <f aca="false">NORMSINV(G395)</f>
        <v>0.433840870936636</v>
      </c>
      <c r="J395" s="59" t="n">
        <f aca="false">mc_s0*EXP((mc_mu-mc_vol^2/2)*mc_t1+mc_vol*SQRT(mc_t1)*H395)</f>
        <v>1180.02011419048</v>
      </c>
      <c r="K395" s="59" t="n">
        <f aca="false">J395*EXP((mc_mu-mc_vol^2/2)*(mc_t2-mc_t1)+mc_vol*SQRT(mc_t2-mc_t1)*I395)</f>
        <v>1286.65851073875</v>
      </c>
      <c r="L395" s="31" t="n">
        <f aca="false">(t1_usd*J395+t2_usd*K395)/1000</f>
        <v>10704.791969737</v>
      </c>
    </row>
    <row r="396" customFormat="false" ht="15" hidden="false" customHeight="false" outlineLevel="0" collapsed="false">
      <c r="E396" s="54" t="n">
        <v>392</v>
      </c>
      <c r="F396" s="61" t="n">
        <v>0.29853</v>
      </c>
      <c r="G396" s="61" t="n">
        <v>0.700151</v>
      </c>
      <c r="H396" s="34" t="n">
        <f aca="false">NORMSINV(F396)</f>
        <v>-0.5286330914753</v>
      </c>
      <c r="I396" s="34" t="n">
        <f aca="false">NORMSINV(G396)</f>
        <v>0.524834853835148</v>
      </c>
      <c r="J396" s="59" t="n">
        <f aca="false">mc_s0*EXP((mc_mu-mc_vol^2/2)*mc_t1+mc_vol*SQRT(mc_t1)*H396)</f>
        <v>1089.821588863</v>
      </c>
      <c r="K396" s="59" t="n">
        <f aca="false">J396*EXP((mc_mu-mc_vol^2/2)*(mc_t2-mc_t1)+mc_vol*SQRT(mc_t2-mc_t1)*I396)</f>
        <v>1205.4718987542</v>
      </c>
      <c r="L396" s="31" t="n">
        <f aca="false">(t1_usd*J396+t2_usd*K396)/1000</f>
        <v>9919.14772967395</v>
      </c>
    </row>
    <row r="397" customFormat="false" ht="15" hidden="false" customHeight="false" outlineLevel="0" collapsed="false">
      <c r="E397" s="54" t="n">
        <v>393</v>
      </c>
      <c r="F397" s="61" t="n">
        <v>0.873248</v>
      </c>
      <c r="G397" s="61" t="n">
        <v>0.418119</v>
      </c>
      <c r="H397" s="34" t="n">
        <f aca="false">NORMSINV(F397)</f>
        <v>1.14187976670389</v>
      </c>
      <c r="I397" s="34" t="n">
        <f aca="false">NORMSINV(G397)</f>
        <v>-0.206707883794076</v>
      </c>
      <c r="J397" s="59" t="n">
        <f aca="false">mc_s0*EXP((mc_mu-mc_vol^2/2)*mc_t1+mc_vol*SQRT(mc_t1)*H397)</f>
        <v>1278.3699329632</v>
      </c>
      <c r="K397" s="59" t="n">
        <f aca="false">J397*EXP((mc_mu-mc_vol^2/2)*(mc_t2-mc_t1)+mc_vol*SQRT(mc_t2-mc_t1)*I397)</f>
        <v>1260.05670094322</v>
      </c>
      <c r="L397" s="31" t="n">
        <f aca="false">(t1_usd*J397+t2_usd*K397)/1000</f>
        <v>11342.6972625345</v>
      </c>
    </row>
    <row r="398" customFormat="false" ht="15" hidden="false" customHeight="false" outlineLevel="0" collapsed="false">
      <c r="E398" s="54" t="n">
        <v>394</v>
      </c>
      <c r="F398" s="61" t="n">
        <v>0.131246</v>
      </c>
      <c r="G398" s="61" t="n">
        <v>0.402807</v>
      </c>
      <c r="H398" s="34" t="n">
        <f aca="false">NORMSINV(F398)</f>
        <v>-1.12052055107619</v>
      </c>
      <c r="I398" s="34" t="n">
        <f aca="false">NORMSINV(G398)</f>
        <v>-0.24608814482591</v>
      </c>
      <c r="J398" s="59" t="n">
        <f aca="false">mc_s0*EXP((mc_mu-mc_vol^2/2)*mc_t1+mc_vol*SQRT(mc_t1)*H398)</f>
        <v>1029.91405700613</v>
      </c>
      <c r="K398" s="59" t="n">
        <f aca="false">J398*EXP((mc_mu-mc_vol^2/2)*(mc_t2-mc_t1)+mc_vol*SQRT(mc_t2-mc_t1)*I398)</f>
        <v>1008.87943219321</v>
      </c>
      <c r="L398" s="31" t="n">
        <f aca="false">(t1_usd*J398+t2_usd*K398)/1000</f>
        <v>9126.26932021</v>
      </c>
    </row>
    <row r="399" customFormat="false" ht="15" hidden="false" customHeight="false" outlineLevel="0" collapsed="false">
      <c r="E399" s="54" t="n">
        <v>395</v>
      </c>
      <c r="F399" s="61" t="n">
        <v>0.94355</v>
      </c>
      <c r="G399" s="61" t="n">
        <v>0.93875</v>
      </c>
      <c r="H399" s="34" t="n">
        <f aca="false">NORMSINV(F399)</f>
        <v>1.58529202573191</v>
      </c>
      <c r="I399" s="34" t="n">
        <f aca="false">NORMSINV(G399)</f>
        <v>1.54436472746589</v>
      </c>
      <c r="J399" s="59" t="n">
        <f aca="false">mc_s0*EXP((mc_mu-mc_vol^2/2)*mc_t1+mc_vol*SQRT(mc_t1)*H399)</f>
        <v>1333.67952098938</v>
      </c>
      <c r="K399" s="59" t="n">
        <f aca="false">J399*EXP((mc_mu-mc_vol^2/2)*(mc_t2-mc_t1)+mc_vol*SQRT(mc_t2-mc_t1)*I399)</f>
        <v>1732.33421893046</v>
      </c>
      <c r="L399" s="31" t="n">
        <f aca="false">(t1_usd*J399+t2_usd*K399)/1000</f>
        <v>12627.1916628935</v>
      </c>
    </row>
    <row r="400" customFormat="false" ht="15" hidden="false" customHeight="false" outlineLevel="0" collapsed="false">
      <c r="E400" s="54" t="n">
        <v>396</v>
      </c>
      <c r="F400" s="61" t="n">
        <v>0.905987</v>
      </c>
      <c r="G400" s="61" t="n">
        <v>0.386739</v>
      </c>
      <c r="H400" s="34" t="n">
        <f aca="false">NORMSINV(F400)</f>
        <v>1.31644120526546</v>
      </c>
      <c r="I400" s="34" t="n">
        <f aca="false">NORMSINV(G400)</f>
        <v>-0.287828526470322</v>
      </c>
      <c r="J400" s="59" t="n">
        <f aca="false">mc_s0*EXP((mc_mu-mc_vol^2/2)*mc_t1+mc_vol*SQRT(mc_t1)*H400)</f>
        <v>1299.86490956042</v>
      </c>
      <c r="K400" s="59" t="n">
        <f aca="false">J400*EXP((mc_mu-mc_vol^2/2)*(mc_t2-mc_t1)+mc_vol*SQRT(mc_t2-mc_t1)*I400)</f>
        <v>1264.96850667602</v>
      </c>
      <c r="L400" s="31" t="n">
        <f aca="false">(t1_usd*J400+t2_usd*K400)/1000</f>
        <v>11502.4945296074</v>
      </c>
    </row>
    <row r="401" customFormat="false" ht="15" hidden="false" customHeight="false" outlineLevel="0" collapsed="false">
      <c r="E401" s="54" t="n">
        <v>397</v>
      </c>
      <c r="F401" s="61" t="n">
        <v>0.140005</v>
      </c>
      <c r="G401" s="61" t="n">
        <v>0.308602</v>
      </c>
      <c r="H401" s="34" t="n">
        <f aca="false">NORMSINV(F401)</f>
        <v>-1.08029687692227</v>
      </c>
      <c r="I401" s="34" t="n">
        <f aca="false">NORMSINV(G401)</f>
        <v>-0.49981691374008</v>
      </c>
      <c r="J401" s="59" t="n">
        <f aca="false">mc_s0*EXP((mc_mu-mc_vol^2/2)*mc_t1+mc_vol*SQRT(mc_t1)*H401)</f>
        <v>1033.87887794759</v>
      </c>
      <c r="K401" s="59" t="n">
        <f aca="false">J401*EXP((mc_mu-mc_vol^2/2)*(mc_t2-mc_t1)+mc_vol*SQRT(mc_t2-mc_t1)*I401)</f>
        <v>973.065953318983</v>
      </c>
      <c r="L401" s="31" t="n">
        <f aca="false">(t1_usd*J401+t2_usd*K401)/1000</f>
        <v>9085.97745693919</v>
      </c>
    </row>
    <row r="402" customFormat="false" ht="15" hidden="false" customHeight="false" outlineLevel="0" collapsed="false">
      <c r="E402" s="54" t="n">
        <v>398</v>
      </c>
      <c r="F402" s="61" t="n">
        <v>0.959024</v>
      </c>
      <c r="G402" s="61" t="n">
        <v>0.151921</v>
      </c>
      <c r="H402" s="34" t="n">
        <f aca="false">NORMSINV(F402)</f>
        <v>1.73947070958852</v>
      </c>
      <c r="I402" s="34" t="n">
        <f aca="false">NORMSINV(G402)</f>
        <v>-1.02822925517643</v>
      </c>
      <c r="J402" s="59" t="n">
        <f aca="false">mc_s0*EXP((mc_mu-mc_vol^2/2)*mc_t1+mc_vol*SQRT(mc_t1)*H402)</f>
        <v>1353.46670707975</v>
      </c>
      <c r="K402" s="59" t="n">
        <f aca="false">J402*EXP((mc_mu-mc_vol^2/2)*(mc_t2-mc_t1)+mc_vol*SQRT(mc_t2-mc_t1)*I402)</f>
        <v>1172.07302261375</v>
      </c>
      <c r="L402" s="31" t="n">
        <f aca="false">(t1_usd*J402+t2_usd*K402)/1000</f>
        <v>11701.2056925244</v>
      </c>
    </row>
    <row r="403" customFormat="false" ht="15" hidden="false" customHeight="false" outlineLevel="0" collapsed="false">
      <c r="E403" s="54" t="n">
        <v>399</v>
      </c>
      <c r="F403" s="61" t="n">
        <v>0.756219</v>
      </c>
      <c r="G403" s="61" t="n">
        <v>0.008352</v>
      </c>
      <c r="H403" s="34" t="n">
        <f aca="false">NORMSINV(F403)</f>
        <v>0.694191695295568</v>
      </c>
      <c r="I403" s="34" t="n">
        <f aca="false">NORMSINV(G403)</f>
        <v>-2.39315901165588</v>
      </c>
      <c r="J403" s="59" t="n">
        <f aca="false">mc_s0*EXP((mc_mu-mc_vol^2/2)*mc_t1+mc_vol*SQRT(mc_t1)*H403)</f>
        <v>1224.85373472954</v>
      </c>
      <c r="K403" s="59" t="n">
        <f aca="false">J403*EXP((mc_mu-mc_vol^2/2)*(mc_t2-mc_t1)+mc_vol*SQRT(mc_t2-mc_t1)*I403)</f>
        <v>855.407387172595</v>
      </c>
      <c r="L403" s="31" t="n">
        <f aca="false">(t1_usd*J403+t2_usd*K403)/1000</f>
        <v>10199.2501787347</v>
      </c>
    </row>
    <row r="404" customFormat="false" ht="15" hidden="false" customHeight="false" outlineLevel="0" collapsed="false">
      <c r="E404" s="54" t="n">
        <v>400</v>
      </c>
      <c r="F404" s="61" t="n">
        <v>0.808746</v>
      </c>
      <c r="G404" s="61" t="n">
        <v>0.51538</v>
      </c>
      <c r="H404" s="34" t="n">
        <f aca="false">NORMSINV(F404)</f>
        <v>0.873284549287696</v>
      </c>
      <c r="I404" s="34" t="n">
        <f aca="false">NORMSINV(G404)</f>
        <v>0.0385614974869163</v>
      </c>
      <c r="J404" s="59" t="n">
        <f aca="false">mc_s0*EXP((mc_mu-mc_vol^2/2)*mc_t1+mc_vol*SQRT(mc_t1)*H404)</f>
        <v>1245.98808311727</v>
      </c>
      <c r="K404" s="59" t="n">
        <f aca="false">J404*EXP((mc_mu-mc_vol^2/2)*(mc_t2-mc_t1)+mc_vol*SQRT(mc_t2-mc_t1)*I404)</f>
        <v>1276.53909876205</v>
      </c>
      <c r="L404" s="31" t="n">
        <f aca="false">(t1_usd*J404+t2_usd*K404)/1000</f>
        <v>11147.3408694688</v>
      </c>
    </row>
    <row r="405" customFormat="false" ht="15" hidden="false" customHeight="false" outlineLevel="0" collapsed="false">
      <c r="E405" s="54" t="n">
        <v>401</v>
      </c>
      <c r="F405" s="61" t="n">
        <v>0.979214</v>
      </c>
      <c r="G405" s="61" t="n">
        <v>0.785583</v>
      </c>
      <c r="H405" s="34" t="n">
        <f aca="false">NORMSINV(F405)</f>
        <v>2.03777939414587</v>
      </c>
      <c r="I405" s="34" t="n">
        <f aca="false">NORMSINV(G405)</f>
        <v>0.79118850214552</v>
      </c>
      <c r="J405" s="59" t="n">
        <f aca="false">mc_s0*EXP((mc_mu-mc_vol^2/2)*mc_t1+mc_vol*SQRT(mc_t1)*H405)</f>
        <v>1392.58879971161</v>
      </c>
      <c r="K405" s="59" t="n">
        <f aca="false">J405*EXP((mc_mu-mc_vol^2/2)*(mc_t2-mc_t1)+mc_vol*SQRT(mc_t2-mc_t1)*I405)</f>
        <v>1606.40231068406</v>
      </c>
      <c r="L405" s="31" t="n">
        <f aca="false">(t1_usd*J405+t2_usd*K405)/1000</f>
        <v>12800.285988281</v>
      </c>
    </row>
    <row r="406" customFormat="false" ht="15" hidden="false" customHeight="false" outlineLevel="0" collapsed="false">
      <c r="E406" s="54" t="n">
        <v>402</v>
      </c>
      <c r="F406" s="61" t="n">
        <v>0.75286</v>
      </c>
      <c r="G406" s="61" t="n">
        <v>0.978742</v>
      </c>
      <c r="H406" s="34" t="n">
        <f aca="false">NORMSINV(F406)</f>
        <v>0.683517335231142</v>
      </c>
      <c r="I406" s="34" t="n">
        <f aca="false">NORMSINV(G406)</f>
        <v>2.02843373486357</v>
      </c>
      <c r="J406" s="59" t="n">
        <f aca="false">mc_s0*EXP((mc_mu-mc_vol^2/2)*mc_t1+mc_vol*SQRT(mc_t1)*H406)</f>
        <v>1223.60545782766</v>
      </c>
      <c r="K406" s="59" t="n">
        <f aca="false">J406*EXP((mc_mu-mc_vol^2/2)*(mc_t2-mc_t1)+mc_vol*SQRT(mc_t2-mc_t1)*I406)</f>
        <v>1715.34779564024</v>
      </c>
      <c r="L406" s="31" t="n">
        <f aca="false">(t1_usd*J406+t2_usd*K406)/1000</f>
        <v>11824.3990165101</v>
      </c>
    </row>
    <row r="407" customFormat="false" ht="15" hidden="false" customHeight="false" outlineLevel="0" collapsed="false">
      <c r="E407" s="54" t="n">
        <v>403</v>
      </c>
      <c r="F407" s="61" t="n">
        <v>0.141757</v>
      </c>
      <c r="G407" s="61" t="n">
        <v>0.419067</v>
      </c>
      <c r="H407" s="34" t="n">
        <f aca="false">NORMSINV(F407)</f>
        <v>-1.07245882160786</v>
      </c>
      <c r="I407" s="34" t="n">
        <f aca="false">NORMSINV(G407)</f>
        <v>-0.204280893413056</v>
      </c>
      <c r="J407" s="59" t="n">
        <f aca="false">mc_s0*EXP((mc_mu-mc_vol^2/2)*mc_t1+mc_vol*SQRT(mc_t1)*H407)</f>
        <v>1034.65324492957</v>
      </c>
      <c r="K407" s="59" t="n">
        <f aca="false">J407*EXP((mc_mu-mc_vol^2/2)*(mc_t2-mc_t1)+mc_vol*SQRT(mc_t2-mc_t1)*I407)</f>
        <v>1020.22150238895</v>
      </c>
      <c r="L407" s="31" t="n">
        <f aca="false">(t1_usd*J407+t2_usd*K407)/1000</f>
        <v>9180.99356904603</v>
      </c>
    </row>
    <row r="408" customFormat="false" ht="15" hidden="false" customHeight="false" outlineLevel="0" collapsed="false">
      <c r="E408" s="54" t="n">
        <v>404</v>
      </c>
      <c r="F408" s="61" t="n">
        <v>0.999385</v>
      </c>
      <c r="G408" s="61" t="n">
        <v>0.597805</v>
      </c>
      <c r="H408" s="34" t="n">
        <f aca="false">NORMSINV(F408)</f>
        <v>3.23183048356361</v>
      </c>
      <c r="I408" s="34" t="n">
        <f aca="false">NORMSINV(G408)</f>
        <v>0.247669670870911</v>
      </c>
      <c r="J408" s="59" t="n">
        <f aca="false">mc_s0*EXP((mc_mu-mc_vol^2/2)*mc_t1+mc_vol*SQRT(mc_t1)*H408)</f>
        <v>1560.83877869544</v>
      </c>
      <c r="K408" s="59" t="n">
        <f aca="false">J408*EXP((mc_mu-mc_vol^2/2)*(mc_t2-mc_t1)+mc_vol*SQRT(mc_t2-mc_t1)*I408)</f>
        <v>1652.68479185615</v>
      </c>
      <c r="L408" s="31" t="n">
        <f aca="false">(t1_usd*J408+t2_usd*K408)/1000</f>
        <v>14065.9725553947</v>
      </c>
    </row>
    <row r="409" customFormat="false" ht="15" hidden="false" customHeight="false" outlineLevel="0" collapsed="false">
      <c r="E409" s="54" t="n">
        <v>405</v>
      </c>
      <c r="F409" s="61" t="n">
        <v>0.811045</v>
      </c>
      <c r="G409" s="61" t="n">
        <v>0.721253</v>
      </c>
      <c r="H409" s="34" t="n">
        <f aca="false">NORMSINV(F409)</f>
        <v>0.881753726690393</v>
      </c>
      <c r="I409" s="34" t="n">
        <f aca="false">NORMSINV(G409)</f>
        <v>0.58656782060267</v>
      </c>
      <c r="J409" s="59" t="n">
        <f aca="false">mc_s0*EXP((mc_mu-mc_vol^2/2)*mc_t1+mc_vol*SQRT(mc_t1)*H409)</f>
        <v>1246.99649290317</v>
      </c>
      <c r="K409" s="59" t="n">
        <f aca="false">J409*EXP((mc_mu-mc_vol^2/2)*(mc_t2-mc_t1)+mc_vol*SQRT(mc_t2-mc_t1)*I409)</f>
        <v>1392.8105088923</v>
      </c>
      <c r="L409" s="31" t="n">
        <f aca="false">(t1_usd*J409+t2_usd*K409)/1000</f>
        <v>11375.3154172176</v>
      </c>
    </row>
    <row r="410" customFormat="false" ht="15" hidden="false" customHeight="false" outlineLevel="0" collapsed="false">
      <c r="E410" s="54" t="n">
        <v>406</v>
      </c>
      <c r="F410" s="61" t="n">
        <v>0.107147</v>
      </c>
      <c r="G410" s="61" t="n">
        <v>0.642352</v>
      </c>
      <c r="H410" s="34" t="n">
        <f aca="false">NORMSINV(F410)</f>
        <v>-1.24184433878492</v>
      </c>
      <c r="I410" s="34" t="n">
        <f aca="false">NORMSINV(G410)</f>
        <v>0.364752721255645</v>
      </c>
      <c r="J410" s="59" t="n">
        <f aca="false">mc_s0*EXP((mc_mu-mc_vol^2/2)*mc_t1+mc_vol*SQRT(mc_t1)*H410)</f>
        <v>1018.04710815991</v>
      </c>
      <c r="K410" s="59" t="n">
        <f aca="false">J410*EXP((mc_mu-mc_vol^2/2)*(mc_t2-mc_t1)+mc_vol*SQRT(mc_t2-mc_t1)*I410)</f>
        <v>1098.02755835454</v>
      </c>
      <c r="L410" s="31" t="n">
        <f aca="false">(t1_usd*J410+t2_usd*K410)/1000</f>
        <v>9212.58211799297</v>
      </c>
    </row>
    <row r="411" customFormat="false" ht="15" hidden="false" customHeight="false" outlineLevel="0" collapsed="false">
      <c r="E411" s="54" t="n">
        <v>407</v>
      </c>
      <c r="F411" s="61" t="n">
        <v>0.094858</v>
      </c>
      <c r="G411" s="61" t="n">
        <v>0.892133</v>
      </c>
      <c r="H411" s="34" t="n">
        <f aca="false">NORMSINV(F411)</f>
        <v>-1.31141972005434</v>
      </c>
      <c r="I411" s="34" t="n">
        <f aca="false">NORMSINV(G411)</f>
        <v>1.23795162078957</v>
      </c>
      <c r="J411" s="59" t="n">
        <f aca="false">mc_s0*EXP((mc_mu-mc_vol^2/2)*mc_t1+mc_vol*SQRT(mc_t1)*H411)</f>
        <v>1011.30357724989</v>
      </c>
      <c r="K411" s="59" t="n">
        <f aca="false">J411*EXP((mc_mu-mc_vol^2/2)*(mc_t2-mc_t1)+mc_vol*SQRT(mc_t2-mc_t1)*I411)</f>
        <v>1251.67121018702</v>
      </c>
      <c r="L411" s="31" t="n">
        <f aca="false">(t1_usd*J411+t2_usd*K411)/1000</f>
        <v>9457.30034010457</v>
      </c>
    </row>
    <row r="412" customFormat="false" ht="15" hidden="false" customHeight="false" outlineLevel="0" collapsed="false">
      <c r="E412" s="54" t="n">
        <v>408</v>
      </c>
      <c r="F412" s="61" t="n">
        <v>0.48124</v>
      </c>
      <c r="G412" s="61" t="n">
        <v>0.628222</v>
      </c>
      <c r="H412" s="34" t="n">
        <f aca="false">NORMSINV(F412)</f>
        <v>-0.0470416905959486</v>
      </c>
      <c r="I412" s="34" t="n">
        <f aca="false">NORMSINV(G412)</f>
        <v>0.327147932118488</v>
      </c>
      <c r="J412" s="59" t="n">
        <f aca="false">mc_s0*EXP((mc_mu-mc_vol^2/2)*mc_t1+mc_vol*SQRT(mc_t1)*H412)</f>
        <v>1141.12757879259</v>
      </c>
      <c r="K412" s="59" t="n">
        <f aca="false">J412*EXP((mc_mu-mc_vol^2/2)*(mc_t2-mc_t1)+mc_vol*SQRT(mc_t2-mc_t1)*I412)</f>
        <v>1223.50521705767</v>
      </c>
      <c r="L412" s="31" t="n">
        <f aca="false">(t1_usd*J412+t2_usd*K412)/1000</f>
        <v>10312.5529639577</v>
      </c>
    </row>
    <row r="413" customFormat="false" ht="15" hidden="false" customHeight="false" outlineLevel="0" collapsed="false">
      <c r="E413" s="54" t="n">
        <v>409</v>
      </c>
      <c r="F413" s="61" t="n">
        <v>0.845889</v>
      </c>
      <c r="G413" s="61" t="n">
        <v>0.864009</v>
      </c>
      <c r="H413" s="34" t="n">
        <f aca="false">NORMSINV(F413)</f>
        <v>1.01895990905176</v>
      </c>
      <c r="I413" s="34" t="n">
        <f aca="false">NORMSINV(G413)</f>
        <v>1.09850966419761</v>
      </c>
      <c r="J413" s="59" t="n">
        <f aca="false">mc_s0*EXP((mc_mu-mc_vol^2/2)*mc_t1+mc_vol*SQRT(mc_t1)*H413)</f>
        <v>1263.44756728862</v>
      </c>
      <c r="K413" s="59" t="n">
        <f aca="false">J413*EXP((mc_mu-mc_vol^2/2)*(mc_t2-mc_t1)+mc_vol*SQRT(mc_t2-mc_t1)*I413)</f>
        <v>1529.75639269964</v>
      </c>
      <c r="L413" s="31" t="n">
        <f aca="false">(t1_usd*J413+t2_usd*K413)/1000</f>
        <v>11750.6701171497</v>
      </c>
    </row>
    <row r="414" customFormat="false" ht="15" hidden="false" customHeight="false" outlineLevel="0" collapsed="false">
      <c r="E414" s="54" t="n">
        <v>410</v>
      </c>
      <c r="F414" s="61" t="n">
        <v>0.738446</v>
      </c>
      <c r="G414" s="61" t="n">
        <v>0.189728</v>
      </c>
      <c r="H414" s="34" t="n">
        <f aca="false">NORMSINV(F414)</f>
        <v>0.638561859326768</v>
      </c>
      <c r="I414" s="34" t="n">
        <f aca="false">NORMSINV(G414)</f>
        <v>-0.87889907548632</v>
      </c>
      <c r="J414" s="59" t="n">
        <f aca="false">mc_s0*EXP((mc_mu-mc_vol^2/2)*mc_t1+mc_vol*SQRT(mc_t1)*H414)</f>
        <v>1218.36223759217</v>
      </c>
      <c r="K414" s="59" t="n">
        <f aca="false">J414*EXP((mc_mu-mc_vol^2/2)*(mc_t2-mc_t1)+mc_vol*SQRT(mc_t2-mc_t1)*I414)</f>
        <v>1080.19946350504</v>
      </c>
      <c r="L414" s="31" t="n">
        <f aca="false">(t1_usd*J414+t2_usd*K414)/1000</f>
        <v>10580.9146438048</v>
      </c>
    </row>
    <row r="415" customFormat="false" ht="15" hidden="false" customHeight="false" outlineLevel="0" collapsed="false">
      <c r="E415" s="54" t="n">
        <v>411</v>
      </c>
      <c r="F415" s="61" t="n">
        <v>0.181453</v>
      </c>
      <c r="G415" s="61" t="n">
        <v>0.59284</v>
      </c>
      <c r="H415" s="34" t="n">
        <f aca="false">NORMSINV(F415)</f>
        <v>-0.909841698920664</v>
      </c>
      <c r="I415" s="34" t="n">
        <f aca="false">NORMSINV(G415)</f>
        <v>0.234856645906708</v>
      </c>
      <c r="J415" s="59" t="n">
        <f aca="false">mc_s0*EXP((mc_mu-mc_vol^2/2)*mc_t1+mc_vol*SQRT(mc_t1)*H415)</f>
        <v>1050.85062577408</v>
      </c>
      <c r="K415" s="59" t="n">
        <f aca="false">J415*EXP((mc_mu-mc_vol^2/2)*(mc_t2-mc_t1)+mc_vol*SQRT(mc_t2-mc_t1)*I415)</f>
        <v>1110.44236959326</v>
      </c>
      <c r="L415" s="31" t="n">
        <f aca="false">(t1_usd*J415+t2_usd*K415)/1000</f>
        <v>9465.79488264575</v>
      </c>
    </row>
    <row r="416" customFormat="false" ht="15" hidden="false" customHeight="false" outlineLevel="0" collapsed="false">
      <c r="E416" s="54" t="n">
        <v>412</v>
      </c>
      <c r="F416" s="61" t="n">
        <v>0.883521</v>
      </c>
      <c r="G416" s="61" t="n">
        <v>0.17792</v>
      </c>
      <c r="H416" s="34" t="n">
        <f aca="false">NORMSINV(F416)</f>
        <v>1.1927737327355</v>
      </c>
      <c r="I416" s="34" t="n">
        <f aca="false">NORMSINV(G416)</f>
        <v>-0.923320898841586</v>
      </c>
      <c r="J416" s="59" t="n">
        <f aca="false">mc_s0*EXP((mc_mu-mc_vol^2/2)*mc_t1+mc_vol*SQRT(mc_t1)*H416)</f>
        <v>1284.59989193994</v>
      </c>
      <c r="K416" s="59" t="n">
        <f aca="false">J416*EXP((mc_mu-mc_vol^2/2)*(mc_t2-mc_t1)+mc_vol*SQRT(mc_t2-mc_t1)*I416)</f>
        <v>1130.98044649815</v>
      </c>
      <c r="L416" s="31" t="n">
        <f aca="false">(t1_usd*J416+t2_usd*K416)/1000</f>
        <v>11141.0620919261</v>
      </c>
    </row>
    <row r="417" customFormat="false" ht="15" hidden="false" customHeight="false" outlineLevel="0" collapsed="false">
      <c r="E417" s="54" t="n">
        <v>413</v>
      </c>
      <c r="F417" s="61" t="n">
        <v>0.972154</v>
      </c>
      <c r="G417" s="61" t="n">
        <v>0.158703</v>
      </c>
      <c r="H417" s="34" t="n">
        <f aca="false">NORMSINV(F417)</f>
        <v>1.91343802795021</v>
      </c>
      <c r="I417" s="34" t="n">
        <f aca="false">NORMSINV(G417)</f>
        <v>-0.999802697789577</v>
      </c>
      <c r="J417" s="59" t="n">
        <f aca="false">mc_s0*EXP((mc_mu-mc_vol^2/2)*mc_t1+mc_vol*SQRT(mc_t1)*H417)</f>
        <v>1376.1462869645</v>
      </c>
      <c r="K417" s="59" t="n">
        <f aca="false">J417*EXP((mc_mu-mc_vol^2/2)*(mc_t2-mc_t1)+mc_vol*SQRT(mc_t2-mc_t1)*I417)</f>
        <v>1197.06370087103</v>
      </c>
      <c r="L417" s="31" t="n">
        <f aca="false">(t1_usd*J417+t2_usd*K417)/1000</f>
        <v>11907.4450404064</v>
      </c>
    </row>
    <row r="418" customFormat="false" ht="15" hidden="false" customHeight="false" outlineLevel="0" collapsed="false">
      <c r="E418" s="54" t="n">
        <v>414</v>
      </c>
      <c r="F418" s="61" t="n">
        <v>0.530137</v>
      </c>
      <c r="G418" s="61" t="n">
        <v>0.665183</v>
      </c>
      <c r="H418" s="34" t="n">
        <f aca="false">NORMSINV(F418)</f>
        <v>0.0756142488211441</v>
      </c>
      <c r="I418" s="34" t="n">
        <f aca="false">NORMSINV(G418)</f>
        <v>0.42665037579666</v>
      </c>
      <c r="J418" s="59" t="n">
        <f aca="false">mc_s0*EXP((mc_mu-mc_vol^2/2)*mc_t1+mc_vol*SQRT(mc_t1)*H418)</f>
        <v>1154.57613633797</v>
      </c>
      <c r="K418" s="59" t="n">
        <f aca="false">J418*EXP((mc_mu-mc_vol^2/2)*(mc_t2-mc_t1)+mc_vol*SQRT(mc_t2-mc_t1)*I418)</f>
        <v>1257.48940019644</v>
      </c>
      <c r="L418" s="31" t="n">
        <f aca="false">(t1_usd*J418+t2_usd*K418)/1000</f>
        <v>10471.2628147391</v>
      </c>
    </row>
    <row r="419" customFormat="false" ht="15" hidden="false" customHeight="false" outlineLevel="0" collapsed="false">
      <c r="E419" s="54" t="n">
        <v>415</v>
      </c>
      <c r="F419" s="61" t="n">
        <v>0.326843</v>
      </c>
      <c r="G419" s="61" t="n">
        <v>0.168404</v>
      </c>
      <c r="H419" s="34" t="n">
        <f aca="false">NORMSINV(F419)</f>
        <v>-0.448647448087242</v>
      </c>
      <c r="I419" s="34" t="n">
        <f aca="false">NORMSINV(G419)</f>
        <v>-0.960491314940988</v>
      </c>
      <c r="J419" s="59" t="n">
        <f aca="false">mc_s0*EXP((mc_mu-mc_vol^2/2)*mc_t1+mc_vol*SQRT(mc_t1)*H419)</f>
        <v>1098.18019487834</v>
      </c>
      <c r="K419" s="59" t="n">
        <f aca="false">J419*EXP((mc_mu-mc_vol^2/2)*(mc_t2-mc_t1)+mc_vol*SQRT(mc_t2-mc_t1)*I419)</f>
        <v>961.206746150612</v>
      </c>
      <c r="L419" s="31" t="n">
        <f aca="false">(t1_usd*J419+t2_usd*K419)/1000</f>
        <v>9513.55418183454</v>
      </c>
    </row>
    <row r="420" customFormat="false" ht="15" hidden="false" customHeight="false" outlineLevel="0" collapsed="false">
      <c r="E420" s="54" t="n">
        <v>416</v>
      </c>
      <c r="F420" s="61" t="n">
        <v>0.07327</v>
      </c>
      <c r="G420" s="61" t="n">
        <v>0.267584</v>
      </c>
      <c r="H420" s="34" t="n">
        <f aca="false">NORMSINV(F420)</f>
        <v>-1.45186192954609</v>
      </c>
      <c r="I420" s="34" t="n">
        <f aca="false">NORMSINV(G420)</f>
        <v>-0.620136383823483</v>
      </c>
      <c r="J420" s="59" t="n">
        <f aca="false">mc_s0*EXP((mc_mu-mc_vol^2/2)*mc_t1+mc_vol*SQRT(mc_t1)*H420)</f>
        <v>997.82712478279</v>
      </c>
      <c r="K420" s="59" t="n">
        <f aca="false">J420*EXP((mc_mu-mc_vol^2/2)*(mc_t2-mc_t1)+mc_vol*SQRT(mc_t2-mc_t1)*I420)</f>
        <v>921.495103888642</v>
      </c>
      <c r="L420" s="31" t="n">
        <f aca="false">(t1_usd*J420+t2_usd*K420)/1000</f>
        <v>8735.63057086795</v>
      </c>
    </row>
    <row r="421" customFormat="false" ht="15" hidden="false" customHeight="false" outlineLevel="0" collapsed="false">
      <c r="E421" s="54" t="n">
        <v>417</v>
      </c>
      <c r="F421" s="61" t="n">
        <v>0.150038</v>
      </c>
      <c r="G421" s="61" t="n">
        <v>0.676185</v>
      </c>
      <c r="H421" s="34" t="n">
        <f aca="false">NORMSINV(F421)</f>
        <v>-1.036270424188</v>
      </c>
      <c r="I421" s="34" t="n">
        <f aca="false">NORMSINV(G421)</f>
        <v>0.457057106056755</v>
      </c>
      <c r="J421" s="59" t="n">
        <f aca="false">mc_s0*EXP((mc_mu-mc_vol^2/2)*mc_t1+mc_vol*SQRT(mc_t1)*H421)</f>
        <v>1038.23603430478</v>
      </c>
      <c r="K421" s="59" t="n">
        <f aca="false">J421*EXP((mc_mu-mc_vol^2/2)*(mc_t2-mc_t1)+mc_vol*SQRT(mc_t2-mc_t1)*I421)</f>
        <v>1136.21088894346</v>
      </c>
      <c r="L421" s="31" t="n">
        <f aca="false">(t1_usd*J421+t2_usd*K421)/1000</f>
        <v>9426.45292912605</v>
      </c>
    </row>
    <row r="422" customFormat="false" ht="15" hidden="false" customHeight="false" outlineLevel="0" collapsed="false">
      <c r="E422" s="54" t="n">
        <v>418</v>
      </c>
      <c r="F422" s="61" t="n">
        <v>0.94787</v>
      </c>
      <c r="G422" s="61" t="n">
        <v>0.994668</v>
      </c>
      <c r="H422" s="34" t="n">
        <f aca="false">NORMSINV(F422)</f>
        <v>1.62454286385896</v>
      </c>
      <c r="I422" s="34" t="n">
        <f aca="false">NORMSINV(G422)</f>
        <v>2.55352050291149</v>
      </c>
      <c r="J422" s="59" t="n">
        <f aca="false">mc_s0*EXP((mc_mu-mc_vol^2/2)*mc_t1+mc_vol*SQRT(mc_t1)*H422)</f>
        <v>1338.68932897162</v>
      </c>
      <c r="K422" s="59" t="n">
        <f aca="false">J422*EXP((mc_mu-mc_vol^2/2)*(mc_t2-mc_t1)+mc_vol*SQRT(mc_t2-mc_t1)*I422)</f>
        <v>2038.58346921705</v>
      </c>
      <c r="L422" s="31" t="n">
        <f aca="false">(t1_usd*J422+t2_usd*K422)/1000</f>
        <v>13244.1338943138</v>
      </c>
    </row>
    <row r="423" customFormat="false" ht="15" hidden="false" customHeight="false" outlineLevel="0" collapsed="false">
      <c r="E423" s="54" t="n">
        <v>419</v>
      </c>
      <c r="F423" s="61" t="n">
        <v>0.452731</v>
      </c>
      <c r="G423" s="61" t="n">
        <v>0.819325</v>
      </c>
      <c r="H423" s="34" t="n">
        <f aca="false">NORMSINV(F423)</f>
        <v>-0.118764417287571</v>
      </c>
      <c r="I423" s="34" t="n">
        <f aca="false">NORMSINV(G423)</f>
        <v>0.912795700522176</v>
      </c>
      <c r="J423" s="59" t="n">
        <f aca="false">mc_s0*EXP((mc_mu-mc_vol^2/2)*mc_t1+mc_vol*SQRT(mc_t1)*H423)</f>
        <v>1133.33627057201</v>
      </c>
      <c r="K423" s="59" t="n">
        <f aca="false">J423*EXP((mc_mu-mc_vol^2/2)*(mc_t2-mc_t1)+mc_vol*SQRT(mc_t2-mc_t1)*I423)</f>
        <v>1332.64119008554</v>
      </c>
      <c r="L423" s="31" t="n">
        <f aca="false">(t1_usd*J423+t2_usd*K423)/1000</f>
        <v>10465.3721551666</v>
      </c>
    </row>
    <row r="424" customFormat="false" ht="15" hidden="false" customHeight="false" outlineLevel="0" collapsed="false">
      <c r="E424" s="54" t="n">
        <v>420</v>
      </c>
      <c r="F424" s="61" t="n">
        <v>0.818463</v>
      </c>
      <c r="G424" s="61" t="n">
        <v>0.836724</v>
      </c>
      <c r="H424" s="34" t="n">
        <f aca="false">NORMSINV(F424)</f>
        <v>0.90952323269514</v>
      </c>
      <c r="I424" s="34" t="n">
        <f aca="false">NORMSINV(G424)</f>
        <v>0.98108262074954</v>
      </c>
      <c r="J424" s="59" t="n">
        <f aca="false">mc_s0*EXP((mc_mu-mc_vol^2/2)*mc_t1+mc_vol*SQRT(mc_t1)*H424)</f>
        <v>1250.30868694061</v>
      </c>
      <c r="K424" s="59" t="n">
        <f aca="false">J424*EXP((mc_mu-mc_vol^2/2)*(mc_t2-mc_t1)+mc_vol*SQRT(mc_t2-mc_t1)*I424)</f>
        <v>1486.09090720838</v>
      </c>
      <c r="L424" s="31" t="n">
        <f aca="false">(t1_usd*J424+t2_usd*K424)/1000</f>
        <v>11575.7335322802</v>
      </c>
    </row>
    <row r="425" customFormat="false" ht="15" hidden="false" customHeight="false" outlineLevel="0" collapsed="false">
      <c r="E425" s="54" t="n">
        <v>421</v>
      </c>
      <c r="F425" s="61" t="n">
        <v>0.13379</v>
      </c>
      <c r="G425" s="61" t="n">
        <v>0.294794</v>
      </c>
      <c r="H425" s="34" t="n">
        <f aca="false">NORMSINV(F425)</f>
        <v>-1.10865277927875</v>
      </c>
      <c r="I425" s="34" t="n">
        <f aca="false">NORMSINV(G425)</f>
        <v>-0.539433167996641</v>
      </c>
      <c r="J425" s="59" t="n">
        <f aca="false">mc_s0*EXP((mc_mu-mc_vol^2/2)*mc_t1+mc_vol*SQRT(mc_t1)*H425)</f>
        <v>1031.08227155875</v>
      </c>
      <c r="K425" s="59" t="n">
        <f aca="false">J425*EXP((mc_mu-mc_vol^2/2)*(mc_t2-mc_t1)+mc_vol*SQRT(mc_t2-mc_t1)*I425)</f>
        <v>964.394054080982</v>
      </c>
      <c r="L425" s="31" t="n">
        <f aca="false">(t1_usd*J425+t2_usd*K425)/1000</f>
        <v>9049.92460366515</v>
      </c>
    </row>
    <row r="426" customFormat="false" ht="15" hidden="false" customHeight="false" outlineLevel="0" collapsed="false">
      <c r="E426" s="54" t="n">
        <v>422</v>
      </c>
      <c r="F426" s="61" t="n">
        <v>0.092206</v>
      </c>
      <c r="G426" s="61" t="n">
        <v>0.734676</v>
      </c>
      <c r="H426" s="34" t="n">
        <f aca="false">NORMSINV(F426)</f>
        <v>-1.3272923301886</v>
      </c>
      <c r="I426" s="34" t="n">
        <f aca="false">NORMSINV(G426)</f>
        <v>0.627017139902245</v>
      </c>
      <c r="J426" s="59" t="n">
        <f aca="false">mc_s0*EXP((mc_mu-mc_vol^2/2)*mc_t1+mc_vol*SQRT(mc_t1)*H426)</f>
        <v>1009.77140727911</v>
      </c>
      <c r="K426" s="59" t="n">
        <f aca="false">J426*EXP((mc_mu-mc_vol^2/2)*(mc_t2-mc_t1)+mc_vol*SQRT(mc_t2-mc_t1)*I426)</f>
        <v>1135.05863884182</v>
      </c>
      <c r="L426" s="31" t="n">
        <f aca="false">(t1_usd*J426+t2_usd*K426)/1000</f>
        <v>9225.01126475323</v>
      </c>
    </row>
    <row r="427" customFormat="false" ht="15" hidden="false" customHeight="false" outlineLevel="0" collapsed="false">
      <c r="E427" s="54" t="n">
        <v>423</v>
      </c>
      <c r="F427" s="61" t="n">
        <v>0.399648</v>
      </c>
      <c r="G427" s="61" t="n">
        <v>0.718771</v>
      </c>
      <c r="H427" s="34" t="n">
        <f aca="false">NORMSINV(F427)</f>
        <v>-0.254258317019731</v>
      </c>
      <c r="I427" s="34" t="n">
        <f aca="false">NORMSINV(G427)</f>
        <v>0.579194413344484</v>
      </c>
      <c r="J427" s="59" t="n">
        <f aca="false">mc_s0*EXP((mc_mu-mc_vol^2/2)*mc_t1+mc_vol*SQRT(mc_t1)*H427)</f>
        <v>1118.7623186566</v>
      </c>
      <c r="K427" s="59" t="n">
        <f aca="false">J427*EXP((mc_mu-mc_vol^2/2)*(mc_t2-mc_t1)+mc_vol*SQRT(mc_t2-mc_t1)*I427)</f>
        <v>1248.13046422978</v>
      </c>
      <c r="L427" s="31" t="n">
        <f aca="false">(t1_usd*J427+t2_usd*K427)/1000</f>
        <v>10202.7841126328</v>
      </c>
    </row>
    <row r="428" customFormat="false" ht="15" hidden="false" customHeight="false" outlineLevel="0" collapsed="false">
      <c r="E428" s="54" t="n">
        <v>424</v>
      </c>
      <c r="F428" s="61" t="n">
        <v>0.411266</v>
      </c>
      <c r="G428" s="61" t="n">
        <v>0.518397</v>
      </c>
      <c r="H428" s="34" t="n">
        <f aca="false">NORMSINV(F428)</f>
        <v>-0.224289558977516</v>
      </c>
      <c r="I428" s="34" t="n">
        <f aca="false">NORMSINV(G428)</f>
        <v>0.0461307965903234</v>
      </c>
      <c r="J428" s="59" t="n">
        <f aca="false">mc_s0*EXP((mc_mu-mc_vol^2/2)*mc_t1+mc_vol*SQRT(mc_t1)*H428)</f>
        <v>1121.969581844</v>
      </c>
      <c r="K428" s="59" t="n">
        <f aca="false">J428*EXP((mc_mu-mc_vol^2/2)*(mc_t2-mc_t1)+mc_vol*SQRT(mc_t2-mc_t1)*I428)</f>
        <v>1150.85172286281</v>
      </c>
      <c r="L428" s="31" t="n">
        <f aca="false">(t1_usd*J428+t2_usd*K428)/1000</f>
        <v>10040.4053463474</v>
      </c>
    </row>
    <row r="429" customFormat="false" ht="15" hidden="false" customHeight="false" outlineLevel="0" collapsed="false">
      <c r="E429" s="54" t="n">
        <v>425</v>
      </c>
      <c r="F429" s="61" t="n">
        <v>0.815775</v>
      </c>
      <c r="G429" s="61" t="n">
        <v>0.544948</v>
      </c>
      <c r="H429" s="34" t="n">
        <f aca="false">NORMSINV(F429)</f>
        <v>0.899380541731338</v>
      </c>
      <c r="I429" s="34" t="n">
        <f aca="false">NORMSINV(G429)</f>
        <v>0.112907361527342</v>
      </c>
      <c r="J429" s="59" t="n">
        <f aca="false">mc_s0*EXP((mc_mu-mc_vol^2/2)*mc_t1+mc_vol*SQRT(mc_t1)*H429)</f>
        <v>1249.09790391563</v>
      </c>
      <c r="K429" s="59" t="n">
        <f aca="false">J429*EXP((mc_mu-mc_vol^2/2)*(mc_t2-mc_t1)+mc_vol*SQRT(mc_t2-mc_t1)*I429)</f>
        <v>1294.80712671282</v>
      </c>
      <c r="L429" s="31" t="n">
        <f aca="false">(t1_usd*J429+t2_usd*K429)/1000</f>
        <v>11203.8188681638</v>
      </c>
    </row>
    <row r="430" customFormat="false" ht="15" hidden="false" customHeight="false" outlineLevel="0" collapsed="false">
      <c r="E430" s="54" t="n">
        <v>426</v>
      </c>
      <c r="F430" s="61" t="n">
        <v>0.89643</v>
      </c>
      <c r="G430" s="61" t="n">
        <v>0.524238</v>
      </c>
      <c r="H430" s="34" t="n">
        <f aca="false">NORMSINV(F430)</f>
        <v>1.2614687836219</v>
      </c>
      <c r="I430" s="34" t="n">
        <f aca="false">NORMSINV(G430)</f>
        <v>0.0607930818702978</v>
      </c>
      <c r="J430" s="59" t="n">
        <f aca="false">mc_s0*EXP((mc_mu-mc_vol^2/2)*mc_t1+mc_vol*SQRT(mc_t1)*H430)</f>
        <v>1293.05706591161</v>
      </c>
      <c r="K430" s="59" t="n">
        <f aca="false">J430*EXP((mc_mu-mc_vol^2/2)*(mc_t2-mc_t1)+mc_vol*SQRT(mc_t2-mc_t1)*I430)</f>
        <v>1329.41169595633</v>
      </c>
      <c r="L430" s="31" t="n">
        <f aca="false">(t1_usd*J430+t2_usd*K430)/1000</f>
        <v>11577.2816836983</v>
      </c>
    </row>
    <row r="431" customFormat="false" ht="15" hidden="false" customHeight="false" outlineLevel="0" collapsed="false">
      <c r="E431" s="54" t="n">
        <v>427</v>
      </c>
      <c r="F431" s="61" t="n">
        <v>0.33207</v>
      </c>
      <c r="G431" s="61" t="n">
        <v>0.175113</v>
      </c>
      <c r="H431" s="34" t="n">
        <f aca="false">NORMSINV(F431)</f>
        <v>-0.434204425099547</v>
      </c>
      <c r="I431" s="34" t="n">
        <f aca="false">NORMSINV(G431)</f>
        <v>-0.93415101450581</v>
      </c>
      <c r="J431" s="59" t="n">
        <f aca="false">mc_s0*EXP((mc_mu-mc_vol^2/2)*mc_t1+mc_vol*SQRT(mc_t1)*H431)</f>
        <v>1099.69632884442</v>
      </c>
      <c r="K431" s="59" t="n">
        <f aca="false">J431*EXP((mc_mu-mc_vol^2/2)*(mc_t2-mc_t1)+mc_vol*SQRT(mc_t2-mc_t1)*I431)</f>
        <v>966.537608543079</v>
      </c>
      <c r="L431" s="31" t="n">
        <f aca="false">(t1_usd*J431+t2_usd*K431)/1000</f>
        <v>9534.2957581428</v>
      </c>
    </row>
    <row r="432" customFormat="false" ht="15" hidden="false" customHeight="false" outlineLevel="0" collapsed="false">
      <c r="E432" s="54" t="n">
        <v>428</v>
      </c>
      <c r="F432" s="61" t="n">
        <v>0.723206</v>
      </c>
      <c r="G432" s="61" t="n">
        <v>0.153509</v>
      </c>
      <c r="H432" s="34" t="n">
        <f aca="false">NORMSINV(F432)</f>
        <v>0.592392182474274</v>
      </c>
      <c r="I432" s="34" t="n">
        <f aca="false">NORMSINV(G432)</f>
        <v>-1.02149917450485</v>
      </c>
      <c r="J432" s="59" t="n">
        <f aca="false">mc_s0*EXP((mc_mu-mc_vol^2/2)*mc_t1+mc_vol*SQRT(mc_t1)*H432)</f>
        <v>1213.0007884264</v>
      </c>
      <c r="K432" s="59" t="n">
        <f aca="false">J432*EXP((mc_mu-mc_vol^2/2)*(mc_t2-mc_t1)+mc_vol*SQRT(mc_t2-mc_t1)*I432)</f>
        <v>1051.54725736983</v>
      </c>
      <c r="L432" s="31" t="n">
        <f aca="false">(t1_usd*J432+t2_usd*K432)/1000</f>
        <v>10488.9453079875</v>
      </c>
    </row>
    <row r="433" customFormat="false" ht="15" hidden="false" customHeight="false" outlineLevel="0" collapsed="false">
      <c r="E433" s="54" t="n">
        <v>429</v>
      </c>
      <c r="F433" s="61" t="n">
        <v>0.206114</v>
      </c>
      <c r="G433" s="61" t="n">
        <v>0.462839</v>
      </c>
      <c r="H433" s="34" t="n">
        <f aca="false">NORMSINV(F433)</f>
        <v>-0.81997913822869</v>
      </c>
      <c r="I433" s="34" t="n">
        <f aca="false">NORMSINV(G433)</f>
        <v>-0.0932839280021465</v>
      </c>
      <c r="J433" s="59" t="n">
        <f aca="false">mc_s0*EXP((mc_mu-mc_vol^2/2)*mc_t1+mc_vol*SQRT(mc_t1)*H433)</f>
        <v>1059.90985672827</v>
      </c>
      <c r="K433" s="59" t="n">
        <f aca="false">J433*EXP((mc_mu-mc_vol^2/2)*(mc_t2-mc_t1)+mc_vol*SQRT(mc_t2-mc_t1)*I433)</f>
        <v>1063.56838131946</v>
      </c>
      <c r="L433" s="31" t="n">
        <f aca="false">(t1_usd*J433+t2_usd*K433)/1000</f>
        <v>9440.14892160489</v>
      </c>
    </row>
    <row r="434" customFormat="false" ht="15" hidden="false" customHeight="false" outlineLevel="0" collapsed="false">
      <c r="E434" s="54" t="n">
        <v>430</v>
      </c>
      <c r="F434" s="61" t="n">
        <v>0.63242</v>
      </c>
      <c r="G434" s="61" t="n">
        <v>0.644252</v>
      </c>
      <c r="H434" s="34" t="n">
        <f aca="false">NORMSINV(F434)</f>
        <v>0.338269640474697</v>
      </c>
      <c r="I434" s="34" t="n">
        <f aca="false">NORMSINV(G434)</f>
        <v>0.369847662173356</v>
      </c>
      <c r="J434" s="59" t="n">
        <f aca="false">mc_s0*EXP((mc_mu-mc_vol^2/2)*mc_t1+mc_vol*SQRT(mc_t1)*H434)</f>
        <v>1183.91036412167</v>
      </c>
      <c r="K434" s="59" t="n">
        <f aca="false">J434*EXP((mc_mu-mc_vol^2/2)*(mc_t2-mc_t1)+mc_vol*SQRT(mc_t2-mc_t1)*I434)</f>
        <v>1277.94715437838</v>
      </c>
      <c r="L434" s="31" t="n">
        <f aca="false">(t1_usd*J434+t2_usd*K434)/1000</f>
        <v>10715.4721421706</v>
      </c>
    </row>
    <row r="435" customFormat="false" ht="15" hidden="false" customHeight="false" outlineLevel="0" collapsed="false">
      <c r="E435" s="54" t="n">
        <v>431</v>
      </c>
      <c r="F435" s="61" t="n">
        <v>0.47019</v>
      </c>
      <c r="G435" s="61" t="n">
        <v>0.531557</v>
      </c>
      <c r="H435" s="34" t="n">
        <f aca="false">NORMSINV(F435)</f>
        <v>-0.0747922602453972</v>
      </c>
      <c r="I435" s="34" t="n">
        <f aca="false">NORMSINV(G435)</f>
        <v>0.0791843404367807</v>
      </c>
      <c r="J435" s="59" t="n">
        <f aca="false">mc_s0*EXP((mc_mu-mc_vol^2/2)*mc_t1+mc_vol*SQRT(mc_t1)*H435)</f>
        <v>1138.10667520463</v>
      </c>
      <c r="K435" s="59" t="n">
        <f aca="false">J435*EXP((mc_mu-mc_vol^2/2)*(mc_t2-mc_t1)+mc_vol*SQRT(mc_t2-mc_t1)*I435)</f>
        <v>1173.50111325559</v>
      </c>
      <c r="L435" s="31" t="n">
        <f aca="false">(t1_usd*J435+t2_usd*K435)/1000</f>
        <v>10196.3988416181</v>
      </c>
    </row>
    <row r="436" customFormat="false" ht="15" hidden="false" customHeight="false" outlineLevel="0" collapsed="false">
      <c r="E436" s="54" t="n">
        <v>432</v>
      </c>
      <c r="F436" s="61" t="n">
        <v>0.626007</v>
      </c>
      <c r="G436" s="61" t="n">
        <v>0.340507</v>
      </c>
      <c r="H436" s="34" t="n">
        <f aca="false">NORMSINV(F436)</f>
        <v>0.321296115337561</v>
      </c>
      <c r="I436" s="34" t="n">
        <f aca="false">NORMSINV(G436)</f>
        <v>-0.411079829094617</v>
      </c>
      <c r="J436" s="59" t="n">
        <f aca="false">mc_s0*EXP((mc_mu-mc_vol^2/2)*mc_t1+mc_vol*SQRT(mc_t1)*H436)</f>
        <v>1181.99237961666</v>
      </c>
      <c r="K436" s="59" t="n">
        <f aca="false">J436*EXP((mc_mu-mc_vol^2/2)*(mc_t2-mc_t1)+mc_vol*SQRT(mc_t2-mc_t1)*I436)</f>
        <v>1128.13382753094</v>
      </c>
      <c r="L436" s="31" t="n">
        <f aca="false">(t1_usd*J436+t2_usd*K436)/1000</f>
        <v>10417.4009296254</v>
      </c>
    </row>
    <row r="437" customFormat="false" ht="15" hidden="false" customHeight="false" outlineLevel="0" collapsed="false">
      <c r="E437" s="54" t="n">
        <v>433</v>
      </c>
      <c r="F437" s="61" t="n">
        <v>0.074801</v>
      </c>
      <c r="G437" s="61" t="n">
        <v>0.118362</v>
      </c>
      <c r="H437" s="34" t="n">
        <f aca="false">NORMSINV(F437)</f>
        <v>-1.44093870559907</v>
      </c>
      <c r="I437" s="34" t="n">
        <f aca="false">NORMSINV(G437)</f>
        <v>-1.18321487296865</v>
      </c>
      <c r="J437" s="59" t="n">
        <f aca="false">mc_s0*EXP((mc_mu-mc_vol^2/2)*mc_t1+mc_vol*SQRT(mc_t1)*H437)</f>
        <v>998.868815962393</v>
      </c>
      <c r="K437" s="59" t="n">
        <f aca="false">J437*EXP((mc_mu-mc_vol^2/2)*(mc_t2-mc_t1)+mc_vol*SQRT(mc_t2-mc_t1)*I437)</f>
        <v>844.127490609131</v>
      </c>
      <c r="L437" s="31" t="n">
        <f aca="false">(t1_usd*J437+t2_usd*K437)/1000</f>
        <v>8595.9239438941</v>
      </c>
    </row>
    <row r="438" customFormat="false" ht="15" hidden="false" customHeight="false" outlineLevel="0" collapsed="false">
      <c r="E438" s="54" t="n">
        <v>434</v>
      </c>
      <c r="F438" s="61" t="n">
        <v>0.43896</v>
      </c>
      <c r="G438" s="61" t="n">
        <v>0.019632</v>
      </c>
      <c r="H438" s="34" t="n">
        <f aca="false">NORMSINV(F438)</f>
        <v>-0.153606514599622</v>
      </c>
      <c r="I438" s="34" t="n">
        <f aca="false">NORMSINV(G438)</f>
        <v>-2.06140938770846</v>
      </c>
      <c r="J438" s="59" t="n">
        <f aca="false">mc_s0*EXP((mc_mu-mc_vol^2/2)*mc_t1+mc_vol*SQRT(mc_t1)*H438)</f>
        <v>1129.57056105748</v>
      </c>
      <c r="K438" s="59" t="n">
        <f aca="false">J438*EXP((mc_mu-mc_vol^2/2)*(mc_t2-mc_t1)+mc_vol*SQRT(mc_t2-mc_t1)*I438)</f>
        <v>831.20412763085</v>
      </c>
      <c r="L438" s="31" t="n">
        <f aca="false">(t1_usd*J438+t2_usd*K438)/1000</f>
        <v>9486.28176990097</v>
      </c>
    </row>
    <row r="439" customFormat="false" ht="15" hidden="false" customHeight="false" outlineLevel="0" collapsed="false">
      <c r="E439" s="54" t="n">
        <v>435</v>
      </c>
      <c r="F439" s="61" t="n">
        <v>0.121252</v>
      </c>
      <c r="G439" s="61" t="n">
        <v>0.794137</v>
      </c>
      <c r="H439" s="34" t="n">
        <f aca="false">NORMSINV(F439)</f>
        <v>-1.16875091954428</v>
      </c>
      <c r="I439" s="34" t="n">
        <f aca="false">NORMSINV(G439)</f>
        <v>0.820860030757016</v>
      </c>
      <c r="J439" s="59" t="n">
        <f aca="false">mc_s0*EXP((mc_mu-mc_vol^2/2)*mc_t1+mc_vol*SQRT(mc_t1)*H439)</f>
        <v>1025.18006214939</v>
      </c>
      <c r="K439" s="59" t="n">
        <f aca="false">J439*EXP((mc_mu-mc_vol^2/2)*(mc_t2-mc_t1)+mc_vol*SQRT(mc_t2-mc_t1)*I439)</f>
        <v>1188.12558523759</v>
      </c>
      <c r="L439" s="31" t="n">
        <f aca="false">(t1_usd*J439+t2_usd*K439)/1000</f>
        <v>9433.69904699713</v>
      </c>
    </row>
    <row r="440" customFormat="false" ht="15" hidden="false" customHeight="false" outlineLevel="0" collapsed="false">
      <c r="E440" s="54" t="n">
        <v>436</v>
      </c>
      <c r="F440" s="61" t="n">
        <v>0.159551</v>
      </c>
      <c r="G440" s="61" t="n">
        <v>0.500178</v>
      </c>
      <c r="H440" s="34" t="n">
        <f aca="false">NORMSINV(F440)</f>
        <v>-0.996304948823254</v>
      </c>
      <c r="I440" s="34" t="n">
        <f aca="false">NORMSINV(G440)</f>
        <v>0.00044617984768833</v>
      </c>
      <c r="J440" s="59" t="n">
        <f aca="false">mc_s0*EXP((mc_mu-mc_vol^2/2)*mc_t1+mc_vol*SQRT(mc_t1)*H440)</f>
        <v>1042.2071869116</v>
      </c>
      <c r="K440" s="59" t="n">
        <f aca="false">J440*EXP((mc_mu-mc_vol^2/2)*(mc_t2-mc_t1)+mc_vol*SQRT(mc_t2-mc_t1)*I440)</f>
        <v>1061.36707991494</v>
      </c>
      <c r="L440" s="31" t="n">
        <f aca="false">(t1_usd*J440+t2_usd*K440)/1000</f>
        <v>9312.04776021959</v>
      </c>
    </row>
    <row r="441" customFormat="false" ht="15" hidden="false" customHeight="false" outlineLevel="0" collapsed="false">
      <c r="E441" s="54" t="n">
        <v>437</v>
      </c>
      <c r="F441" s="61" t="n">
        <v>0.697895</v>
      </c>
      <c r="G441" s="61" t="n">
        <v>0.741455</v>
      </c>
      <c r="H441" s="34" t="n">
        <f aca="false">NORMSINV(F441)</f>
        <v>0.518355867941053</v>
      </c>
      <c r="I441" s="34" t="n">
        <f aca="false">NORMSINV(G441)</f>
        <v>0.647837589920216</v>
      </c>
      <c r="J441" s="59" t="n">
        <f aca="false">mc_s0*EXP((mc_mu-mc_vol^2/2)*mc_t1+mc_vol*SQRT(mc_t1)*H441)</f>
        <v>1204.45253610459</v>
      </c>
      <c r="K441" s="59" t="n">
        <f aca="false">J441*EXP((mc_mu-mc_vol^2/2)*(mc_t2-mc_t1)+mc_vol*SQRT(mc_t2-mc_t1)*I441)</f>
        <v>1358.34444195082</v>
      </c>
      <c r="L441" s="31" t="n">
        <f aca="false">(t1_usd*J441+t2_usd*K441)/1000</f>
        <v>11012.0221924387</v>
      </c>
    </row>
    <row r="442" customFormat="false" ht="15" hidden="false" customHeight="false" outlineLevel="0" collapsed="false">
      <c r="E442" s="54" t="n">
        <v>438</v>
      </c>
      <c r="F442" s="61" t="n">
        <v>0.376429</v>
      </c>
      <c r="G442" s="61" t="n">
        <v>0.333138</v>
      </c>
      <c r="H442" s="34" t="n">
        <f aca="false">NORMSINV(F442)</f>
        <v>-0.31487310865758</v>
      </c>
      <c r="I442" s="34" t="n">
        <f aca="false">NORMSINV(G442)</f>
        <v>-0.431264582207786</v>
      </c>
      <c r="J442" s="59" t="n">
        <f aca="false">mc_s0*EXP((mc_mu-mc_vol^2/2)*mc_t1+mc_vol*SQRT(mc_t1)*H442)</f>
        <v>1112.30330798431</v>
      </c>
      <c r="K442" s="59" t="n">
        <f aca="false">J442*EXP((mc_mu-mc_vol^2/2)*(mc_t2-mc_t1)+mc_vol*SQRT(mc_t2-mc_t1)*I442)</f>
        <v>1058.24857443889</v>
      </c>
      <c r="L442" s="31" t="n">
        <f aca="false">(t1_usd*J442+t2_usd*K442)/1000</f>
        <v>9796.79544732407</v>
      </c>
    </row>
    <row r="443" customFormat="false" ht="15" hidden="false" customHeight="false" outlineLevel="0" collapsed="false">
      <c r="E443" s="54" t="n">
        <v>439</v>
      </c>
      <c r="F443" s="61" t="n">
        <v>0.664582</v>
      </c>
      <c r="G443" s="61" t="n">
        <v>0.772946</v>
      </c>
      <c r="H443" s="34" t="n">
        <f aca="false">NORMSINV(F443)</f>
        <v>0.425000925590566</v>
      </c>
      <c r="I443" s="34" t="n">
        <f aca="false">NORMSINV(G443)</f>
        <v>0.748583964646367</v>
      </c>
      <c r="J443" s="59" t="n">
        <f aca="false">mc_s0*EXP((mc_mu-mc_vol^2/2)*mc_t1+mc_vol*SQRT(mc_t1)*H443)</f>
        <v>1193.75956775691</v>
      </c>
      <c r="K443" s="59" t="n">
        <f aca="false">J443*EXP((mc_mu-mc_vol^2/2)*(mc_t2-mc_t1)+mc_vol*SQRT(mc_t2-mc_t1)*I443)</f>
        <v>1367.83072218599</v>
      </c>
      <c r="L443" s="31" t="n">
        <f aca="false">(t1_usd*J443+t2_usd*K443)/1000</f>
        <v>10955.1953464517</v>
      </c>
    </row>
    <row r="444" customFormat="false" ht="15" hidden="false" customHeight="false" outlineLevel="0" collapsed="false">
      <c r="E444" s="54" t="n">
        <v>440</v>
      </c>
      <c r="F444" s="61" t="n">
        <v>0.470464</v>
      </c>
      <c r="G444" s="61" t="n">
        <v>0.172102</v>
      </c>
      <c r="H444" s="34" t="n">
        <f aca="false">NORMSINV(F444)</f>
        <v>-0.0741035381091611</v>
      </c>
      <c r="I444" s="34" t="n">
        <f aca="false">NORMSINV(G444)</f>
        <v>-0.945891361469343</v>
      </c>
      <c r="J444" s="59" t="n">
        <f aca="false">mc_s0*EXP((mc_mu-mc_vol^2/2)*mc_t1+mc_vol*SQRT(mc_t1)*H444)</f>
        <v>1138.18155205151</v>
      </c>
      <c r="K444" s="59" t="n">
        <f aca="false">J444*EXP((mc_mu-mc_vol^2/2)*(mc_t2-mc_t1)+mc_vol*SQRT(mc_t2-mc_t1)*I444)</f>
        <v>998.513619976775</v>
      </c>
      <c r="L444" s="31" t="n">
        <f aca="false">(t1_usd*J444+t2_usd*K444)/1000</f>
        <v>9864.44674231641</v>
      </c>
    </row>
    <row r="445" customFormat="false" ht="15" hidden="false" customHeight="false" outlineLevel="0" collapsed="false">
      <c r="E445" s="54" t="n">
        <v>441</v>
      </c>
      <c r="F445" s="61" t="n">
        <v>0.305444</v>
      </c>
      <c r="G445" s="61" t="n">
        <v>0.972138</v>
      </c>
      <c r="H445" s="34" t="n">
        <f aca="false">NORMSINV(F445)</f>
        <v>-0.508806304335498</v>
      </c>
      <c r="I445" s="34" t="n">
        <f aca="false">NORMSINV(G445)</f>
        <v>1.9131879155263</v>
      </c>
      <c r="J445" s="59" t="n">
        <f aca="false">mc_s0*EXP((mc_mu-mc_vol^2/2)*mc_t1+mc_vol*SQRT(mc_t1)*H445)</f>
        <v>1091.88756509875</v>
      </c>
      <c r="K445" s="59" t="n">
        <f aca="false">J445*EXP((mc_mu-mc_vol^2/2)*(mc_t2-mc_t1)+mc_vol*SQRT(mc_t2-mc_t1)*I445)</f>
        <v>1503.14565394813</v>
      </c>
      <c r="L445" s="31" t="n">
        <f aca="false">(t1_usd*J445+t2_usd*K445)/1000</f>
        <v>10499.1896981927</v>
      </c>
    </row>
    <row r="446" customFormat="false" ht="15" hidden="false" customHeight="false" outlineLevel="0" collapsed="false">
      <c r="E446" s="54" t="n">
        <v>442</v>
      </c>
      <c r="F446" s="61" t="n">
        <v>0.708252</v>
      </c>
      <c r="G446" s="61" t="n">
        <v>0.56465</v>
      </c>
      <c r="H446" s="34" t="n">
        <f aca="false">NORMSINV(F446)</f>
        <v>0.548285328269464</v>
      </c>
      <c r="I446" s="34" t="n">
        <f aca="false">NORMSINV(G446)</f>
        <v>0.162769402769839</v>
      </c>
      <c r="J446" s="59" t="n">
        <f aca="false">mc_s0*EXP((mc_mu-mc_vol^2/2)*mc_t1+mc_vol*SQRT(mc_t1)*H446)</f>
        <v>1207.90092140082</v>
      </c>
      <c r="K446" s="59" t="n">
        <f aca="false">J446*EXP((mc_mu-mc_vol^2/2)*(mc_t2-mc_t1)+mc_vol*SQRT(mc_t2-mc_t1)*I446)</f>
        <v>1261.98026899383</v>
      </c>
      <c r="L446" s="31" t="n">
        <f aca="false">(t1_usd*J446+t2_usd*K446)/1000</f>
        <v>10853.068960894</v>
      </c>
    </row>
    <row r="447" customFormat="false" ht="15" hidden="false" customHeight="false" outlineLevel="0" collapsed="false">
      <c r="E447" s="54" t="n">
        <v>443</v>
      </c>
      <c r="F447" s="61" t="n">
        <v>0.463925</v>
      </c>
      <c r="G447" s="61" t="n">
        <v>0.792272</v>
      </c>
      <c r="H447" s="34" t="n">
        <f aca="false">NORMSINV(F447)</f>
        <v>-0.090550204945809</v>
      </c>
      <c r="I447" s="34" t="n">
        <f aca="false">NORMSINV(G447)</f>
        <v>0.814329874131663</v>
      </c>
      <c r="J447" s="59" t="n">
        <f aca="false">mc_s0*EXP((mc_mu-mc_vol^2/2)*mc_t1+mc_vol*SQRT(mc_t1)*H447)</f>
        <v>1136.39483991898</v>
      </c>
      <c r="K447" s="59" t="n">
        <f aca="false">J447*EXP((mc_mu-mc_vol^2/2)*(mc_t2-mc_t1)+mc_vol*SQRT(mc_t2-mc_t1)*I447)</f>
        <v>1315.66255292037</v>
      </c>
      <c r="L447" s="31" t="n">
        <f aca="false">(t1_usd*J447+t2_usd*K447)/1000</f>
        <v>10454.5227299816</v>
      </c>
    </row>
    <row r="448" customFormat="false" ht="15" hidden="false" customHeight="false" outlineLevel="0" collapsed="false">
      <c r="E448" s="54" t="n">
        <v>444</v>
      </c>
      <c r="F448" s="61" t="n">
        <v>0.856821</v>
      </c>
      <c r="G448" s="61" t="n">
        <v>0.942849</v>
      </c>
      <c r="H448" s="34" t="n">
        <f aca="false">NORMSINV(F448)</f>
        <v>1.06614522163136</v>
      </c>
      <c r="I448" s="34" t="n">
        <f aca="false">NORMSINV(G448)</f>
        <v>1.57914849721046</v>
      </c>
      <c r="J448" s="59" t="n">
        <f aca="false">mc_s0*EXP((mc_mu-mc_vol^2/2)*mc_t1+mc_vol*SQRT(mc_t1)*H448)</f>
        <v>1269.15511324362</v>
      </c>
      <c r="K448" s="59" t="n">
        <f aca="false">J448*EXP((mc_mu-mc_vol^2/2)*(mc_t2-mc_t1)+mc_vol*SQRT(mc_t2-mc_t1)*I448)</f>
        <v>1657.58409619014</v>
      </c>
      <c r="L448" s="31" t="n">
        <f aca="false">(t1_usd*J448+t2_usd*K448)/1000</f>
        <v>12033.4955754666</v>
      </c>
    </row>
    <row r="449" customFormat="false" ht="15" hidden="false" customHeight="false" outlineLevel="0" collapsed="false">
      <c r="E449" s="54" t="n">
        <v>445</v>
      </c>
      <c r="F449" s="61" t="n">
        <v>0.295348</v>
      </c>
      <c r="G449" s="61" t="n">
        <v>0.847887</v>
      </c>
      <c r="H449" s="34" t="n">
        <f aca="false">NORMSINV(F449)</f>
        <v>-0.537827709486352</v>
      </c>
      <c r="I449" s="34" t="n">
        <f aca="false">NORMSINV(G449)</f>
        <v>1.02741306933616</v>
      </c>
      <c r="J449" s="59" t="n">
        <f aca="false">mc_s0*EXP((mc_mu-mc_vol^2/2)*mc_t1+mc_vol*SQRT(mc_t1)*H449)</f>
        <v>1088.86482526757</v>
      </c>
      <c r="K449" s="59" t="n">
        <f aca="false">J449*EXP((mc_mu-mc_vol^2/2)*(mc_t2-mc_t1)+mc_vol*SQRT(mc_t2-mc_t1)*I449)</f>
        <v>1303.68611124093</v>
      </c>
      <c r="L449" s="31" t="n">
        <f aca="false">(t1_usd*J449+t2_usd*K449)/1000</f>
        <v>10099.0573882307</v>
      </c>
    </row>
    <row r="450" customFormat="false" ht="15" hidden="false" customHeight="false" outlineLevel="0" collapsed="false">
      <c r="E450" s="54" t="n">
        <v>446</v>
      </c>
      <c r="F450" s="61" t="n">
        <v>0.238464</v>
      </c>
      <c r="G450" s="61" t="n">
        <v>0.672246</v>
      </c>
      <c r="H450" s="34" t="n">
        <f aca="false">NORMSINV(F450)</f>
        <v>-0.711252145911008</v>
      </c>
      <c r="I450" s="34" t="n">
        <f aca="false">NORMSINV(G450)</f>
        <v>0.446123553305021</v>
      </c>
      <c r="J450" s="59" t="n">
        <f aca="false">mc_s0*EXP((mc_mu-mc_vol^2/2)*mc_t1+mc_vol*SQRT(mc_t1)*H450)</f>
        <v>1070.97532439279</v>
      </c>
      <c r="K450" s="59" t="n">
        <f aca="false">J450*EXP((mc_mu-mc_vol^2/2)*(mc_t2-mc_t1)+mc_vol*SQRT(mc_t2-mc_t1)*I450)</f>
        <v>1170.02192781345</v>
      </c>
      <c r="L450" s="31" t="n">
        <f aca="false">(t1_usd*J450+t2_usd*K450)/1000</f>
        <v>9719.8689335951</v>
      </c>
    </row>
    <row r="451" customFormat="false" ht="15" hidden="false" customHeight="false" outlineLevel="0" collapsed="false">
      <c r="E451" s="54" t="n">
        <v>447</v>
      </c>
      <c r="F451" s="61" t="n">
        <v>0.486486</v>
      </c>
      <c r="G451" s="61" t="n">
        <v>0.577407</v>
      </c>
      <c r="H451" s="34" t="n">
        <f aca="false">NORMSINV(F451)</f>
        <v>-0.0338810555443637</v>
      </c>
      <c r="I451" s="34" t="n">
        <f aca="false">NORMSINV(G451)</f>
        <v>0.195264355651935</v>
      </c>
      <c r="J451" s="59" t="n">
        <f aca="false">mc_s0*EXP((mc_mu-mc_vol^2/2)*mc_t1+mc_vol*SQRT(mc_t1)*H451)</f>
        <v>1142.56303619664</v>
      </c>
      <c r="K451" s="59" t="n">
        <f aca="false">J451*EXP((mc_mu-mc_vol^2/2)*(mc_t2-mc_t1)+mc_vol*SQRT(mc_t2-mc_t1)*I451)</f>
        <v>1199.84580368123</v>
      </c>
      <c r="L451" s="31" t="n">
        <f aca="false">(t1_usd*J451+t2_usd*K451)/1000</f>
        <v>10277.6482803708</v>
      </c>
    </row>
    <row r="452" customFormat="false" ht="15" hidden="false" customHeight="false" outlineLevel="0" collapsed="false">
      <c r="E452" s="54" t="n">
        <v>448</v>
      </c>
      <c r="F452" s="61" t="n">
        <v>0.457759</v>
      </c>
      <c r="G452" s="61" t="n">
        <v>0.003195</v>
      </c>
      <c r="H452" s="34" t="n">
        <f aca="false">NORMSINV(F452)</f>
        <v>-0.106081108241305</v>
      </c>
      <c r="I452" s="34" t="n">
        <f aca="false">NORMSINV(G452)</f>
        <v>-2.72706732380223</v>
      </c>
      <c r="J452" s="59" t="n">
        <f aca="false">mc_s0*EXP((mc_mu-mc_vol^2/2)*mc_t1+mc_vol*SQRT(mc_t1)*H452)</f>
        <v>1134.710188282</v>
      </c>
      <c r="K452" s="59" t="n">
        <f aca="false">J452*EXP((mc_mu-mc_vol^2/2)*(mc_t2-mc_t1)+mc_vol*SQRT(mc_t2-mc_t1)*I452)</f>
        <v>751.831322413667</v>
      </c>
      <c r="L452" s="31" t="n">
        <f aca="false">(t1_usd*J452+t2_usd*K452)/1000</f>
        <v>9371.45083056</v>
      </c>
    </row>
    <row r="453" customFormat="false" ht="15" hidden="false" customHeight="false" outlineLevel="0" collapsed="false">
      <c r="E453" s="54" t="n">
        <v>449</v>
      </c>
      <c r="F453" s="61" t="n">
        <v>0.147075</v>
      </c>
      <c r="G453" s="61" t="n">
        <v>0.544668</v>
      </c>
      <c r="H453" s="34" t="n">
        <f aca="false">NORMSINV(F453)</f>
        <v>-1.04906109613926</v>
      </c>
      <c r="I453" s="34" t="n">
        <f aca="false">NORMSINV(G453)</f>
        <v>0.112201045773243</v>
      </c>
      <c r="J453" s="59" t="n">
        <f aca="false">mc_s0*EXP((mc_mu-mc_vol^2/2)*mc_t1+mc_vol*SQRT(mc_t1)*H453)</f>
        <v>1036.96829363024</v>
      </c>
      <c r="K453" s="59" t="n">
        <f aca="false">J453*EXP((mc_mu-mc_vol^2/2)*(mc_t2-mc_t1)+mc_vol*SQRT(mc_t2-mc_t1)*I453)</f>
        <v>1074.79524790638</v>
      </c>
      <c r="L453" s="31" t="n">
        <f aca="false">(t1_usd*J453+t2_usd*K453)/1000</f>
        <v>9300.88902643381</v>
      </c>
    </row>
    <row r="454" customFormat="false" ht="15" hidden="false" customHeight="false" outlineLevel="0" collapsed="false">
      <c r="E454" s="54" t="n">
        <v>450</v>
      </c>
      <c r="F454" s="61" t="n">
        <v>0.519686</v>
      </c>
      <c r="G454" s="61" t="n">
        <v>0.502325</v>
      </c>
      <c r="H454" s="34" t="n">
        <f aca="false">NORMSINV(F454)</f>
        <v>0.0493655271508707</v>
      </c>
      <c r="I454" s="34" t="n">
        <f aca="false">NORMSINV(G454)</f>
        <v>0.00582794372929735</v>
      </c>
      <c r="J454" s="59" t="n">
        <f aca="false">mc_s0*EXP((mc_mu-mc_vol^2/2)*mc_t1+mc_vol*SQRT(mc_t1)*H454)</f>
        <v>1151.68483981221</v>
      </c>
      <c r="K454" s="59" t="n">
        <f aca="false">J454*EXP((mc_mu-mc_vol^2/2)*(mc_t2-mc_t1)+mc_vol*SQRT(mc_t2-mc_t1)*I454)</f>
        <v>1173.85252212297</v>
      </c>
      <c r="L454" s="31" t="n">
        <f aca="false">(t1_usd*J454+t2_usd*K454)/1000</f>
        <v>10292.1136707191</v>
      </c>
    </row>
    <row r="455" customFormat="false" ht="15" hidden="false" customHeight="false" outlineLevel="0" collapsed="false">
      <c r="E455" s="54" t="n">
        <v>451</v>
      </c>
      <c r="F455" s="61" t="n">
        <v>0.892144</v>
      </c>
      <c r="G455" s="61" t="n">
        <v>0.249093</v>
      </c>
      <c r="H455" s="34" t="n">
        <f aca="false">NORMSINV(F455)</f>
        <v>1.23801095183131</v>
      </c>
      <c r="I455" s="34" t="n">
        <f aca="false">NORMSINV(G455)</f>
        <v>-0.677346711607523</v>
      </c>
      <c r="J455" s="59" t="n">
        <f aca="false">mc_s0*EXP((mc_mu-mc_vol^2/2)*mc_t1+mc_vol*SQRT(mc_t1)*H455)</f>
        <v>1290.16288732308</v>
      </c>
      <c r="K455" s="59" t="n">
        <f aca="false">J455*EXP((mc_mu-mc_vol^2/2)*(mc_t2-mc_t1)+mc_vol*SQRT(mc_t2-mc_t1)*I455)</f>
        <v>1180.77375163847</v>
      </c>
      <c r="L455" s="31" t="n">
        <f aca="false">(t1_usd*J455+t2_usd*K455)/1000</f>
        <v>11274.6103393746</v>
      </c>
    </row>
    <row r="456" customFormat="false" ht="15" hidden="false" customHeight="false" outlineLevel="0" collapsed="false">
      <c r="E456" s="54" t="n">
        <v>452</v>
      </c>
      <c r="F456" s="61" t="n">
        <v>0.47926</v>
      </c>
      <c r="G456" s="61" t="n">
        <v>0.415495</v>
      </c>
      <c r="H456" s="34" t="n">
        <f aca="false">NORMSINV(F456)</f>
        <v>-0.0520109103243542</v>
      </c>
      <c r="I456" s="34" t="n">
        <f aca="false">NORMSINV(G456)</f>
        <v>-0.213432029591324</v>
      </c>
      <c r="J456" s="59" t="n">
        <f aca="false">mc_s0*EXP((mc_mu-mc_vol^2/2)*mc_t1+mc_vol*SQRT(mc_t1)*H456)</f>
        <v>1140.58604497602</v>
      </c>
      <c r="K456" s="59" t="n">
        <f aca="false">J456*EXP((mc_mu-mc_vol^2/2)*(mc_t2-mc_t1)+mc_vol*SQRT(mc_t2-mc_t1)*I456)</f>
        <v>1123.05591968252</v>
      </c>
      <c r="L456" s="31" t="n">
        <f aca="false">(t1_usd*J456+t2_usd*K456)/1000</f>
        <v>10117.9085622289</v>
      </c>
    </row>
    <row r="457" customFormat="false" ht="15" hidden="false" customHeight="false" outlineLevel="0" collapsed="false">
      <c r="E457" s="54" t="n">
        <v>453</v>
      </c>
      <c r="F457" s="61" t="n">
        <v>0.122617</v>
      </c>
      <c r="G457" s="61" t="n">
        <v>0.855013</v>
      </c>
      <c r="H457" s="34" t="n">
        <f aca="false">NORMSINV(F457)</f>
        <v>-1.16200360645287</v>
      </c>
      <c r="I457" s="34" t="n">
        <f aca="false">NORMSINV(G457)</f>
        <v>1.05817865631417</v>
      </c>
      <c r="J457" s="59" t="n">
        <f aca="false">mc_s0*EXP((mc_mu-mc_vol^2/2)*mc_t1+mc_vol*SQRT(mc_t1)*H457)</f>
        <v>1025.84102526844</v>
      </c>
      <c r="K457" s="59" t="n">
        <f aca="false">J457*EXP((mc_mu-mc_vol^2/2)*(mc_t2-mc_t1)+mc_vol*SQRT(mc_t2-mc_t1)*I457)</f>
        <v>1234.19785548285</v>
      </c>
      <c r="L457" s="31" t="n">
        <f aca="false">(t1_usd*J457+t2_usd*K457)/1000</f>
        <v>9525.8631022965</v>
      </c>
    </row>
    <row r="458" customFormat="false" ht="15" hidden="false" customHeight="false" outlineLevel="0" collapsed="false">
      <c r="E458" s="54" t="n">
        <v>454</v>
      </c>
      <c r="F458" s="61" t="n">
        <v>0.711881</v>
      </c>
      <c r="G458" s="61" t="n">
        <v>0.933744</v>
      </c>
      <c r="H458" s="34" t="n">
        <f aca="false">NORMSINV(F458)</f>
        <v>0.558888233821269</v>
      </c>
      <c r="I458" s="34" t="n">
        <f aca="false">NORMSINV(G458)</f>
        <v>1.50426945717159</v>
      </c>
      <c r="J458" s="59" t="n">
        <f aca="false">mc_s0*EXP((mc_mu-mc_vol^2/2)*mc_t1+mc_vol*SQRT(mc_t1)*H458)</f>
        <v>1209.12492417947</v>
      </c>
      <c r="K458" s="59" t="n">
        <f aca="false">J458*EXP((mc_mu-mc_vol^2/2)*(mc_t2-mc_t1)+mc_vol*SQRT(mc_t2-mc_t1)*I458)</f>
        <v>1560.65597859532</v>
      </c>
      <c r="L458" s="31" t="n">
        <f aca="false">(t1_usd*J458+t2_usd*K458)/1000</f>
        <v>11429.1208285874</v>
      </c>
    </row>
    <row r="459" customFormat="false" ht="15" hidden="false" customHeight="false" outlineLevel="0" collapsed="false">
      <c r="E459" s="54" t="n">
        <v>455</v>
      </c>
      <c r="F459" s="61" t="n">
        <v>0.924166</v>
      </c>
      <c r="G459" s="61" t="n">
        <v>0.317209</v>
      </c>
      <c r="H459" s="34" t="n">
        <f aca="false">NORMSINV(F459)</f>
        <v>1.43366459616268</v>
      </c>
      <c r="I459" s="34" t="n">
        <f aca="false">NORMSINV(G459)</f>
        <v>-0.475517728561127</v>
      </c>
      <c r="J459" s="59" t="n">
        <f aca="false">mc_s0*EXP((mc_mu-mc_vol^2/2)*mc_t1+mc_vol*SQRT(mc_t1)*H459)</f>
        <v>1314.50192467417</v>
      </c>
      <c r="K459" s="59" t="n">
        <f aca="false">J459*EXP((mc_mu-mc_vol^2/2)*(mc_t2-mc_t1)+mc_vol*SQRT(mc_t2-mc_t1)*I459)</f>
        <v>1241.92943984053</v>
      </c>
      <c r="L459" s="31" t="n">
        <f aca="false">(t1_usd*J459+t2_usd*K459)/1000</f>
        <v>11561.1794084162</v>
      </c>
    </row>
    <row r="460" customFormat="false" ht="15" hidden="false" customHeight="false" outlineLevel="0" collapsed="false">
      <c r="E460" s="54" t="n">
        <v>456</v>
      </c>
      <c r="F460" s="61" t="n">
        <v>0.529341</v>
      </c>
      <c r="G460" s="61" t="n">
        <v>0.764992</v>
      </c>
      <c r="H460" s="34" t="n">
        <f aca="false">NORMSINV(F460)</f>
        <v>0.073613410571176</v>
      </c>
      <c r="I460" s="34" t="n">
        <f aca="false">NORMSINV(G460)</f>
        <v>0.722453019092145</v>
      </c>
      <c r="J460" s="59" t="n">
        <f aca="false">mc_s0*EXP((mc_mu-mc_vol^2/2)*mc_t1+mc_vol*SQRT(mc_t1)*H460)</f>
        <v>1154.35548868831</v>
      </c>
      <c r="K460" s="59" t="n">
        <f aca="false">J460*EXP((mc_mu-mc_vol^2/2)*(mc_t2-mc_t1)+mc_vol*SQRT(mc_t2-mc_t1)*I460)</f>
        <v>1317.2451566813</v>
      </c>
      <c r="L460" s="31" t="n">
        <f aca="false">(t1_usd*J460+t2_usd*K460)/1000</f>
        <v>10583.2542185126</v>
      </c>
    </row>
    <row r="461" customFormat="false" ht="15" hidden="false" customHeight="false" outlineLevel="0" collapsed="false">
      <c r="E461" s="54" t="n">
        <v>457</v>
      </c>
      <c r="F461" s="61" t="n">
        <v>0.875637</v>
      </c>
      <c r="G461" s="61" t="n">
        <v>0.754704</v>
      </c>
      <c r="H461" s="34" t="n">
        <f aca="false">NORMSINV(F461)</f>
        <v>1.15344933925476</v>
      </c>
      <c r="I461" s="34" t="n">
        <f aca="false">NORMSINV(G461)</f>
        <v>0.689367547964379</v>
      </c>
      <c r="J461" s="59" t="n">
        <f aca="false">mc_s0*EXP((mc_mu-mc_vol^2/2)*mc_t1+mc_vol*SQRT(mc_t1)*H461)</f>
        <v>1279.78351205955</v>
      </c>
      <c r="K461" s="59" t="n">
        <f aca="false">J461*EXP((mc_mu-mc_vol^2/2)*(mc_t2-mc_t1)+mc_vol*SQRT(mc_t2-mc_t1)*I461)</f>
        <v>1452.77754250657</v>
      </c>
      <c r="L461" s="31" t="n">
        <f aca="false">(t1_usd*J461+t2_usd*K461)/1000</f>
        <v>11718.7619151794</v>
      </c>
    </row>
    <row r="462" customFormat="false" ht="15" hidden="false" customHeight="false" outlineLevel="0" collapsed="false">
      <c r="E462" s="54" t="n">
        <v>458</v>
      </c>
      <c r="F462" s="61" t="n">
        <v>0.868426</v>
      </c>
      <c r="G462" s="61" t="n">
        <v>0.700064</v>
      </c>
      <c r="H462" s="34" t="n">
        <f aca="false">NORMSINV(F462)</f>
        <v>1.11898157384762</v>
      </c>
      <c r="I462" s="34" t="n">
        <f aca="false">NORMSINV(G462)</f>
        <v>0.524584592227714</v>
      </c>
      <c r="J462" s="59" t="n">
        <f aca="false">mc_s0*EXP((mc_mu-mc_vol^2/2)*mc_t1+mc_vol*SQRT(mc_t1)*H462)</f>
        <v>1275.57681597001</v>
      </c>
      <c r="K462" s="59" t="n">
        <f aca="false">J462*EXP((mc_mu-mc_vol^2/2)*(mc_t2-mc_t1)+mc_vol*SQRT(mc_t2-mc_t1)*I462)</f>
        <v>1410.88355947978</v>
      </c>
      <c r="L462" s="31" t="n">
        <f aca="false">(t1_usd*J462+t2_usd*K462)/1000</f>
        <v>11609.7164748016</v>
      </c>
    </row>
    <row r="463" customFormat="false" ht="15" hidden="false" customHeight="false" outlineLevel="0" collapsed="false">
      <c r="E463" s="54" t="n">
        <v>459</v>
      </c>
      <c r="F463" s="61" t="n">
        <v>0.359378</v>
      </c>
      <c r="G463" s="61" t="n">
        <v>0.544742</v>
      </c>
      <c r="H463" s="34" t="n">
        <f aca="false">NORMSINV(F463)</f>
        <v>-0.360121868117777</v>
      </c>
      <c r="I463" s="34" t="n">
        <f aca="false">NORMSINV(G463)</f>
        <v>0.112387709480595</v>
      </c>
      <c r="J463" s="59" t="n">
        <f aca="false">mc_s0*EXP((mc_mu-mc_vol^2/2)*mc_t1+mc_vol*SQRT(mc_t1)*H463)</f>
        <v>1107.50599645206</v>
      </c>
      <c r="K463" s="59" t="n">
        <f aca="false">J463*EXP((mc_mu-mc_vol^2/2)*(mc_t2-mc_t1)+mc_vol*SQRT(mc_t2-mc_t1)*I463)</f>
        <v>1147.93982232171</v>
      </c>
      <c r="L463" s="31" t="n">
        <f aca="false">(t1_usd*J463+t2_usd*K463)/1000</f>
        <v>9933.6276375757</v>
      </c>
    </row>
    <row r="464" customFormat="false" ht="15" hidden="false" customHeight="false" outlineLevel="0" collapsed="false">
      <c r="E464" s="54" t="n">
        <v>460</v>
      </c>
      <c r="F464" s="61" t="n">
        <v>0.153053</v>
      </c>
      <c r="G464" s="61" t="n">
        <v>0.184678</v>
      </c>
      <c r="H464" s="34" t="n">
        <f aca="false">NORMSINV(F464)</f>
        <v>-1.02342699760294</v>
      </c>
      <c r="I464" s="34" t="n">
        <f aca="false">NORMSINV(G464)</f>
        <v>-0.89768032815864</v>
      </c>
      <c r="J464" s="59" t="n">
        <f aca="false">mc_s0*EXP((mc_mu-mc_vol^2/2)*mc_t1+mc_vol*SQRT(mc_t1)*H464)</f>
        <v>1039.51056320163</v>
      </c>
      <c r="K464" s="59" t="n">
        <f aca="false">J464*EXP((mc_mu-mc_vol^2/2)*(mc_t2-mc_t1)+mc_vol*SQRT(mc_t2-mc_t1)*I464)</f>
        <v>918.905837506941</v>
      </c>
      <c r="L464" s="31" t="n">
        <f aca="false">(t1_usd*J464+t2_usd*K464)/1000</f>
        <v>9022.49503367462</v>
      </c>
    </row>
    <row r="465" customFormat="false" ht="15" hidden="false" customHeight="false" outlineLevel="0" collapsed="false">
      <c r="E465" s="54" t="n">
        <v>461</v>
      </c>
      <c r="F465" s="61" t="n">
        <v>0.382291</v>
      </c>
      <c r="G465" s="61" t="n">
        <v>0.434542</v>
      </c>
      <c r="H465" s="34" t="n">
        <f aca="false">NORMSINV(F465)</f>
        <v>-0.299469290636527</v>
      </c>
      <c r="I465" s="34" t="n">
        <f aca="false">NORMSINV(G465)</f>
        <v>-0.164822110998814</v>
      </c>
      <c r="J465" s="59" t="n">
        <f aca="false">mc_s0*EXP((mc_mu-mc_vol^2/2)*mc_t1+mc_vol*SQRT(mc_t1)*H465)</f>
        <v>1113.94117037227</v>
      </c>
      <c r="K465" s="59" t="n">
        <f aca="false">J465*EXP((mc_mu-mc_vol^2/2)*(mc_t2-mc_t1)+mc_vol*SQRT(mc_t2-mc_t1)*I465)</f>
        <v>1105.2551219392</v>
      </c>
      <c r="L465" s="31" t="n">
        <f aca="false">(t1_usd*J465+t2_usd*K465)/1000</f>
        <v>9897.57292429034</v>
      </c>
    </row>
    <row r="466" customFormat="false" ht="15" hidden="false" customHeight="false" outlineLevel="0" collapsed="false">
      <c r="E466" s="54" t="n">
        <v>462</v>
      </c>
      <c r="F466" s="61" t="n">
        <v>0.316992</v>
      </c>
      <c r="G466" s="61" t="n">
        <v>0.396953</v>
      </c>
      <c r="H466" s="34" t="n">
        <f aca="false">NORMSINV(F466)</f>
        <v>-0.476126863201319</v>
      </c>
      <c r="I466" s="34" t="n">
        <f aca="false">NORMSINV(G466)</f>
        <v>-0.261241858674821</v>
      </c>
      <c r="J466" s="59" t="n">
        <f aca="false">mc_s0*EXP((mc_mu-mc_vol^2/2)*mc_t1+mc_vol*SQRT(mc_t1)*H466)</f>
        <v>1095.30135523342</v>
      </c>
      <c r="K466" s="59" t="n">
        <f aca="false">J466*EXP((mc_mu-mc_vol^2/2)*(mc_t2-mc_t1)+mc_vol*SQRT(mc_t2-mc_t1)*I466)</f>
        <v>1070.37204785648</v>
      </c>
      <c r="L466" s="31" t="n">
        <f aca="false">(t1_usd*J466+t2_usd*K466)/1000</f>
        <v>9700.81637756126</v>
      </c>
    </row>
    <row r="467" customFormat="false" ht="15" hidden="false" customHeight="false" outlineLevel="0" collapsed="false">
      <c r="E467" s="54" t="n">
        <v>463</v>
      </c>
      <c r="F467" s="61" t="n">
        <v>0.047512</v>
      </c>
      <c r="G467" s="61" t="n">
        <v>0.796705</v>
      </c>
      <c r="H467" s="34" t="n">
        <f aca="false">NORMSINV(F467)</f>
        <v>-1.66947136860843</v>
      </c>
      <c r="I467" s="34" t="n">
        <f aca="false">NORMSINV(G467)</f>
        <v>0.829909417371236</v>
      </c>
      <c r="J467" s="59" t="n">
        <f aca="false">mc_s0*EXP((mc_mu-mc_vol^2/2)*mc_t1+mc_vol*SQRT(mc_t1)*H467)</f>
        <v>977.299753155854</v>
      </c>
      <c r="K467" s="59" t="n">
        <f aca="false">J467*EXP((mc_mu-mc_vol^2/2)*(mc_t2-mc_t1)+mc_vol*SQRT(mc_t2-mc_t1)*I467)</f>
        <v>1134.25144876885</v>
      </c>
      <c r="L467" s="31" t="n">
        <f aca="false">(t1_usd*J467+t2_usd*K467)/1000</f>
        <v>8996.1760247518</v>
      </c>
    </row>
    <row r="468" customFormat="false" ht="15" hidden="false" customHeight="false" outlineLevel="0" collapsed="false">
      <c r="E468" s="54" t="n">
        <v>464</v>
      </c>
      <c r="F468" s="61" t="n">
        <v>0.557692</v>
      </c>
      <c r="G468" s="61" t="n">
        <v>0.396536</v>
      </c>
      <c r="H468" s="34" t="n">
        <f aca="false">NORMSINV(F468)</f>
        <v>0.14512016177616</v>
      </c>
      <c r="I468" s="34" t="n">
        <f aca="false">NORMSINV(G468)</f>
        <v>-0.262323559472212</v>
      </c>
      <c r="J468" s="59" t="n">
        <f aca="false">mc_s0*EXP((mc_mu-mc_vol^2/2)*mc_t1+mc_vol*SQRT(mc_t1)*H468)</f>
        <v>1162.26731855497</v>
      </c>
      <c r="K468" s="59" t="n">
        <f aca="false">J468*EXP((mc_mu-mc_vol^2/2)*(mc_t2-mc_t1)+mc_vol*SQRT(mc_t2-mc_t1)*I468)</f>
        <v>1135.62024646161</v>
      </c>
      <c r="L468" s="31" t="n">
        <f aca="false">(t1_usd*J468+t2_usd*K468)/1000</f>
        <v>10293.5496981619</v>
      </c>
    </row>
    <row r="469" customFormat="false" ht="15" hidden="false" customHeight="false" outlineLevel="0" collapsed="false">
      <c r="E469" s="54" t="n">
        <v>465</v>
      </c>
      <c r="F469" s="61" t="n">
        <v>0.165772</v>
      </c>
      <c r="G469" s="61" t="n">
        <v>0.99862</v>
      </c>
      <c r="H469" s="34" t="n">
        <f aca="false">NORMSINV(F469)</f>
        <v>-0.971008592044225</v>
      </c>
      <c r="I469" s="34" t="n">
        <f aca="false">NORMSINV(G469)</f>
        <v>2.99327603180913</v>
      </c>
      <c r="J469" s="59" t="n">
        <f aca="false">mc_s0*EXP((mc_mu-mc_vol^2/2)*mc_t1+mc_vol*SQRT(mc_t1)*H469)</f>
        <v>1044.72859479028</v>
      </c>
      <c r="K469" s="59" t="n">
        <f aca="false">J469*EXP((mc_mu-mc_vol^2/2)*(mc_t2-mc_t1)+mc_vol*SQRT(mc_t2-mc_t1)*I469)</f>
        <v>1705.10003520649</v>
      </c>
      <c r="L469" s="31" t="n">
        <f aca="false">(t1_usd*J469+t2_usd*K469)/1000</f>
        <v>10552.7902304243</v>
      </c>
    </row>
    <row r="470" customFormat="false" ht="15" hidden="false" customHeight="false" outlineLevel="0" collapsed="false">
      <c r="E470" s="54" t="n">
        <v>466</v>
      </c>
      <c r="F470" s="61" t="n">
        <v>0.60796</v>
      </c>
      <c r="G470" s="61" t="n">
        <v>0.142423</v>
      </c>
      <c r="H470" s="34" t="n">
        <f aca="false">NORMSINV(F470)</f>
        <v>0.274006013961079</v>
      </c>
      <c r="I470" s="34" t="n">
        <f aca="false">NORMSINV(G470)</f>
        <v>-1.06949651136291</v>
      </c>
      <c r="J470" s="59" t="n">
        <f aca="false">mc_s0*EXP((mc_mu-mc_vol^2/2)*mc_t1+mc_vol*SQRT(mc_t1)*H470)</f>
        <v>1176.66503702395</v>
      </c>
      <c r="K470" s="59" t="n">
        <f aca="false">J470*EXP((mc_mu-mc_vol^2/2)*(mc_t2-mc_t1)+mc_vol*SQRT(mc_t2-mc_t1)*I470)</f>
        <v>1012.36129848574</v>
      </c>
      <c r="L470" s="31" t="n">
        <f aca="false">(t1_usd*J470+t2_usd*K470)/1000</f>
        <v>10160.1417262905</v>
      </c>
    </row>
    <row r="471" customFormat="false" ht="15" hidden="false" customHeight="false" outlineLevel="0" collapsed="false">
      <c r="E471" s="54" t="n">
        <v>467</v>
      </c>
      <c r="F471" s="61" t="n">
        <v>0.22459</v>
      </c>
      <c r="G471" s="61" t="n">
        <v>0.019</v>
      </c>
      <c r="H471" s="34" t="n">
        <f aca="false">NORMSINV(F471)</f>
        <v>-0.756782798485413</v>
      </c>
      <c r="I471" s="34" t="n">
        <f aca="false">NORMSINV(G471)</f>
        <v>-2.07485473439331</v>
      </c>
      <c r="J471" s="59" t="n">
        <f aca="false">mc_s0*EXP((mc_mu-mc_vol^2/2)*mc_t1+mc_vol*SQRT(mc_t1)*H471)</f>
        <v>1066.32754492814</v>
      </c>
      <c r="K471" s="59" t="n">
        <f aca="false">J471*EXP((mc_mu-mc_vol^2/2)*(mc_t2-mc_t1)+mc_vol*SQRT(mc_t2-mc_t1)*I471)</f>
        <v>783.005349772443</v>
      </c>
      <c r="L471" s="31" t="n">
        <f aca="false">(t1_usd*J471+t2_usd*K471)/1000</f>
        <v>8952.00297906459</v>
      </c>
    </row>
    <row r="472" customFormat="false" ht="15" hidden="false" customHeight="false" outlineLevel="0" collapsed="false">
      <c r="E472" s="54" t="n">
        <v>468</v>
      </c>
      <c r="F472" s="61" t="n">
        <v>0.428123</v>
      </c>
      <c r="G472" s="61" t="n">
        <v>0.935039</v>
      </c>
      <c r="H472" s="34" t="n">
        <f aca="false">NORMSINV(F472)</f>
        <v>-0.181154891608583</v>
      </c>
      <c r="I472" s="34" t="n">
        <f aca="false">NORMSINV(G472)</f>
        <v>1.51440954456853</v>
      </c>
      <c r="J472" s="59" t="n">
        <f aca="false">mc_s0*EXP((mc_mu-mc_vol^2/2)*mc_t1+mc_vol*SQRT(mc_t1)*H472)</f>
        <v>1126.60201127698</v>
      </c>
      <c r="K472" s="59" t="n">
        <f aca="false">J472*EXP((mc_mu-mc_vol^2/2)*(mc_t2-mc_t1)+mc_vol*SQRT(mc_t2-mc_t1)*I472)</f>
        <v>1456.46661929284</v>
      </c>
      <c r="L472" s="31" t="n">
        <f aca="false">(t1_usd*J472+t2_usd*K472)/1000</f>
        <v>10653.5006555952</v>
      </c>
    </row>
    <row r="473" customFormat="false" ht="15" hidden="false" customHeight="false" outlineLevel="0" collapsed="false">
      <c r="E473" s="54" t="n">
        <v>469</v>
      </c>
      <c r="F473" s="61" t="n">
        <v>0.498772</v>
      </c>
      <c r="G473" s="61" t="n">
        <v>0.798996</v>
      </c>
      <c r="H473" s="34" t="n">
        <f aca="false">NORMSINV(F473)</f>
        <v>-0.00307814438212905</v>
      </c>
      <c r="I473" s="34" t="n">
        <f aca="false">NORMSINV(G473)</f>
        <v>0.838040425037345</v>
      </c>
      <c r="J473" s="59" t="n">
        <f aca="false">mc_s0*EXP((mc_mu-mc_vol^2/2)*mc_t1+mc_vol*SQRT(mc_t1)*H473)</f>
        <v>1145.92983580247</v>
      </c>
      <c r="K473" s="59" t="n">
        <f aca="false">J473*EXP((mc_mu-mc_vol^2/2)*(mc_t2-mc_t1)+mc_vol*SQRT(mc_t2-mc_t1)*I473)</f>
        <v>1331.66836207153</v>
      </c>
      <c r="L473" s="31" t="n">
        <f aca="false">(t1_usd*J473+t2_usd*K473)/1000</f>
        <v>10551.6787385532</v>
      </c>
    </row>
    <row r="474" customFormat="false" ht="15" hidden="false" customHeight="false" outlineLevel="0" collapsed="false">
      <c r="E474" s="54" t="n">
        <v>470</v>
      </c>
      <c r="F474" s="61" t="n">
        <v>0.573392</v>
      </c>
      <c r="G474" s="61" t="n">
        <v>0.982049</v>
      </c>
      <c r="H474" s="34" t="n">
        <f aca="false">NORMSINV(F474)</f>
        <v>0.185016619677988</v>
      </c>
      <c r="I474" s="34" t="n">
        <f aca="false">NORMSINV(G474)</f>
        <v>2.09803560773313</v>
      </c>
      <c r="J474" s="59" t="n">
        <f aca="false">mc_s0*EXP((mc_mu-mc_vol^2/2)*mc_t1+mc_vol*SQRT(mc_t1)*H474)</f>
        <v>1166.70518705414</v>
      </c>
      <c r="K474" s="59" t="n">
        <f aca="false">J474*EXP((mc_mu-mc_vol^2/2)*(mc_t2-mc_t1)+mc_vol*SQRT(mc_t2-mc_t1)*I474)</f>
        <v>1653.61953208445</v>
      </c>
      <c r="L474" s="31" t="n">
        <f aca="false">(t1_usd*J474+t2_usd*K474)/1000</f>
        <v>11308.8134203394</v>
      </c>
    </row>
    <row r="475" customFormat="false" ht="15" hidden="false" customHeight="false" outlineLevel="0" collapsed="false">
      <c r="E475" s="54" t="n">
        <v>471</v>
      </c>
      <c r="F475" s="61" t="n">
        <v>0.67432</v>
      </c>
      <c r="G475" s="61" t="n">
        <v>0.976982</v>
      </c>
      <c r="H475" s="34" t="n">
        <f aca="false">NORMSINV(F475)</f>
        <v>0.45187366119201</v>
      </c>
      <c r="I475" s="34" t="n">
        <f aca="false">NORMSINV(G475)</f>
        <v>1.99506308390756</v>
      </c>
      <c r="J475" s="59" t="n">
        <f aca="false">mc_s0*EXP((mc_mu-mc_vol^2/2)*mc_t1+mc_vol*SQRT(mc_t1)*H475)</f>
        <v>1196.82783031276</v>
      </c>
      <c r="K475" s="59" t="n">
        <f aca="false">J475*EXP((mc_mu-mc_vol^2/2)*(mc_t2-mc_t1)+mc_vol*SQRT(mc_t2-mc_t1)*I475)</f>
        <v>1669.00836534798</v>
      </c>
      <c r="L475" s="31" t="n">
        <f aca="false">(t1_usd*J475+t2_usd*K475)/1000</f>
        <v>11548.9107063505</v>
      </c>
    </row>
    <row r="476" customFormat="false" ht="15" hidden="false" customHeight="false" outlineLevel="0" collapsed="false">
      <c r="E476" s="54" t="n">
        <v>472</v>
      </c>
      <c r="F476" s="61" t="n">
        <v>0.361984</v>
      </c>
      <c r="G476" s="61" t="n">
        <v>0.504803</v>
      </c>
      <c r="H476" s="34" t="n">
        <f aca="false">NORMSINV(F476)</f>
        <v>-0.35316065839824</v>
      </c>
      <c r="I476" s="34" t="n">
        <f aca="false">NORMSINV(G476)</f>
        <v>0.0120396264592656</v>
      </c>
      <c r="J476" s="59" t="n">
        <f aca="false">mc_s0*EXP((mc_mu-mc_vol^2/2)*mc_t1+mc_vol*SQRT(mc_t1)*H476)</f>
        <v>1108.24268081961</v>
      </c>
      <c r="K476" s="59" t="n">
        <f aca="false">J476*EXP((mc_mu-mc_vol^2/2)*(mc_t2-mc_t1)+mc_vol*SQRT(mc_t2-mc_t1)*I476)</f>
        <v>1130.68048945635</v>
      </c>
      <c r="L476" s="31" t="n">
        <f aca="false">(t1_usd*J476+t2_usd*K476)/1000</f>
        <v>9905.99169570435</v>
      </c>
    </row>
    <row r="477" customFormat="false" ht="15" hidden="false" customHeight="false" outlineLevel="0" collapsed="false">
      <c r="E477" s="54" t="n">
        <v>473</v>
      </c>
      <c r="F477" s="61" t="n">
        <v>0.648159</v>
      </c>
      <c r="G477" s="61" t="n">
        <v>0.643848</v>
      </c>
      <c r="H477" s="34" t="n">
        <f aca="false">NORMSINV(F477)</f>
        <v>0.380354883693508</v>
      </c>
      <c r="I477" s="34" t="n">
        <f aca="false">NORMSINV(G477)</f>
        <v>0.368763517362122</v>
      </c>
      <c r="J477" s="59" t="n">
        <f aca="false">mc_s0*EXP((mc_mu-mc_vol^2/2)*mc_t1+mc_vol*SQRT(mc_t1)*H477)</f>
        <v>1188.67937329317</v>
      </c>
      <c r="K477" s="59" t="n">
        <f aca="false">J477*EXP((mc_mu-mc_vol^2/2)*(mc_t2-mc_t1)+mc_vol*SQRT(mc_t2-mc_t1)*I477)</f>
        <v>1282.87575808777</v>
      </c>
      <c r="L477" s="31" t="n">
        <f aca="false">(t1_usd*J477+t2_usd*K477)/1000</f>
        <v>10758.219553419</v>
      </c>
    </row>
    <row r="478" customFormat="false" ht="15" hidden="false" customHeight="false" outlineLevel="0" collapsed="false">
      <c r="E478" s="54" t="n">
        <v>474</v>
      </c>
      <c r="F478" s="61" t="n">
        <v>0.312339</v>
      </c>
      <c r="G478" s="61" t="n">
        <v>0.870748</v>
      </c>
      <c r="H478" s="34" t="n">
        <f aca="false">NORMSINV(F478)</f>
        <v>-0.489231232723548</v>
      </c>
      <c r="I478" s="34" t="n">
        <f aca="false">NORMSINV(G478)</f>
        <v>1.12993408545256</v>
      </c>
      <c r="J478" s="59" t="n">
        <f aca="false">mc_s0*EXP((mc_mu-mc_vol^2/2)*mc_t1+mc_vol*SQRT(mc_t1)*H478)</f>
        <v>1093.93115443389</v>
      </c>
      <c r="K478" s="59" t="n">
        <f aca="false">J478*EXP((mc_mu-mc_vol^2/2)*(mc_t2-mc_t1)+mc_vol*SQRT(mc_t2-mc_t1)*I478)</f>
        <v>1331.0850014755</v>
      </c>
      <c r="L478" s="31" t="n">
        <f aca="false">(t1_usd*J478+t2_usd*K478)/1000</f>
        <v>10186.5795838407</v>
      </c>
    </row>
    <row r="479" customFormat="false" ht="15" hidden="false" customHeight="false" outlineLevel="0" collapsed="false">
      <c r="E479" s="54" t="n">
        <v>475</v>
      </c>
      <c r="F479" s="61" t="n">
        <v>0.243174</v>
      </c>
      <c r="G479" s="61" t="n">
        <v>0.608674</v>
      </c>
      <c r="H479" s="34" t="n">
        <f aca="false">NORMSINV(F479)</f>
        <v>-0.696129074446225</v>
      </c>
      <c r="I479" s="34" t="n">
        <f aca="false">NORMSINV(G479)</f>
        <v>0.275864683764922</v>
      </c>
      <c r="J479" s="59" t="n">
        <f aca="false">mc_s0*EXP((mc_mu-mc_vol^2/2)*mc_t1+mc_vol*SQRT(mc_t1)*H479)</f>
        <v>1072.52356853692</v>
      </c>
      <c r="K479" s="59" t="n">
        <f aca="false">J479*EXP((mc_mu-mc_vol^2/2)*(mc_t2-mc_t1)+mc_vol*SQRT(mc_t2-mc_t1)*I479)</f>
        <v>1140.69239936412</v>
      </c>
      <c r="L479" s="31" t="n">
        <f aca="false">(t1_usd*J479+t2_usd*K479)/1000</f>
        <v>9674.98053855025</v>
      </c>
    </row>
    <row r="480" customFormat="false" ht="15" hidden="false" customHeight="false" outlineLevel="0" collapsed="false">
      <c r="E480" s="54" t="n">
        <v>476</v>
      </c>
      <c r="F480" s="61" t="n">
        <v>0.349519</v>
      </c>
      <c r="G480" s="61" t="n">
        <v>0.964388</v>
      </c>
      <c r="H480" s="34" t="n">
        <f aca="false">NORMSINV(F480)</f>
        <v>-0.386619391378809</v>
      </c>
      <c r="I480" s="34" t="n">
        <f aca="false">NORMSINV(G480)</f>
        <v>1.80404661244741</v>
      </c>
      <c r="J480" s="59" t="n">
        <f aca="false">mc_s0*EXP((mc_mu-mc_vol^2/2)*mc_t1+mc_vol*SQRT(mc_t1)*H480)</f>
        <v>1104.70631829216</v>
      </c>
      <c r="K480" s="59" t="n">
        <f aca="false">J480*EXP((mc_mu-mc_vol^2/2)*(mc_t2-mc_t1)+mc_vol*SQRT(mc_t2-mc_t1)*I480)</f>
        <v>1494.85872261989</v>
      </c>
      <c r="L480" s="31" t="n">
        <f aca="false">(t1_usd*J480+t2_usd*K480)/1000</f>
        <v>10573.1758010229</v>
      </c>
    </row>
    <row r="481" customFormat="false" ht="15" hidden="false" customHeight="false" outlineLevel="0" collapsed="false">
      <c r="E481" s="54" t="n">
        <v>477</v>
      </c>
      <c r="F481" s="61" t="n">
        <v>0.497517</v>
      </c>
      <c r="G481" s="61" t="n">
        <v>0.603733</v>
      </c>
      <c r="H481" s="34" t="n">
        <f aca="false">NORMSINV(F481)</f>
        <v>-0.00622399819004149</v>
      </c>
      <c r="I481" s="34" t="n">
        <f aca="false">NORMSINV(G481)</f>
        <v>0.263021510096884</v>
      </c>
      <c r="J481" s="59" t="n">
        <f aca="false">mc_s0*EXP((mc_mu-mc_vol^2/2)*mc_t1+mc_vol*SQRT(mc_t1)*H481)</f>
        <v>1145.58553537523</v>
      </c>
      <c r="K481" s="59" t="n">
        <f aca="false">J481*EXP((mc_mu-mc_vol^2/2)*(mc_t2-mc_t1)+mc_vol*SQRT(mc_t2-mc_t1)*I481)</f>
        <v>1215.93459253859</v>
      </c>
      <c r="L481" s="31" t="n">
        <f aca="false">(t1_usd*J481+t2_usd*K481)/1000</f>
        <v>10329.3744734499</v>
      </c>
    </row>
    <row r="482" customFormat="false" ht="15" hidden="false" customHeight="false" outlineLevel="0" collapsed="false">
      <c r="E482" s="54" t="n">
        <v>478</v>
      </c>
      <c r="F482" s="61" t="n">
        <v>0.236885</v>
      </c>
      <c r="G482" s="61" t="n">
        <v>0.240774</v>
      </c>
      <c r="H482" s="34" t="n">
        <f aca="false">NORMSINV(F482)</f>
        <v>-0.71635852126522</v>
      </c>
      <c r="I482" s="34" t="n">
        <f aca="false">NORMSINV(G482)</f>
        <v>-0.703814985713911</v>
      </c>
      <c r="J482" s="59" t="n">
        <f aca="false">mc_s0*EXP((mc_mu-mc_vol^2/2)*mc_t1+mc_vol*SQRT(mc_t1)*H482)</f>
        <v>1070.45305745369</v>
      </c>
      <c r="K482" s="59" t="n">
        <f aca="false">J482*EXP((mc_mu-mc_vol^2/2)*(mc_t2-mc_t1)+mc_vol*SQRT(mc_t2-mc_t1)*I482)</f>
        <v>975.614473478219</v>
      </c>
      <c r="L482" s="31" t="n">
        <f aca="false">(t1_usd*J482+t2_usd*K482)/1000</f>
        <v>9346.83890178448</v>
      </c>
    </row>
    <row r="483" customFormat="false" ht="15" hidden="false" customHeight="false" outlineLevel="0" collapsed="false">
      <c r="E483" s="54" t="n">
        <v>479</v>
      </c>
      <c r="F483" s="61" t="n">
        <v>0.513604</v>
      </c>
      <c r="G483" s="61" t="n">
        <v>0.915049</v>
      </c>
      <c r="H483" s="34" t="n">
        <f aca="false">NORMSINV(F483)</f>
        <v>0.0341067824753875</v>
      </c>
      <c r="I483" s="34" t="n">
        <f aca="false">NORMSINV(G483)</f>
        <v>1.37251876929321</v>
      </c>
      <c r="J483" s="59" t="n">
        <f aca="false">mc_s0*EXP((mc_mu-mc_vol^2/2)*mc_t1+mc_vol*SQRT(mc_t1)*H483)</f>
        <v>1150.00741817905</v>
      </c>
      <c r="K483" s="59" t="n">
        <f aca="false">J483*EXP((mc_mu-mc_vol^2/2)*(mc_t2-mc_t1)+mc_vol*SQRT(mc_t2-mc_t1)*I483)</f>
        <v>1453.84928412837</v>
      </c>
      <c r="L483" s="31" t="n">
        <f aca="false">(t1_usd*J483+t2_usd*K483)/1000</f>
        <v>10812.3655670972</v>
      </c>
    </row>
    <row r="484" customFormat="false" ht="15" hidden="false" customHeight="false" outlineLevel="0" collapsed="false">
      <c r="E484" s="54" t="n">
        <v>480</v>
      </c>
      <c r="F484" s="61" t="n">
        <v>0.880217</v>
      </c>
      <c r="G484" s="61" t="n">
        <v>0.073679</v>
      </c>
      <c r="H484" s="34" t="n">
        <f aca="false">NORMSINV(F484)</f>
        <v>1.17607226461922</v>
      </c>
      <c r="I484" s="34" t="n">
        <f aca="false">NORMSINV(G484)</f>
        <v>-1.44892689275623</v>
      </c>
      <c r="J484" s="59" t="n">
        <f aca="false">mc_s0*EXP((mc_mu-mc_vol^2/2)*mc_t1+mc_vol*SQRT(mc_t1)*H484)</f>
        <v>1282.55211619103</v>
      </c>
      <c r="K484" s="59" t="n">
        <f aca="false">J484*EXP((mc_mu-mc_vol^2/2)*(mc_t2-mc_t1)+mc_vol*SQRT(mc_t2-mc_t1)*I484)</f>
        <v>1039.41453769343</v>
      </c>
      <c r="L484" s="31" t="n">
        <f aca="false">(t1_usd*J484+t2_usd*K484)/1000</f>
        <v>10952.7524349547</v>
      </c>
    </row>
    <row r="485" customFormat="false" ht="15" hidden="false" customHeight="false" outlineLevel="0" collapsed="false">
      <c r="E485" s="54" t="n">
        <v>481</v>
      </c>
      <c r="F485" s="61" t="n">
        <v>0.661974</v>
      </c>
      <c r="G485" s="61" t="n">
        <v>0.285628</v>
      </c>
      <c r="H485" s="34" t="n">
        <f aca="false">NORMSINV(F485)</f>
        <v>0.417856552850851</v>
      </c>
      <c r="I485" s="34" t="n">
        <f aca="false">NORMSINV(G485)</f>
        <v>-0.566202692222354</v>
      </c>
      <c r="J485" s="59" t="n">
        <f aca="false">mc_s0*EXP((mc_mu-mc_vol^2/2)*mc_t1+mc_vol*SQRT(mc_t1)*H485)</f>
        <v>1192.94516537382</v>
      </c>
      <c r="K485" s="59" t="n">
        <f aca="false">J485*EXP((mc_mu-mc_vol^2/2)*(mc_t2-mc_t1)+mc_vol*SQRT(mc_t2-mc_t1)*I485)</f>
        <v>1111.09074464824</v>
      </c>
      <c r="L485" s="31" t="n">
        <f aca="false">(t1_usd*J485+t2_usd*K485)/1000</f>
        <v>10461.6885724484</v>
      </c>
    </row>
    <row r="486" customFormat="false" ht="15" hidden="false" customHeight="false" outlineLevel="0" collapsed="false">
      <c r="E486" s="54" t="n">
        <v>482</v>
      </c>
      <c r="F486" s="61" t="n">
        <v>0.880448</v>
      </c>
      <c r="G486" s="61" t="n">
        <v>0.282187</v>
      </c>
      <c r="H486" s="34" t="n">
        <f aca="false">NORMSINV(F486)</f>
        <v>1.17722929241345</v>
      </c>
      <c r="I486" s="34" t="n">
        <f aca="false">NORMSINV(G486)</f>
        <v>-0.576356855984164</v>
      </c>
      <c r="J486" s="59" t="n">
        <f aca="false">mc_s0*EXP((mc_mu-mc_vol^2/2)*mc_t1+mc_vol*SQRT(mc_t1)*H486)</f>
        <v>1282.69387467579</v>
      </c>
      <c r="K486" s="59" t="n">
        <f aca="false">J486*EXP((mc_mu-mc_vol^2/2)*(mc_t2-mc_t1)+mc_vol*SQRT(mc_t2-mc_t1)*I486)</f>
        <v>1192.77107687305</v>
      </c>
      <c r="L486" s="31" t="n">
        <f aca="false">(t1_usd*J486+t2_usd*K486)/1000</f>
        <v>11245.1221687893</v>
      </c>
    </row>
    <row r="487" customFormat="false" ht="15" hidden="false" customHeight="false" outlineLevel="0" collapsed="false">
      <c r="E487" s="54" t="n">
        <v>483</v>
      </c>
      <c r="F487" s="61" t="n">
        <v>0.067905</v>
      </c>
      <c r="G487" s="61" t="n">
        <v>0.279711</v>
      </c>
      <c r="H487" s="34" t="n">
        <f aca="false">NORMSINV(F487)</f>
        <v>-1.49157727239814</v>
      </c>
      <c r="I487" s="34" t="n">
        <f aca="false">NORMSINV(G487)</f>
        <v>-0.583700248560587</v>
      </c>
      <c r="J487" s="59" t="n">
        <f aca="false">mc_s0*EXP((mc_mu-mc_vol^2/2)*mc_t1+mc_vol*SQRT(mc_t1)*H487)</f>
        <v>994.048825665365</v>
      </c>
      <c r="K487" s="59" t="n">
        <f aca="false">J487*EXP((mc_mu-mc_vol^2/2)*(mc_t2-mc_t1)+mc_vol*SQRT(mc_t2-mc_t1)*I487)</f>
        <v>923.292270565889</v>
      </c>
      <c r="L487" s="31" t="n">
        <f aca="false">(t1_usd*J487+t2_usd*K487)/1000</f>
        <v>8712.59709373274</v>
      </c>
    </row>
    <row r="488" customFormat="false" ht="15" hidden="false" customHeight="false" outlineLevel="0" collapsed="false">
      <c r="E488" s="54" t="n">
        <v>484</v>
      </c>
      <c r="F488" s="61" t="n">
        <v>0.809527</v>
      </c>
      <c r="G488" s="61" t="n">
        <v>0.5642</v>
      </c>
      <c r="H488" s="34" t="n">
        <f aca="false">NORMSINV(F488)</f>
        <v>0.876154588368595</v>
      </c>
      <c r="I488" s="34" t="n">
        <f aca="false">NORMSINV(G488)</f>
        <v>0.161626484386703</v>
      </c>
      <c r="J488" s="59" t="n">
        <f aca="false">mc_s0*EXP((mc_mu-mc_vol^2/2)*mc_t1+mc_vol*SQRT(mc_t1)*H488)</f>
        <v>1246.32972214836</v>
      </c>
      <c r="K488" s="59" t="n">
        <f aca="false">J488*EXP((mc_mu-mc_vol^2/2)*(mc_t2-mc_t1)+mc_vol*SQRT(mc_t2-mc_t1)*I488)</f>
        <v>1301.89506533182</v>
      </c>
      <c r="L488" s="31" t="n">
        <f aca="false">(t1_usd*J488+t2_usd*K488)/1000</f>
        <v>11197.908679169</v>
      </c>
    </row>
    <row r="489" customFormat="false" ht="15" hidden="false" customHeight="false" outlineLevel="0" collapsed="false">
      <c r="E489" s="54" t="n">
        <v>485</v>
      </c>
      <c r="F489" s="61" t="n">
        <v>0.214418</v>
      </c>
      <c r="G489" s="61" t="n">
        <v>0.513481</v>
      </c>
      <c r="H489" s="34" t="n">
        <f aca="false">NORMSINV(F489)</f>
        <v>-0.791185074317604</v>
      </c>
      <c r="I489" s="34" t="n">
        <f aca="false">NORMSINV(G489)</f>
        <v>0.033798289436136</v>
      </c>
      <c r="J489" s="59" t="n">
        <f aca="false">mc_s0*EXP((mc_mu-mc_vol^2/2)*mc_t1+mc_vol*SQRT(mc_t1)*H489)</f>
        <v>1062.82913531385</v>
      </c>
      <c r="K489" s="59" t="n">
        <f aca="false">J489*EXP((mc_mu-mc_vol^2/2)*(mc_t2-mc_t1)+mc_vol*SQRT(mc_t2-mc_t1)*I489)</f>
        <v>1088.07211645878</v>
      </c>
      <c r="L489" s="31" t="n">
        <f aca="false">(t1_usd*J489+t2_usd*K489)/1000</f>
        <v>9507.14096846862</v>
      </c>
    </row>
    <row r="490" customFormat="false" ht="15" hidden="false" customHeight="false" outlineLevel="0" collapsed="false">
      <c r="E490" s="54" t="n">
        <v>486</v>
      </c>
      <c r="F490" s="61" t="n">
        <v>0.267906</v>
      </c>
      <c r="G490" s="61" t="n">
        <v>0.068801</v>
      </c>
      <c r="H490" s="34" t="n">
        <f aca="false">NORMSINV(F490)</f>
        <v>-0.61915842109929</v>
      </c>
      <c r="I490" s="34" t="n">
        <f aca="false">NORMSINV(G490)</f>
        <v>-1.48478042104252</v>
      </c>
      <c r="J490" s="59" t="n">
        <f aca="false">mc_s0*EXP((mc_mu-mc_vol^2/2)*mc_t1+mc_vol*SQRT(mc_t1)*H490)</f>
        <v>1080.43829311881</v>
      </c>
      <c r="K490" s="59" t="n">
        <f aca="false">J490*EXP((mc_mu-mc_vol^2/2)*(mc_t2-mc_t1)+mc_vol*SQRT(mc_t2-mc_t1)*I490)</f>
        <v>870.68257151698</v>
      </c>
      <c r="L490" s="31" t="n">
        <f aca="false">(t1_usd*J490+t2_usd*K490)/1000</f>
        <v>9217.36493771392</v>
      </c>
    </row>
    <row r="491" customFormat="false" ht="15" hidden="false" customHeight="false" outlineLevel="0" collapsed="false">
      <c r="E491" s="54" t="n">
        <v>487</v>
      </c>
      <c r="F491" s="61" t="n">
        <v>0.03219</v>
      </c>
      <c r="G491" s="61" t="n">
        <v>0.203804</v>
      </c>
      <c r="H491" s="34" t="n">
        <f aca="false">NORMSINV(F491)</f>
        <v>-1.84953915073806</v>
      </c>
      <c r="I491" s="34" t="n">
        <f aca="false">NORMSINV(G491)</f>
        <v>-0.828110365095383</v>
      </c>
      <c r="J491" s="59" t="n">
        <f aca="false">mc_s0*EXP((mc_mu-mc_vol^2/2)*mc_t1+mc_vol*SQRT(mc_t1)*H491)</f>
        <v>960.633408596984</v>
      </c>
      <c r="K491" s="59" t="n">
        <f aca="false">J491*EXP((mc_mu-mc_vol^2/2)*(mc_t2-mc_t1)+mc_vol*SQRT(mc_t2-mc_t1)*I491)</f>
        <v>858.541489185781</v>
      </c>
      <c r="L491" s="31" t="n">
        <f aca="false">(t1_usd*J491+t2_usd*K491)/1000</f>
        <v>8355.66268963187</v>
      </c>
    </row>
    <row r="492" customFormat="false" ht="15" hidden="false" customHeight="false" outlineLevel="0" collapsed="false">
      <c r="E492" s="54" t="n">
        <v>488</v>
      </c>
      <c r="F492" s="61" t="n">
        <v>0.178828</v>
      </c>
      <c r="G492" s="61" t="n">
        <v>0.347615</v>
      </c>
      <c r="H492" s="34" t="n">
        <f aca="false">NORMSINV(F492)</f>
        <v>-0.91984072132282</v>
      </c>
      <c r="I492" s="34" t="n">
        <f aca="false">NORMSINV(G492)</f>
        <v>-0.391767514359545</v>
      </c>
      <c r="J492" s="59" t="n">
        <f aca="false">mc_s0*EXP((mc_mu-mc_vol^2/2)*mc_t1+mc_vol*SQRT(mc_t1)*H492)</f>
        <v>1049.84740298289</v>
      </c>
      <c r="K492" s="59" t="n">
        <f aca="false">J492*EXP((mc_mu-mc_vol^2/2)*(mc_t2-mc_t1)+mc_vol*SQRT(mc_t2-mc_t1)*I492)</f>
        <v>1005.06440909293</v>
      </c>
      <c r="L492" s="31" t="n">
        <f aca="false">(t1_usd*J492+t2_usd*K492)/1000</f>
        <v>9258.55419815681</v>
      </c>
    </row>
    <row r="493" customFormat="false" ht="15" hidden="false" customHeight="false" outlineLevel="0" collapsed="false">
      <c r="E493" s="54" t="n">
        <v>489</v>
      </c>
      <c r="F493" s="61" t="n">
        <v>0.547961</v>
      </c>
      <c r="G493" s="61" t="n">
        <v>0.149565</v>
      </c>
      <c r="H493" s="34" t="n">
        <f aca="false">NORMSINV(F493)</f>
        <v>0.12051146257455</v>
      </c>
      <c r="I493" s="34" t="n">
        <f aca="false">NORMSINV(G493)</f>
        <v>-1.03830087814201</v>
      </c>
      <c r="J493" s="59" t="n">
        <f aca="false">mc_s0*EXP((mc_mu-mc_vol^2/2)*mc_t1+mc_vol*SQRT(mc_t1)*H493)</f>
        <v>1159.53839991413</v>
      </c>
      <c r="K493" s="59" t="n">
        <f aca="false">J493*EXP((mc_mu-mc_vol^2/2)*(mc_t2-mc_t1)+mc_vol*SQRT(mc_t2-mc_t1)*I493)</f>
        <v>1002.54276596869</v>
      </c>
      <c r="L493" s="31" t="n">
        <f aca="false">(t1_usd*J493+t2_usd*K493)/1000</f>
        <v>10021.6000547394</v>
      </c>
    </row>
    <row r="494" customFormat="false" ht="15" hidden="false" customHeight="false" outlineLevel="0" collapsed="false">
      <c r="E494" s="54" t="n">
        <v>490</v>
      </c>
      <c r="F494" s="61" t="n">
        <v>0.134773</v>
      </c>
      <c r="G494" s="61" t="n">
        <v>0.498812</v>
      </c>
      <c r="H494" s="34" t="n">
        <f aca="false">NORMSINV(F494)</f>
        <v>-1.10410867178881</v>
      </c>
      <c r="I494" s="34" t="n">
        <f aca="false">NORMSINV(G494)</f>
        <v>-0.00297787879144261</v>
      </c>
      <c r="J494" s="59" t="n">
        <f aca="false">mc_s0*EXP((mc_mu-mc_vol^2/2)*mc_t1+mc_vol*SQRT(mc_t1)*H494)</f>
        <v>1031.52992551224</v>
      </c>
      <c r="K494" s="59" t="n">
        <f aca="false">J494*EXP((mc_mu-mc_vol^2/2)*(mc_t2-mc_t1)+mc_vol*SQRT(mc_t2-mc_t1)*I494)</f>
        <v>1049.9268260194</v>
      </c>
      <c r="L494" s="31" t="n">
        <f aca="false">(t1_usd*J494+t2_usd*K494)/1000</f>
        <v>9215.57044802252</v>
      </c>
    </row>
    <row r="495" customFormat="false" ht="15" hidden="false" customHeight="false" outlineLevel="0" collapsed="false">
      <c r="E495" s="54" t="n">
        <v>491</v>
      </c>
      <c r="F495" s="61" t="n">
        <v>0.499136</v>
      </c>
      <c r="G495" s="61" t="n">
        <v>0.910507</v>
      </c>
      <c r="H495" s="34" t="n">
        <f aca="false">NORMSINV(F495)</f>
        <v>-0.0021657285222949</v>
      </c>
      <c r="I495" s="34" t="n">
        <f aca="false">NORMSINV(G495)</f>
        <v>1.34388369296907</v>
      </c>
      <c r="J495" s="59" t="n">
        <f aca="false">mc_s0*EXP((mc_mu-mc_vol^2/2)*mc_t1+mc_vol*SQRT(mc_t1)*H495)</f>
        <v>1146.02971522618</v>
      </c>
      <c r="K495" s="59" t="n">
        <f aca="false">J495*EXP((mc_mu-mc_vol^2/2)*(mc_t2-mc_t1)+mc_vol*SQRT(mc_t2-mc_t1)*I495)</f>
        <v>1442.29728464092</v>
      </c>
      <c r="L495" s="31" t="n">
        <f aca="false">(t1_usd*J495+t2_usd*K495)/1000</f>
        <v>10762.572847401</v>
      </c>
    </row>
    <row r="496" customFormat="false" ht="15" hidden="false" customHeight="false" outlineLevel="0" collapsed="false">
      <c r="E496" s="54" t="n">
        <v>492</v>
      </c>
      <c r="F496" s="61" t="n">
        <v>0.377322</v>
      </c>
      <c r="G496" s="61" t="n">
        <v>0.795732</v>
      </c>
      <c r="H496" s="34" t="n">
        <f aca="false">NORMSINV(F496)</f>
        <v>-0.312521797554381</v>
      </c>
      <c r="I496" s="34" t="n">
        <f aca="false">NORMSINV(G496)</f>
        <v>0.826472696765221</v>
      </c>
      <c r="J496" s="59" t="n">
        <f aca="false">mc_s0*EXP((mc_mu-mc_vol^2/2)*mc_t1+mc_vol*SQRT(mc_t1)*H496)</f>
        <v>1112.5531631574</v>
      </c>
      <c r="K496" s="59" t="n">
        <f aca="false">J496*EXP((mc_mu-mc_vol^2/2)*(mc_t2-mc_t1)+mc_vol*SQRT(mc_t2-mc_t1)*I496)</f>
        <v>1290.52704673876</v>
      </c>
      <c r="L496" s="31" t="n">
        <f aca="false">(t1_usd*J496+t2_usd*K496)/1000</f>
        <v>10239.8735309055</v>
      </c>
    </row>
    <row r="497" customFormat="false" ht="15" hidden="false" customHeight="false" outlineLevel="0" collapsed="false">
      <c r="E497" s="54" t="n">
        <v>493</v>
      </c>
      <c r="F497" s="61" t="n">
        <v>0.430568</v>
      </c>
      <c r="G497" s="61" t="n">
        <v>0.033923</v>
      </c>
      <c r="H497" s="34" t="n">
        <f aca="false">NORMSINV(F497)</f>
        <v>-0.174928265551514</v>
      </c>
      <c r="I497" s="34" t="n">
        <f aca="false">NORMSINV(G497)</f>
        <v>-1.82602829419558</v>
      </c>
      <c r="J497" s="59" t="n">
        <f aca="false">mc_s0*EXP((mc_mu-mc_vol^2/2)*mc_t1+mc_vol*SQRT(mc_t1)*H497)</f>
        <v>1127.27229506952</v>
      </c>
      <c r="K497" s="59" t="n">
        <f aca="false">J497*EXP((mc_mu-mc_vol^2/2)*(mc_t2-mc_t1)+mc_vol*SQRT(mc_t2-mc_t1)*I497)</f>
        <v>860.861089848417</v>
      </c>
      <c r="L497" s="31" t="n">
        <f aca="false">(t1_usd*J497+t2_usd*K497)/1000</f>
        <v>9526.5421361986</v>
      </c>
    </row>
    <row r="498" customFormat="false" ht="15" hidden="false" customHeight="false" outlineLevel="0" collapsed="false">
      <c r="E498" s="54" t="n">
        <v>494</v>
      </c>
      <c r="F498" s="61" t="n">
        <v>0.190417</v>
      </c>
      <c r="G498" s="61" t="n">
        <v>0.197187</v>
      </c>
      <c r="H498" s="34" t="n">
        <f aca="false">NORMSINV(F498)</f>
        <v>-0.876360655899403</v>
      </c>
      <c r="I498" s="34" t="n">
        <f aca="false">NORMSINV(G498)</f>
        <v>-0.851711925550048</v>
      </c>
      <c r="J498" s="59" t="n">
        <f aca="false">mc_s0*EXP((mc_mu-mc_vol^2/2)*mc_t1+mc_vol*SQRT(mc_t1)*H498)</f>
        <v>1054.21683324993</v>
      </c>
      <c r="K498" s="59" t="n">
        <f aca="false">J498*EXP((mc_mu-mc_vol^2/2)*(mc_t2-mc_t1)+mc_vol*SQRT(mc_t2-mc_t1)*I498)</f>
        <v>938.681401268589</v>
      </c>
      <c r="L498" s="31" t="n">
        <f aca="false">(t1_usd*J498+t2_usd*K498)/1000</f>
        <v>9163.01249515981</v>
      </c>
    </row>
    <row r="499" customFormat="false" ht="15" hidden="false" customHeight="false" outlineLevel="0" collapsed="false">
      <c r="E499" s="54" t="n">
        <v>495</v>
      </c>
      <c r="F499" s="61" t="n">
        <v>0.467813</v>
      </c>
      <c r="G499" s="61" t="n">
        <v>0.096387</v>
      </c>
      <c r="H499" s="34" t="n">
        <f aca="false">NORMSINV(F499)</f>
        <v>-0.0807685748877331</v>
      </c>
      <c r="I499" s="34" t="n">
        <f aca="false">NORMSINV(G499)</f>
        <v>-1.30241663206541</v>
      </c>
      <c r="J499" s="59" t="n">
        <f aca="false">mc_s0*EXP((mc_mu-mc_vol^2/2)*mc_t1+mc_vol*SQRT(mc_t1)*H499)</f>
        <v>1137.45714594991</v>
      </c>
      <c r="K499" s="59" t="n">
        <f aca="false">J499*EXP((mc_mu-mc_vol^2/2)*(mc_t2-mc_t1)+mc_vol*SQRT(mc_t2-mc_t1)*I499)</f>
        <v>943.357361685962</v>
      </c>
      <c r="L499" s="31" t="n">
        <f aca="false">(t1_usd*J499+t2_usd*K499)/1000</f>
        <v>9754.57900885271</v>
      </c>
    </row>
    <row r="500" customFormat="false" ht="15" hidden="false" customHeight="false" outlineLevel="0" collapsed="false">
      <c r="E500" s="54" t="n">
        <v>496</v>
      </c>
      <c r="F500" s="61" t="n">
        <v>0.952978</v>
      </c>
      <c r="G500" s="61" t="n">
        <v>0.676124</v>
      </c>
      <c r="H500" s="34" t="n">
        <f aca="false">NORMSINV(F500)</f>
        <v>1.6744407997324</v>
      </c>
      <c r="I500" s="34" t="n">
        <f aca="false">NORMSINV(G500)</f>
        <v>0.45688737346443</v>
      </c>
      <c r="J500" s="59" t="n">
        <f aca="false">mc_s0*EXP((mc_mu-mc_vol^2/2)*mc_t1+mc_vol*SQRT(mc_t1)*H500)</f>
        <v>1345.08526408393</v>
      </c>
      <c r="K500" s="59" t="n">
        <f aca="false">J500*EXP((mc_mu-mc_vol^2/2)*(mc_t2-mc_t1)+mc_vol*SQRT(mc_t2-mc_t1)*I500)</f>
        <v>1471.97707804854</v>
      </c>
      <c r="L500" s="31" t="n">
        <f aca="false">(t1_usd*J500+t2_usd*K500)/1000</f>
        <v>12212.3532968797</v>
      </c>
    </row>
    <row r="501" customFormat="false" ht="15" hidden="false" customHeight="false" outlineLevel="0" collapsed="false">
      <c r="E501" s="54" t="n">
        <v>497</v>
      </c>
      <c r="F501" s="61" t="n">
        <v>0.458795</v>
      </c>
      <c r="G501" s="61" t="n">
        <v>0.716919</v>
      </c>
      <c r="H501" s="34" t="n">
        <f aca="false">NORMSINV(F501)</f>
        <v>-0.103469947336324</v>
      </c>
      <c r="I501" s="34" t="n">
        <f aca="false">NORMSINV(G501)</f>
        <v>0.573713043968023</v>
      </c>
      <c r="J501" s="59" t="n">
        <f aca="false">mc_s0*EXP((mc_mu-mc_vol^2/2)*mc_t1+mc_vol*SQRT(mc_t1)*H501)</f>
        <v>1134.99324860727</v>
      </c>
      <c r="K501" s="59" t="n">
        <f aca="false">J501*EXP((mc_mu-mc_vol^2/2)*(mc_t2-mc_t1)+mc_vol*SQRT(mc_t2-mc_t1)*I501)</f>
        <v>1265.14492079244</v>
      </c>
      <c r="L501" s="31" t="n">
        <f aca="false">(t1_usd*J501+t2_usd*K501)/1000</f>
        <v>10348.7280897565</v>
      </c>
    </row>
    <row r="502" customFormat="false" ht="15" hidden="false" customHeight="false" outlineLevel="0" collapsed="false">
      <c r="E502" s="54" t="n">
        <v>498</v>
      </c>
      <c r="F502" s="61" t="n">
        <v>0.515465</v>
      </c>
      <c r="G502" s="61" t="n">
        <v>0.702497</v>
      </c>
      <c r="H502" s="34" t="n">
        <f aca="false">NORMSINV(F502)</f>
        <v>0.0387747202388336</v>
      </c>
      <c r="I502" s="34" t="n">
        <f aca="false">NORMSINV(G502)</f>
        <v>0.531595762930811</v>
      </c>
      <c r="J502" s="59" t="n">
        <f aca="false">mc_s0*EXP((mc_mu-mc_vol^2/2)*mc_t1+mc_vol*SQRT(mc_t1)*H502)</f>
        <v>1150.52031354631</v>
      </c>
      <c r="K502" s="59" t="n">
        <f aca="false">J502*EXP((mc_mu-mc_vol^2/2)*(mc_t2-mc_t1)+mc_vol*SQRT(mc_t2-mc_t1)*I502)</f>
        <v>1273.96854196539</v>
      </c>
      <c r="L502" s="31" t="n">
        <f aca="false">(t1_usd*J502+t2_usd*K502)/1000</f>
        <v>10474.1824245584</v>
      </c>
    </row>
    <row r="503" customFormat="false" ht="15" hidden="false" customHeight="false" outlineLevel="0" collapsed="false">
      <c r="E503" s="54" t="n">
        <v>499</v>
      </c>
      <c r="F503" s="61" t="n">
        <v>0.618963</v>
      </c>
      <c r="G503" s="61" t="n">
        <v>0.187922</v>
      </c>
      <c r="H503" s="34" t="n">
        <f aca="false">NORMSINV(F503)</f>
        <v>0.302758384669419</v>
      </c>
      <c r="I503" s="34" t="n">
        <f aca="false">NORMSINV(G503)</f>
        <v>-0.885579801148186</v>
      </c>
      <c r="J503" s="59" t="n">
        <f aca="false">mc_s0*EXP((mc_mu-mc_vol^2/2)*mc_t1+mc_vol*SQRT(mc_t1)*H503)</f>
        <v>1179.90119183718</v>
      </c>
      <c r="K503" s="59" t="n">
        <f aca="false">J503*EXP((mc_mu-mc_vol^2/2)*(mc_t2-mc_t1)+mc_vol*SQRT(mc_t2-mc_t1)*I503)</f>
        <v>1044.99912296246</v>
      </c>
      <c r="L503" s="31" t="n">
        <f aca="false">(t1_usd*J503+t2_usd*K503)/1000</f>
        <v>10244.8066764889</v>
      </c>
    </row>
    <row r="504" customFormat="false" ht="15" hidden="false" customHeight="false" outlineLevel="0" collapsed="false">
      <c r="E504" s="54" t="n">
        <v>500</v>
      </c>
      <c r="F504" s="61" t="n">
        <v>0.359795</v>
      </c>
      <c r="G504" s="61" t="n">
        <v>0.207265</v>
      </c>
      <c r="H504" s="34" t="n">
        <f aca="false">NORMSINV(F504)</f>
        <v>-0.359006803031179</v>
      </c>
      <c r="I504" s="34" t="n">
        <f aca="false">NORMSINV(G504)</f>
        <v>-0.815947785438865</v>
      </c>
      <c r="J504" s="59" t="n">
        <f aca="false">mc_s0*EXP((mc_mu-mc_vol^2/2)*mc_t1+mc_vol*SQRT(mc_t1)*H504)</f>
        <v>1107.62396756675</v>
      </c>
      <c r="K504" s="59" t="n">
        <f aca="false">J504*EXP((mc_mu-mc_vol^2/2)*(mc_t2-mc_t1)+mc_vol*SQRT(mc_t2-mc_t1)*I504)</f>
        <v>991.80975462571</v>
      </c>
      <c r="L504" s="31" t="n">
        <f aca="false">(t1_usd*J504+t2_usd*K504)/1000</f>
        <v>9637.80630675612</v>
      </c>
    </row>
    <row r="505" customFormat="false" ht="15" hidden="false" customHeight="false" outlineLevel="0" collapsed="false">
      <c r="E505" s="54" t="n">
        <v>501</v>
      </c>
      <c r="F505" s="61" t="n">
        <v>0.578058</v>
      </c>
      <c r="G505" s="61" t="n">
        <v>0.679328</v>
      </c>
      <c r="H505" s="34" t="n">
        <f aca="false">NORMSINV(F505)</f>
        <v>0.196927849050348</v>
      </c>
      <c r="I505" s="34" t="n">
        <f aca="false">NORMSINV(G505)</f>
        <v>0.465820486193095</v>
      </c>
      <c r="J505" s="59" t="n">
        <f aca="false">mc_s0*EXP((mc_mu-mc_vol^2/2)*mc_t1+mc_vol*SQRT(mc_t1)*H505)</f>
        <v>1168.03341024147</v>
      </c>
      <c r="K505" s="59" t="n">
        <f aca="false">J505*EXP((mc_mu-mc_vol^2/2)*(mc_t2-mc_t1)+mc_vol*SQRT(mc_t2-mc_t1)*I505)</f>
        <v>1280.02336319575</v>
      </c>
      <c r="L505" s="31" t="n">
        <f aca="false">(t1_usd*J505+t2_usd*K505)/1000</f>
        <v>10608.2782617622</v>
      </c>
    </row>
    <row r="506" customFormat="false" ht="15" hidden="false" customHeight="false" outlineLevel="0" collapsed="false">
      <c r="E506" s="54" t="n">
        <v>502</v>
      </c>
      <c r="F506" s="61" t="n">
        <v>0.228387</v>
      </c>
      <c r="G506" s="61" t="n">
        <v>0.764595</v>
      </c>
      <c r="H506" s="34" t="n">
        <f aca="false">NORMSINV(F506)</f>
        <v>-0.744169396524091</v>
      </c>
      <c r="I506" s="34" t="n">
        <f aca="false">NORMSINV(G506)</f>
        <v>0.721161753883287</v>
      </c>
      <c r="J506" s="59" t="n">
        <f aca="false">mc_s0*EXP((mc_mu-mc_vol^2/2)*mc_t1+mc_vol*SQRT(mc_t1)*H506)</f>
        <v>1067.61310025583</v>
      </c>
      <c r="K506" s="59" t="n">
        <f aca="false">J506*EXP((mc_mu-mc_vol^2/2)*(mc_t2-mc_t1)+mc_vol*SQRT(mc_t2-mc_t1)*I506)</f>
        <v>1218.01477298093</v>
      </c>
      <c r="L506" s="31" t="n">
        <f aca="false">(t1_usd*J506+t2_usd*K506)/1000</f>
        <v>9787.51977045459</v>
      </c>
    </row>
    <row r="507" customFormat="false" ht="15" hidden="false" customHeight="false" outlineLevel="0" collapsed="false">
      <c r="E507" s="54" t="n">
        <v>503</v>
      </c>
      <c r="F507" s="61" t="n">
        <v>0.714162</v>
      </c>
      <c r="G507" s="61" t="n">
        <v>0.001317</v>
      </c>
      <c r="H507" s="34" t="n">
        <f aca="false">NORMSINV(F507)</f>
        <v>0.565584892724978</v>
      </c>
      <c r="I507" s="34" t="n">
        <f aca="false">NORMSINV(G507)</f>
        <v>-3.00750706733895</v>
      </c>
      <c r="J507" s="59" t="n">
        <f aca="false">mc_s0*EXP((mc_mu-mc_vol^2/2)*mc_t1+mc_vol*SQRT(mc_t1)*H507)</f>
        <v>1209.89862759503</v>
      </c>
      <c r="K507" s="59" t="n">
        <f aca="false">J507*EXP((mc_mu-mc_vol^2/2)*(mc_t2-mc_t1)+mc_vol*SQRT(mc_t2-mc_t1)*I507)</f>
        <v>766.991636213636</v>
      </c>
      <c r="L507" s="31" t="n">
        <f aca="false">(t1_usd*J507+t2_usd*K507)/1000</f>
        <v>9926.57450197112</v>
      </c>
    </row>
    <row r="508" customFormat="false" ht="15" hidden="false" customHeight="false" outlineLevel="0" collapsed="false">
      <c r="E508" s="54" t="n">
        <v>504</v>
      </c>
      <c r="F508" s="61" t="n">
        <v>0.982755</v>
      </c>
      <c r="G508" s="61" t="n">
        <v>0.535214</v>
      </c>
      <c r="H508" s="34" t="n">
        <f aca="false">NORMSINV(F508)</f>
        <v>2.11429592734904</v>
      </c>
      <c r="I508" s="34" t="n">
        <f aca="false">NORMSINV(G508)</f>
        <v>0.088383342801671</v>
      </c>
      <c r="J508" s="59" t="n">
        <f aca="false">mc_s0*EXP((mc_mu-mc_vol^2/2)*mc_t1+mc_vol*SQRT(mc_t1)*H508)</f>
        <v>1402.80460345347</v>
      </c>
      <c r="K508" s="59" t="n">
        <f aca="false">J508*EXP((mc_mu-mc_vol^2/2)*(mc_t2-mc_t1)+mc_vol*SQRT(mc_t2-mc_t1)*I508)</f>
        <v>1448.5294010039</v>
      </c>
      <c r="L508" s="31" t="n">
        <f aca="false">(t1_usd*J508+t2_usd*K508)/1000</f>
        <v>12571.8380860817</v>
      </c>
    </row>
    <row r="509" customFormat="false" ht="15" hidden="false" customHeight="false" outlineLevel="0" collapsed="false">
      <c r="E509" s="54" t="n">
        <v>505</v>
      </c>
      <c r="F509" s="61" t="n">
        <v>0.770613</v>
      </c>
      <c r="G509" s="61" t="n">
        <v>0.569159</v>
      </c>
      <c r="H509" s="34" t="n">
        <f aca="false">NORMSINV(F509)</f>
        <v>0.740867141990646</v>
      </c>
      <c r="I509" s="34" t="n">
        <f aca="false">NORMSINV(G509)</f>
        <v>0.174233447798255</v>
      </c>
      <c r="J509" s="59" t="n">
        <f aca="false">mc_s0*EXP((mc_mu-mc_vol^2/2)*mc_t1+mc_vol*SQRT(mc_t1)*H509)</f>
        <v>1230.32701247061</v>
      </c>
      <c r="K509" s="59" t="n">
        <f aca="false">J509*EXP((mc_mu-mc_vol^2/2)*(mc_t2-mc_t1)+mc_vol*SQRT(mc_t2-mc_t1)*I509)</f>
        <v>1287.73479917781</v>
      </c>
      <c r="L509" s="31" t="n">
        <f aca="false">(t1_usd*J509+t2_usd*K509)/1000</f>
        <v>11058.9852057321</v>
      </c>
    </row>
    <row r="510" customFormat="false" ht="15" hidden="false" customHeight="false" outlineLevel="0" collapsed="false">
      <c r="E510" s="54" t="n">
        <v>506</v>
      </c>
      <c r="F510" s="61" t="n">
        <v>0.650454</v>
      </c>
      <c r="G510" s="61" t="n">
        <v>0.794246</v>
      </c>
      <c r="H510" s="34" t="n">
        <f aca="false">NORMSINV(F510)</f>
        <v>0.386546461488065</v>
      </c>
      <c r="I510" s="34" t="n">
        <f aca="false">NORMSINV(G510)</f>
        <v>0.821242768158303</v>
      </c>
      <c r="J510" s="59" t="n">
        <f aca="false">mc_s0*EXP((mc_mu-mc_vol^2/2)*mc_t1+mc_vol*SQRT(mc_t1)*H510)</f>
        <v>1189.38260872625</v>
      </c>
      <c r="K510" s="59" t="n">
        <f aca="false">J510*EXP((mc_mu-mc_vol^2/2)*(mc_t2-mc_t1)+mc_vol*SQRT(mc_t2-mc_t1)*I510)</f>
        <v>1378.51017461673</v>
      </c>
      <c r="L510" s="31" t="n">
        <f aca="false">(t1_usd*J510+t2_usd*K510)/1000</f>
        <v>10944.8475928555</v>
      </c>
    </row>
    <row r="511" customFormat="false" ht="15" hidden="false" customHeight="false" outlineLevel="0" collapsed="false">
      <c r="E511" s="54" t="n">
        <v>507</v>
      </c>
      <c r="F511" s="61" t="n">
        <v>0.661566</v>
      </c>
      <c r="G511" s="61" t="n">
        <v>0.124522</v>
      </c>
      <c r="H511" s="34" t="n">
        <f aca="false">NORMSINV(F511)</f>
        <v>0.416740810949052</v>
      </c>
      <c r="I511" s="34" t="n">
        <f aca="false">NORMSINV(G511)</f>
        <v>-1.15267452863419</v>
      </c>
      <c r="J511" s="59" t="n">
        <f aca="false">mc_s0*EXP((mc_mu-mc_vol^2/2)*mc_t1+mc_vol*SQRT(mc_t1)*H511)</f>
        <v>1192.81802972872</v>
      </c>
      <c r="K511" s="59" t="n">
        <f aca="false">J511*EXP((mc_mu-mc_vol^2/2)*(mc_t2-mc_t1)+mc_vol*SQRT(mc_t2-mc_t1)*I511)</f>
        <v>1012.89405471824</v>
      </c>
      <c r="L511" s="31" t="n">
        <f aca="false">(t1_usd*J511+t2_usd*K511)/1000</f>
        <v>10274.2249120657</v>
      </c>
    </row>
    <row r="512" customFormat="false" ht="15" hidden="false" customHeight="false" outlineLevel="0" collapsed="false">
      <c r="E512" s="54" t="n">
        <v>508</v>
      </c>
      <c r="F512" s="61" t="n">
        <v>0.719685</v>
      </c>
      <c r="G512" s="61" t="n">
        <v>0.790975</v>
      </c>
      <c r="H512" s="34" t="n">
        <f aca="false">NORMSINV(F512)</f>
        <v>0.581905998248869</v>
      </c>
      <c r="I512" s="34" t="n">
        <f aca="false">NORMSINV(G512)</f>
        <v>0.809808928940785</v>
      </c>
      <c r="J512" s="59" t="n">
        <f aca="false">mc_s0*EXP((mc_mu-mc_vol^2/2)*mc_t1+mc_vol*SQRT(mc_t1)*H512)</f>
        <v>1211.78637286256</v>
      </c>
      <c r="K512" s="59" t="n">
        <f aca="false">J512*EXP((mc_mu-mc_vol^2/2)*(mc_t2-mc_t1)+mc_vol*SQRT(mc_t2-mc_t1)*I512)</f>
        <v>1401.94799275918</v>
      </c>
      <c r="L512" s="31" t="n">
        <f aca="false">(t1_usd*J512+t2_usd*K512)/1000</f>
        <v>11146.2057962803</v>
      </c>
    </row>
    <row r="513" customFormat="false" ht="15" hidden="false" customHeight="false" outlineLevel="0" collapsed="false">
      <c r="E513" s="54" t="n">
        <v>509</v>
      </c>
      <c r="F513" s="61" t="n">
        <v>0.554659</v>
      </c>
      <c r="G513" s="61" t="n">
        <v>0.218272</v>
      </c>
      <c r="H513" s="34" t="n">
        <f aca="false">NORMSINV(F513)</f>
        <v>0.137441284940205</v>
      </c>
      <c r="I513" s="34" t="n">
        <f aca="false">NORMSINV(G513)</f>
        <v>-0.778042429934405</v>
      </c>
      <c r="J513" s="59" t="n">
        <f aca="false">mc_s0*EXP((mc_mu-mc_vol^2/2)*mc_t1+mc_vol*SQRT(mc_t1)*H513)</f>
        <v>1161.41510054461</v>
      </c>
      <c r="K513" s="59" t="n">
        <f aca="false">J513*EXP((mc_mu-mc_vol^2/2)*(mc_t2-mc_t1)+mc_vol*SQRT(mc_t2-mc_t1)*I513)</f>
        <v>1046.2074586019</v>
      </c>
      <c r="L513" s="31" t="n">
        <f aca="false">(t1_usd*J513+t2_usd*K513)/1000</f>
        <v>10117.6998751559</v>
      </c>
    </row>
    <row r="514" customFormat="false" ht="15" hidden="false" customHeight="false" outlineLevel="0" collapsed="false">
      <c r="E514" s="54" t="n">
        <v>510</v>
      </c>
      <c r="F514" s="61" t="n">
        <v>0.917382</v>
      </c>
      <c r="G514" s="61" t="n">
        <v>0.887622</v>
      </c>
      <c r="H514" s="34" t="n">
        <f aca="false">NORMSINV(F514)</f>
        <v>1.38767510503679</v>
      </c>
      <c r="I514" s="34" t="n">
        <f aca="false">NORMSINV(G514)</f>
        <v>1.21397832808578</v>
      </c>
      <c r="J514" s="59" t="n">
        <f aca="false">mc_s0*EXP((mc_mu-mc_vol^2/2)*mc_t1+mc_vol*SQRT(mc_t1)*H514)</f>
        <v>1308.73993476858</v>
      </c>
      <c r="K514" s="59" t="n">
        <f aca="false">J514*EXP((mc_mu-mc_vol^2/2)*(mc_t2-mc_t1)+mc_vol*SQRT(mc_t2-mc_t1)*I514)</f>
        <v>1613.69442130851</v>
      </c>
      <c r="L514" s="31" t="n">
        <f aca="false">(t1_usd*J514+t2_usd*K514)/1000</f>
        <v>12227.1989438662</v>
      </c>
    </row>
    <row r="515" customFormat="false" ht="15" hidden="false" customHeight="false" outlineLevel="0" collapsed="false">
      <c r="E515" s="54" t="n">
        <v>511</v>
      </c>
      <c r="F515" s="61" t="n">
        <v>0.850697</v>
      </c>
      <c r="G515" s="61" t="n">
        <v>0.058653</v>
      </c>
      <c r="H515" s="34" t="n">
        <f aca="false">NORMSINV(F515)</f>
        <v>1.03942741377353</v>
      </c>
      <c r="I515" s="34" t="n">
        <f aca="false">NORMSINV(G515)</f>
        <v>-1.56618206591476</v>
      </c>
      <c r="J515" s="59" t="n">
        <f aca="false">mc_s0*EXP((mc_mu-mc_vol^2/2)*mc_t1+mc_vol*SQRT(mc_t1)*H515)</f>
        <v>1265.92016229561</v>
      </c>
      <c r="K515" s="59" t="n">
        <f aca="false">J515*EXP((mc_mu-mc_vol^2/2)*(mc_t2-mc_t1)+mc_vol*SQRT(mc_t2-mc_t1)*I515)</f>
        <v>1007.15177000993</v>
      </c>
      <c r="L515" s="31" t="n">
        <f aca="false">(t1_usd*J515+t2_usd*K515)/1000</f>
        <v>10775.0294990882</v>
      </c>
    </row>
    <row r="516" customFormat="false" ht="15" hidden="false" customHeight="false" outlineLevel="0" collapsed="false">
      <c r="E516" s="54" t="n">
        <v>512</v>
      </c>
      <c r="F516" s="61" t="n">
        <v>0.354729</v>
      </c>
      <c r="G516" s="61" t="n">
        <v>0.636345</v>
      </c>
      <c r="H516" s="34" t="n">
        <f aca="false">NORMSINV(F516)</f>
        <v>-0.372584111390283</v>
      </c>
      <c r="I516" s="34" t="n">
        <f aca="false">NORMSINV(G516)</f>
        <v>0.348706052395061</v>
      </c>
      <c r="J516" s="59" t="n">
        <f aca="false">mc_s0*EXP((mc_mu-mc_vol^2/2)*mc_t1+mc_vol*SQRT(mc_t1)*H516)</f>
        <v>1106.18837672533</v>
      </c>
      <c r="K516" s="59" t="n">
        <f aca="false">J516*EXP((mc_mu-mc_vol^2/2)*(mc_t2-mc_t1)+mc_vol*SQRT(mc_t2-mc_t1)*I516)</f>
        <v>1190.08009840582</v>
      </c>
      <c r="L516" s="31" t="n">
        <f aca="false">(t1_usd*J516+t2_usd*K516)/1000</f>
        <v>10004.4708240483</v>
      </c>
    </row>
    <row r="517" customFormat="false" ht="15" hidden="false" customHeight="false" outlineLevel="0" collapsed="false">
      <c r="E517" s="54" t="n">
        <v>513</v>
      </c>
      <c r="F517" s="61" t="n">
        <v>0.881467</v>
      </c>
      <c r="G517" s="61" t="n">
        <v>0.229077</v>
      </c>
      <c r="H517" s="34" t="n">
        <f aca="false">NORMSINV(F517)</f>
        <v>1.18235215270327</v>
      </c>
      <c r="I517" s="34" t="n">
        <f aca="false">NORMSINV(G517)</f>
        <v>-0.741889975427093</v>
      </c>
      <c r="J517" s="59" t="n">
        <f aca="false">mc_s0*EXP((mc_mu-mc_vol^2/2)*mc_t1+mc_vol*SQRT(mc_t1)*H517)</f>
        <v>1283.32171332536</v>
      </c>
      <c r="K517" s="59" t="n">
        <f aca="false">J517*EXP((mc_mu-mc_vol^2/2)*(mc_t2-mc_t1)+mc_vol*SQRT(mc_t2-mc_t1)*I517)</f>
        <v>1162.62652500919</v>
      </c>
      <c r="L517" s="31" t="n">
        <f aca="false">(t1_usd*J517+t2_usd*K517)/1000</f>
        <v>11192.242390795</v>
      </c>
    </row>
    <row r="518" customFormat="false" ht="15" hidden="false" customHeight="false" outlineLevel="0" collapsed="false">
      <c r="E518" s="54" t="n">
        <v>514</v>
      </c>
      <c r="F518" s="61" t="n">
        <v>0.390052</v>
      </c>
      <c r="G518" s="61" t="n">
        <v>0.715808</v>
      </c>
      <c r="H518" s="34" t="n">
        <f aca="false">NORMSINV(F518)</f>
        <v>-0.279183507175566</v>
      </c>
      <c r="I518" s="34" t="n">
        <f aca="false">NORMSINV(G518)</f>
        <v>0.570433077697766</v>
      </c>
      <c r="J518" s="59" t="n">
        <f aca="false">mc_s0*EXP((mc_mu-mc_vol^2/2)*mc_t1+mc_vol*SQRT(mc_t1)*H518)</f>
        <v>1116.101804021</v>
      </c>
      <c r="K518" s="59" t="n">
        <f aca="false">J518*EXP((mc_mu-mc_vol^2/2)*(mc_t2-mc_t1)+mc_vol*SQRT(mc_t2-mc_t1)*I518)</f>
        <v>1243.44425807594</v>
      </c>
      <c r="L518" s="31" t="n">
        <f aca="false">(t1_usd*J518+t2_usd*K518)/1000</f>
        <v>10175.2567184913</v>
      </c>
    </row>
    <row r="519" customFormat="false" ht="15" hidden="false" customHeight="false" outlineLevel="0" collapsed="false">
      <c r="E519" s="54" t="n">
        <v>515</v>
      </c>
      <c r="F519" s="61" t="n">
        <v>0.582163</v>
      </c>
      <c r="G519" s="61" t="n">
        <v>0.40482</v>
      </c>
      <c r="H519" s="34" t="n">
        <f aca="false">NORMSINV(F519)</f>
        <v>0.207430071008938</v>
      </c>
      <c r="I519" s="34" t="n">
        <f aca="false">NORMSINV(G519)</f>
        <v>-0.240890480994072</v>
      </c>
      <c r="J519" s="59" t="n">
        <f aca="false">mc_s0*EXP((mc_mu-mc_vol^2/2)*mc_t1+mc_vol*SQRT(mc_t1)*H519)</f>
        <v>1169.20576909524</v>
      </c>
      <c r="K519" s="59" t="n">
        <f aca="false">J519*EXP((mc_mu-mc_vol^2/2)*(mc_t2-mc_t1)+mc_vol*SQRT(mc_t2-mc_t1)*I519)</f>
        <v>1146.26483629208</v>
      </c>
      <c r="L519" s="31" t="n">
        <f aca="false">(t1_usd*J519+t2_usd*K519)/1000</f>
        <v>10362.3435726216</v>
      </c>
    </row>
    <row r="520" customFormat="false" ht="15" hidden="false" customHeight="false" outlineLevel="0" collapsed="false">
      <c r="E520" s="54" t="n">
        <v>516</v>
      </c>
      <c r="F520" s="61" t="n">
        <v>0.494464</v>
      </c>
      <c r="G520" s="61" t="n">
        <v>0.020335</v>
      </c>
      <c r="H520" s="34" t="n">
        <f aca="false">NORMSINV(F520)</f>
        <v>-0.0138771395138511</v>
      </c>
      <c r="I520" s="34" t="n">
        <f aca="false">NORMSINV(G520)</f>
        <v>-2.04687865858963</v>
      </c>
      <c r="J520" s="59" t="n">
        <f aca="false">mc_s0*EXP((mc_mu-mc_vol^2/2)*mc_t1+mc_vol*SQRT(mc_t1)*H520)</f>
        <v>1144.7483632328</v>
      </c>
      <c r="K520" s="59" t="n">
        <f aca="false">J520*EXP((mc_mu-mc_vol^2/2)*(mc_t2-mc_t1)+mc_vol*SQRT(mc_t2-mc_t1)*I520)</f>
        <v>844.304039796074</v>
      </c>
      <c r="L520" s="31" t="n">
        <f aca="false">(t1_usd*J520+t2_usd*K520)/1000</f>
        <v>9617.41621824216</v>
      </c>
    </row>
    <row r="521" customFormat="false" ht="15" hidden="false" customHeight="false" outlineLevel="0" collapsed="false">
      <c r="E521" s="54" t="n">
        <v>517</v>
      </c>
      <c r="F521" s="61" t="n">
        <v>0.591655</v>
      </c>
      <c r="G521" s="61" t="n">
        <v>0.919602</v>
      </c>
      <c r="H521" s="34" t="n">
        <f aca="false">NORMSINV(F521)</f>
        <v>0.231804322014937</v>
      </c>
      <c r="I521" s="34" t="n">
        <f aca="false">NORMSINV(G521)</f>
        <v>1.40239944168759</v>
      </c>
      <c r="J521" s="59" t="n">
        <f aca="false">mc_s0*EXP((mc_mu-mc_vol^2/2)*mc_t1+mc_vol*SQRT(mc_t1)*H521)</f>
        <v>1171.93119361254</v>
      </c>
      <c r="K521" s="59" t="n">
        <f aca="false">J521*EXP((mc_mu-mc_vol^2/2)*(mc_t2-mc_t1)+mc_vol*SQRT(mc_t2-mc_t1)*I521)</f>
        <v>1488.55864054461</v>
      </c>
      <c r="L521" s="31" t="n">
        <f aca="false">(t1_usd*J521+t2_usd*K521)/1000</f>
        <v>11031.7797723225</v>
      </c>
    </row>
    <row r="522" customFormat="false" ht="15" hidden="false" customHeight="false" outlineLevel="0" collapsed="false">
      <c r="E522" s="54" t="n">
        <v>518</v>
      </c>
      <c r="F522" s="61" t="n">
        <v>0.030444</v>
      </c>
      <c r="G522" s="61" t="n">
        <v>0.691274</v>
      </c>
      <c r="H522" s="34" t="n">
        <f aca="false">NORMSINV(F522)</f>
        <v>-1.87430789485761</v>
      </c>
      <c r="I522" s="34" t="n">
        <f aca="false">NORMSINV(G522)</f>
        <v>0.499464769597403</v>
      </c>
      <c r="J522" s="59" t="n">
        <f aca="false">mc_s0*EXP((mc_mu-mc_vol^2/2)*mc_t1+mc_vol*SQRT(mc_t1)*H522)</f>
        <v>958.363260142697</v>
      </c>
      <c r="K522" s="59" t="n">
        <f aca="false">J522*EXP((mc_mu-mc_vol^2/2)*(mc_t2-mc_t1)+mc_vol*SQRT(mc_t2-mc_t1)*I522)</f>
        <v>1055.83356602467</v>
      </c>
      <c r="L522" s="31" t="n">
        <f aca="false">(t1_usd*J522+t2_usd*K522)/1000</f>
        <v>8714.62659644576</v>
      </c>
    </row>
    <row r="523" customFormat="false" ht="15" hidden="false" customHeight="false" outlineLevel="0" collapsed="false">
      <c r="E523" s="54" t="n">
        <v>519</v>
      </c>
      <c r="F523" s="61" t="n">
        <v>0.903335</v>
      </c>
      <c r="G523" s="61" t="n">
        <v>0.794167</v>
      </c>
      <c r="H523" s="34" t="n">
        <f aca="false">NORMSINV(F523)</f>
        <v>1.30079101001148</v>
      </c>
      <c r="I523" s="34" t="n">
        <f aca="false">NORMSINV(G523)</f>
        <v>0.820965359331132</v>
      </c>
      <c r="J523" s="59" t="n">
        <f aca="false">mc_s0*EXP((mc_mu-mc_vol^2/2)*mc_t1+mc_vol*SQRT(mc_t1)*H523)</f>
        <v>1297.9231312483</v>
      </c>
      <c r="K523" s="59" t="n">
        <f aca="false">J523*EXP((mc_mu-mc_vol^2/2)*(mc_t2-mc_t1)+mc_vol*SQRT(mc_t2-mc_t1)*I523)</f>
        <v>1504.24431220062</v>
      </c>
      <c r="L523" s="31" t="n">
        <f aca="false">(t1_usd*J523+t2_usd*K523)/1000</f>
        <v>11943.5261119193</v>
      </c>
    </row>
    <row r="524" customFormat="false" ht="15" hidden="false" customHeight="false" outlineLevel="0" collapsed="false">
      <c r="E524" s="54" t="n">
        <v>520</v>
      </c>
      <c r="F524" s="61" t="n">
        <v>0.354328</v>
      </c>
      <c r="G524" s="61" t="n">
        <v>0.18707</v>
      </c>
      <c r="H524" s="34" t="n">
        <f aca="false">NORMSINV(F524)</f>
        <v>-0.37366173157859</v>
      </c>
      <c r="I524" s="34" t="n">
        <f aca="false">NORMSINV(G524)</f>
        <v>-0.888745261666801</v>
      </c>
      <c r="J524" s="59" t="n">
        <f aca="false">mc_s0*EXP((mc_mu-mc_vol^2/2)*mc_t1+mc_vol*SQRT(mc_t1)*H524)</f>
        <v>1106.07451475188</v>
      </c>
      <c r="K524" s="59" t="n">
        <f aca="false">J524*EXP((mc_mu-mc_vol^2/2)*(mc_t2-mc_t1)+mc_vol*SQRT(mc_t2-mc_t1)*I524)</f>
        <v>979.12473482791</v>
      </c>
      <c r="L524" s="31" t="n">
        <f aca="false">(t1_usd*J524+t2_usd*K524)/1000</f>
        <v>9602.85859943621</v>
      </c>
    </row>
    <row r="525" customFormat="false" ht="15" hidden="false" customHeight="false" outlineLevel="0" collapsed="false">
      <c r="E525" s="54" t="n">
        <v>521</v>
      </c>
      <c r="F525" s="61" t="n">
        <v>0.979218</v>
      </c>
      <c r="G525" s="61" t="n">
        <v>0.594573</v>
      </c>
      <c r="H525" s="34" t="n">
        <f aca="false">NORMSINV(F525)</f>
        <v>2.03785935896677</v>
      </c>
      <c r="I525" s="34" t="n">
        <f aca="false">NORMSINV(G525)</f>
        <v>0.239324460099245</v>
      </c>
      <c r="J525" s="59" t="n">
        <f aca="false">mc_s0*EXP((mc_mu-mc_vol^2/2)*mc_t1+mc_vol*SQRT(mc_t1)*H525)</f>
        <v>1392.59943697161</v>
      </c>
      <c r="K525" s="59" t="n">
        <f aca="false">J525*EXP((mc_mu-mc_vol^2/2)*(mc_t2-mc_t1)+mc_vol*SQRT(mc_t2-mc_t1)*I525)</f>
        <v>1472.60760087136</v>
      </c>
      <c r="L525" s="31" t="n">
        <f aca="false">(t1_usd*J525+t2_usd*K525)/1000</f>
        <v>12546.1505004569</v>
      </c>
    </row>
    <row r="526" customFormat="false" ht="15" hidden="false" customHeight="false" outlineLevel="0" collapsed="false">
      <c r="E526" s="54" t="n">
        <v>522</v>
      </c>
      <c r="F526" s="61" t="n">
        <v>0.671831</v>
      </c>
      <c r="G526" s="61" t="n">
        <v>0.630364</v>
      </c>
      <c r="H526" s="34" t="n">
        <f aca="false">NORMSINV(F526)</f>
        <v>0.444974752244696</v>
      </c>
      <c r="I526" s="34" t="n">
        <f aca="false">NORMSINV(G526)</f>
        <v>0.332817562944594</v>
      </c>
      <c r="J526" s="59" t="n">
        <f aca="false">mc_s0*EXP((mc_mu-mc_vol^2/2)*mc_t1+mc_vol*SQRT(mc_t1)*H526)</f>
        <v>1196.03937833072</v>
      </c>
      <c r="K526" s="59" t="n">
        <f aca="false">J526*EXP((mc_mu-mc_vol^2/2)*(mc_t2-mc_t1)+mc_vol*SQRT(mc_t2-mc_t1)*I526)</f>
        <v>1283.52739545688</v>
      </c>
      <c r="L526" s="31" t="n">
        <f aca="false">(t1_usd*J526+t2_usd*K526)/1000</f>
        <v>10810.9776996831</v>
      </c>
    </row>
    <row r="527" customFormat="false" ht="15" hidden="false" customHeight="false" outlineLevel="0" collapsed="false">
      <c r="E527" s="54" t="n">
        <v>523</v>
      </c>
      <c r="F527" s="61" t="n">
        <v>0.578087</v>
      </c>
      <c r="G527" s="61" t="n">
        <v>0.569649</v>
      </c>
      <c r="H527" s="34" t="n">
        <f aca="false">NORMSINV(F527)</f>
        <v>0.197001965088689</v>
      </c>
      <c r="I527" s="34" t="n">
        <f aca="false">NORMSINV(G527)</f>
        <v>0.175480616818526</v>
      </c>
      <c r="J527" s="59" t="n">
        <f aca="false">mc_s0*EXP((mc_mu-mc_vol^2/2)*mc_t1+mc_vol*SQRT(mc_t1)*H527)</f>
        <v>1168.04167966526</v>
      </c>
      <c r="K527" s="59" t="n">
        <f aca="false">J527*EXP((mc_mu-mc_vol^2/2)*(mc_t2-mc_t1)+mc_vol*SQRT(mc_t2-mc_t1)*I527)</f>
        <v>1222.7835046758</v>
      </c>
      <c r="L527" s="31" t="n">
        <f aca="false">(t1_usd*J527+t2_usd*K527)/1000</f>
        <v>10499.5804165409</v>
      </c>
    </row>
    <row r="528" customFormat="false" ht="15" hidden="false" customHeight="false" outlineLevel="0" collapsed="false">
      <c r="E528" s="54" t="n">
        <v>524</v>
      </c>
      <c r="F528" s="61" t="n">
        <v>0.849539</v>
      </c>
      <c r="G528" s="61" t="n">
        <v>0.981985</v>
      </c>
      <c r="H528" s="34" t="n">
        <f aca="false">NORMSINV(F528)</f>
        <v>1.03445821787203</v>
      </c>
      <c r="I528" s="34" t="n">
        <f aca="false">NORMSINV(G528)</f>
        <v>2.09658870506354</v>
      </c>
      <c r="J528" s="59" t="n">
        <f aca="false">mc_s0*EXP((mc_mu-mc_vol^2/2)*mc_t1+mc_vol*SQRT(mc_t1)*H528)</f>
        <v>1265.31940975629</v>
      </c>
      <c r="K528" s="59" t="n">
        <f aca="false">J528*EXP((mc_mu-mc_vol^2/2)*(mc_t2-mc_t1)+mc_vol*SQRT(mc_t2-mc_t1)*I528)</f>
        <v>1792.98066422872</v>
      </c>
      <c r="L528" s="31" t="n">
        <f aca="false">(t1_usd*J528+t2_usd*K528)/1000</f>
        <v>12263.8991303286</v>
      </c>
    </row>
    <row r="529" customFormat="false" ht="15" hidden="false" customHeight="false" outlineLevel="0" collapsed="false">
      <c r="E529" s="54" t="n">
        <v>525</v>
      </c>
      <c r="F529" s="61" t="n">
        <v>0.295868</v>
      </c>
      <c r="G529" s="61" t="n">
        <v>0.911706</v>
      </c>
      <c r="H529" s="34" t="n">
        <f aca="false">NORMSINV(F529)</f>
        <v>-0.536322041199784</v>
      </c>
      <c r="I529" s="34" t="n">
        <f aca="false">NORMSINV(G529)</f>
        <v>1.35133545338578</v>
      </c>
      <c r="J529" s="59" t="n">
        <f aca="false">mc_s0*EXP((mc_mu-mc_vol^2/2)*mc_t1+mc_vol*SQRT(mc_t1)*H529)</f>
        <v>1089.02144293537</v>
      </c>
      <c r="K529" s="59" t="n">
        <f aca="false">J529*EXP((mc_mu-mc_vol^2/2)*(mc_t2-mc_t1)+mc_vol*SQRT(mc_t2-mc_t1)*I529)</f>
        <v>1372.16188246285</v>
      </c>
      <c r="L529" s="31" t="n">
        <f aca="false">(t1_usd*J529+t2_usd*K529)/1000</f>
        <v>10230.257677227</v>
      </c>
    </row>
    <row r="530" customFormat="false" ht="15" hidden="false" customHeight="false" outlineLevel="0" collapsed="false">
      <c r="E530" s="54" t="n">
        <v>526</v>
      </c>
      <c r="F530" s="61" t="n">
        <v>0.371296</v>
      </c>
      <c r="G530" s="61" t="n">
        <v>0.808199</v>
      </c>
      <c r="H530" s="34" t="n">
        <f aca="false">NORMSINV(F530)</f>
        <v>-0.328422808289576</v>
      </c>
      <c r="I530" s="34" t="n">
        <f aca="false">NORMSINV(G530)</f>
        <v>0.871278695676919</v>
      </c>
      <c r="J530" s="59" t="n">
        <f aca="false">mc_s0*EXP((mc_mu-mc_vol^2/2)*mc_t1+mc_vol*SQRT(mc_t1)*H530)</f>
        <v>1110.86458188498</v>
      </c>
      <c r="K530" s="59" t="n">
        <f aca="false">J530*EXP((mc_mu-mc_vol^2/2)*(mc_t2-mc_t1)+mc_vol*SQRT(mc_t2-mc_t1)*I530)</f>
        <v>1297.6992810237</v>
      </c>
      <c r="L530" s="31" t="n">
        <f aca="false">(t1_usd*J530+t2_usd*K530)/1000</f>
        <v>10241.6807071399</v>
      </c>
    </row>
    <row r="531" customFormat="false" ht="15" hidden="false" customHeight="false" outlineLevel="0" collapsed="false">
      <c r="E531" s="54" t="n">
        <v>527</v>
      </c>
      <c r="F531" s="61" t="n">
        <v>0.716671</v>
      </c>
      <c r="G531" s="61" t="n">
        <v>0.52922</v>
      </c>
      <c r="H531" s="34" t="n">
        <f aca="false">NORMSINV(F531)</f>
        <v>0.572980348239515</v>
      </c>
      <c r="I531" s="34" t="n">
        <f aca="false">NORMSINV(G531)</f>
        <v>0.073309289048373</v>
      </c>
      <c r="J531" s="59" t="n">
        <f aca="false">mc_s0*EXP((mc_mu-mc_vol^2/2)*mc_t1+mc_vol*SQRT(mc_t1)*H531)</f>
        <v>1210.75364227533</v>
      </c>
      <c r="K531" s="59" t="n">
        <f aca="false">J531*EXP((mc_mu-mc_vol^2/2)*(mc_t2-mc_t1)+mc_vol*SQRT(mc_t2-mc_t1)*I531)</f>
        <v>1247.25203194486</v>
      </c>
      <c r="L531" s="31" t="n">
        <f aca="false">(t1_usd*J531+t2_usd*K531)/1000</f>
        <v>10845.0543566225</v>
      </c>
    </row>
    <row r="532" customFormat="false" ht="15" hidden="false" customHeight="false" outlineLevel="0" collapsed="false">
      <c r="E532" s="54" t="n">
        <v>528</v>
      </c>
      <c r="F532" s="61" t="n">
        <v>0.15208</v>
      </c>
      <c r="G532" s="61" t="n">
        <v>0.724039</v>
      </c>
      <c r="H532" s="34" t="n">
        <f aca="false">NORMSINV(F532)</f>
        <v>-1.02755330256311</v>
      </c>
      <c r="I532" s="34" t="n">
        <f aca="false">NORMSINV(G532)</f>
        <v>0.594882523644403</v>
      </c>
      <c r="J532" s="59" t="n">
        <f aca="false">mc_s0*EXP((mc_mu-mc_vol^2/2)*mc_t1+mc_vol*SQRT(mc_t1)*H532)</f>
        <v>1039.10091515235</v>
      </c>
      <c r="K532" s="59" t="n">
        <f aca="false">J532*EXP((mc_mu-mc_vol^2/2)*(mc_t2-mc_t1)+mc_vol*SQRT(mc_t2-mc_t1)*I532)</f>
        <v>1162.12703346883</v>
      </c>
      <c r="L532" s="31" t="n">
        <f aca="false">(t1_usd*J532+t2_usd*K532)/1000</f>
        <v>9481.74776965723</v>
      </c>
    </row>
    <row r="533" customFormat="false" ht="15" hidden="false" customHeight="false" outlineLevel="0" collapsed="false">
      <c r="E533" s="54" t="n">
        <v>529</v>
      </c>
      <c r="F533" s="61" t="n">
        <v>0.133184</v>
      </c>
      <c r="G533" s="61" t="n">
        <v>0.193983</v>
      </c>
      <c r="H533" s="34" t="n">
        <f aca="false">NORMSINV(F533)</f>
        <v>-1.11146557484442</v>
      </c>
      <c r="I533" s="34" t="n">
        <f aca="false">NORMSINV(G533)</f>
        <v>-0.863311905725294</v>
      </c>
      <c r="J533" s="59" t="n">
        <f aca="false">mc_s0*EXP((mc_mu-mc_vol^2/2)*mc_t1+mc_vol*SQRT(mc_t1)*H533)</f>
        <v>1030.80527179758</v>
      </c>
      <c r="K533" s="59" t="n">
        <f aca="false">J533*EXP((mc_mu-mc_vol^2/2)*(mc_t2-mc_t1)+mc_vol*SQRT(mc_t2-mc_t1)*I533)</f>
        <v>916.159255087426</v>
      </c>
      <c r="L533" s="31" t="n">
        <f aca="false">(t1_usd*J533+t2_usd*K533)/1000</f>
        <v>8956.33948724914</v>
      </c>
    </row>
    <row r="534" customFormat="false" ht="15" hidden="false" customHeight="false" outlineLevel="0" collapsed="false">
      <c r="E534" s="54" t="n">
        <v>530</v>
      </c>
      <c r="F534" s="61" t="n">
        <v>0.070147</v>
      </c>
      <c r="G534" s="61" t="n">
        <v>0.537591</v>
      </c>
      <c r="H534" s="34" t="n">
        <f aca="false">NORMSINV(F534)</f>
        <v>-1.47469708551205</v>
      </c>
      <c r="I534" s="34" t="n">
        <f aca="false">NORMSINV(G534)</f>
        <v>0.0943665329202686</v>
      </c>
      <c r="J534" s="59" t="n">
        <f aca="false">mc_s0*EXP((mc_mu-mc_vol^2/2)*mc_t1+mc_vol*SQRT(mc_t1)*H534)</f>
        <v>995.652962459223</v>
      </c>
      <c r="K534" s="59" t="n">
        <f aca="false">J534*EXP((mc_mu-mc_vol^2/2)*(mc_t2-mc_t1)+mc_vol*SQRT(mc_t2-mc_t1)*I534)</f>
        <v>1029.07641073546</v>
      </c>
      <c r="L534" s="31" t="n">
        <f aca="false">(t1_usd*J534+t2_usd*K534)/1000</f>
        <v>8924.81591761193</v>
      </c>
    </row>
    <row r="535" customFormat="false" ht="15" hidden="false" customHeight="false" outlineLevel="0" collapsed="false">
      <c r="E535" s="54" t="n">
        <v>531</v>
      </c>
      <c r="F535" s="61" t="n">
        <v>0.378743</v>
      </c>
      <c r="G535" s="61" t="n">
        <v>0.151456</v>
      </c>
      <c r="H535" s="34" t="n">
        <f aca="false">NORMSINV(F535)</f>
        <v>-0.308783790906049</v>
      </c>
      <c r="I535" s="34" t="n">
        <f aca="false">NORMSINV(G535)</f>
        <v>-1.03020879925158</v>
      </c>
      <c r="J535" s="59" t="n">
        <f aca="false">mc_s0*EXP((mc_mu-mc_vol^2/2)*mc_t1+mc_vol*SQRT(mc_t1)*H535)</f>
        <v>1112.95048700222</v>
      </c>
      <c r="K535" s="59" t="n">
        <f aca="false">J535*EXP((mc_mu-mc_vol^2/2)*(mc_t2-mc_t1)+mc_vol*SQRT(mc_t2-mc_t1)*I535)</f>
        <v>963.49053535037</v>
      </c>
      <c r="L535" s="31" t="n">
        <f aca="false">(t1_usd*J535+t2_usd*K535)/1000</f>
        <v>9621.28542618122</v>
      </c>
    </row>
    <row r="536" customFormat="false" ht="15" hidden="false" customHeight="false" outlineLevel="0" collapsed="false">
      <c r="E536" s="54" t="n">
        <v>532</v>
      </c>
      <c r="F536" s="61" t="n">
        <v>0.499019</v>
      </c>
      <c r="G536" s="61" t="n">
        <v>0.216148</v>
      </c>
      <c r="H536" s="34" t="n">
        <f aca="false">NORMSINV(F536)</f>
        <v>-0.00245900481555678</v>
      </c>
      <c r="I536" s="34" t="n">
        <f aca="false">NORMSINV(G536)</f>
        <v>-0.785268773829866</v>
      </c>
      <c r="J536" s="59" t="n">
        <f aca="false">mc_s0*EXP((mc_mu-mc_vol^2/2)*mc_t1+mc_vol*SQRT(mc_t1)*H536)</f>
        <v>1145.99761020187</v>
      </c>
      <c r="K536" s="59" t="n">
        <f aca="false">J536*EXP((mc_mu-mc_vol^2/2)*(mc_t2-mc_t1)+mc_vol*SQRT(mc_t2-mc_t1)*I536)</f>
        <v>1031.14436096642</v>
      </c>
      <c r="L536" s="31" t="n">
        <f aca="false">(t1_usd*J536+t2_usd*K536)/1000</f>
        <v>9981.15755724929</v>
      </c>
    </row>
    <row r="537" customFormat="false" ht="15" hidden="false" customHeight="false" outlineLevel="0" collapsed="false">
      <c r="E537" s="54" t="n">
        <v>533</v>
      </c>
      <c r="F537" s="61" t="n">
        <v>0.585647</v>
      </c>
      <c r="G537" s="61" t="n">
        <v>0.36259</v>
      </c>
      <c r="H537" s="34" t="n">
        <f aca="false">NORMSINV(F537)</f>
        <v>0.216361466700531</v>
      </c>
      <c r="I537" s="34" t="n">
        <f aca="false">NORMSINV(G537)</f>
        <v>-0.351544358569063</v>
      </c>
      <c r="J537" s="59" t="n">
        <f aca="false">mc_s0*EXP((mc_mu-mc_vol^2/2)*mc_t1+mc_vol*SQRT(mc_t1)*H537)</f>
        <v>1170.20370305468</v>
      </c>
      <c r="K537" s="59" t="n">
        <f aca="false">J537*EXP((mc_mu-mc_vol^2/2)*(mc_t2-mc_t1)+mc_vol*SQRT(mc_t2-mc_t1)*I537)</f>
        <v>1127.41064604325</v>
      </c>
      <c r="L537" s="31" t="n">
        <f aca="false">(t1_usd*J537+t2_usd*K537)/1000</f>
        <v>10333.5061488649</v>
      </c>
    </row>
    <row r="538" customFormat="false" ht="15" hidden="false" customHeight="false" outlineLevel="0" collapsed="false">
      <c r="E538" s="54" t="n">
        <v>534</v>
      </c>
      <c r="F538" s="61" t="n">
        <v>0.574351</v>
      </c>
      <c r="G538" s="61" t="n">
        <v>0.204395</v>
      </c>
      <c r="H538" s="34" t="n">
        <f aca="false">NORMSINV(F538)</f>
        <v>0.187462529476147</v>
      </c>
      <c r="I538" s="34" t="n">
        <f aca="false">NORMSINV(G538)</f>
        <v>-0.826024841936556</v>
      </c>
      <c r="J538" s="59" t="n">
        <f aca="false">mc_s0*EXP((mc_mu-mc_vol^2/2)*mc_t1+mc_vol*SQRT(mc_t1)*H538)</f>
        <v>1166.97780757925</v>
      </c>
      <c r="K538" s="59" t="n">
        <f aca="false">J538*EXP((mc_mu-mc_vol^2/2)*(mc_t2-mc_t1)+mc_vol*SQRT(mc_t2-mc_t1)*I538)</f>
        <v>1043.29934631758</v>
      </c>
      <c r="L538" s="31" t="n">
        <f aca="false">(t1_usd*J538+t2_usd*K538)/1000</f>
        <v>10151.1134110582</v>
      </c>
    </row>
    <row r="539" customFormat="false" ht="15" hidden="false" customHeight="false" outlineLevel="0" collapsed="false">
      <c r="E539" s="54" t="n">
        <v>535</v>
      </c>
      <c r="F539" s="61" t="n">
        <v>0.775643</v>
      </c>
      <c r="G539" s="61" t="n">
        <v>0.062251</v>
      </c>
      <c r="H539" s="34" t="n">
        <f aca="false">NORMSINV(F539)</f>
        <v>0.757560724587936</v>
      </c>
      <c r="I539" s="34" t="n">
        <f aca="false">NORMSINV(G539)</f>
        <v>-1.53614835113157</v>
      </c>
      <c r="J539" s="59" t="n">
        <f aca="false">mc_s0*EXP((mc_mu-mc_vol^2/2)*mc_t1+mc_vol*SQRT(mc_t1)*H539)</f>
        <v>1232.29047524157</v>
      </c>
      <c r="K539" s="59" t="n">
        <f aca="false">J539*EXP((mc_mu-mc_vol^2/2)*(mc_t2-mc_t1)+mc_vol*SQRT(mc_t2-mc_t1)*I539)</f>
        <v>985.047693175443</v>
      </c>
      <c r="L539" s="31" t="n">
        <f aca="false">(t1_usd*J539+t2_usd*K539)/1000</f>
        <v>10497.6239437243</v>
      </c>
    </row>
    <row r="540" customFormat="false" ht="15" hidden="false" customHeight="false" outlineLevel="0" collapsed="false">
      <c r="E540" s="54" t="n">
        <v>536</v>
      </c>
      <c r="F540" s="61" t="n">
        <v>0.529139</v>
      </c>
      <c r="G540" s="61" t="n">
        <v>0.835856</v>
      </c>
      <c r="H540" s="34" t="n">
        <f aca="false">NORMSINV(F540)</f>
        <v>0.0731057073565211</v>
      </c>
      <c r="I540" s="34" t="n">
        <f aca="false">NORMSINV(G540)</f>
        <v>0.977568061760543</v>
      </c>
      <c r="J540" s="59" t="n">
        <f aca="false">mc_s0*EXP((mc_mu-mc_vol^2/2)*mc_t1+mc_vol*SQRT(mc_t1)*H540)</f>
        <v>1154.29950710158</v>
      </c>
      <c r="K540" s="59" t="n">
        <f aca="false">J540*EXP((mc_mu-mc_vol^2/2)*(mc_t2-mc_t1)+mc_vol*SQRT(mc_t2-mc_t1)*I540)</f>
        <v>1371.2167054258</v>
      </c>
      <c r="L540" s="31" t="n">
        <f aca="false">(t1_usd*J540+t2_usd*K540)/1000</f>
        <v>10685.4082900201</v>
      </c>
    </row>
    <row r="541" customFormat="false" ht="15" hidden="false" customHeight="false" outlineLevel="0" collapsed="false">
      <c r="E541" s="54" t="n">
        <v>537</v>
      </c>
      <c r="F541" s="61" t="n">
        <v>0.09287</v>
      </c>
      <c r="G541" s="61" t="n">
        <v>0.57834</v>
      </c>
      <c r="H541" s="34" t="n">
        <f aca="false">NORMSINV(F541)</f>
        <v>-1.32328685928308</v>
      </c>
      <c r="I541" s="34" t="n">
        <f aca="false">NORMSINV(G541)</f>
        <v>0.197648609581405</v>
      </c>
      <c r="J541" s="59" t="n">
        <f aca="false">mc_s0*EXP((mc_mu-mc_vol^2/2)*mc_t1+mc_vol*SQRT(mc_t1)*H541)</f>
        <v>1010.15783296446</v>
      </c>
      <c r="K541" s="59" t="n">
        <f aca="false">J541*EXP((mc_mu-mc_vol^2/2)*(mc_t2-mc_t1)+mc_vol*SQRT(mc_t2-mc_t1)*I541)</f>
        <v>1061.20108588005</v>
      </c>
      <c r="L541" s="31" t="n">
        <f aca="false">(t1_usd*J541+t2_usd*K541)/1000</f>
        <v>9087.38689392329</v>
      </c>
    </row>
    <row r="542" customFormat="false" ht="15" hidden="false" customHeight="false" outlineLevel="0" collapsed="false">
      <c r="E542" s="54" t="n">
        <v>538</v>
      </c>
      <c r="F542" s="61" t="n">
        <v>0.337237</v>
      </c>
      <c r="G542" s="61" t="n">
        <v>0.497163</v>
      </c>
      <c r="H542" s="34" t="n">
        <f aca="false">NORMSINV(F542)</f>
        <v>-0.420015678763626</v>
      </c>
      <c r="I542" s="34" t="n">
        <f aca="false">NORMSINV(G542)</f>
        <v>-0.007111364353404</v>
      </c>
      <c r="J542" s="59" t="n">
        <f aca="false">mc_s0*EXP((mc_mu-mc_vol^2/2)*mc_t1+mc_vol*SQRT(mc_t1)*H542)</f>
        <v>1101.18780869992</v>
      </c>
      <c r="K542" s="59" t="n">
        <f aca="false">J542*EXP((mc_mu-mc_vol^2/2)*(mc_t2-mc_t1)+mc_vol*SQRT(mc_t2-mc_t1)*I542)</f>
        <v>1120.09714882838</v>
      </c>
      <c r="L542" s="31" t="n">
        <f aca="false">(t1_usd*J542+t2_usd*K542)/1000</f>
        <v>9836.49924367334</v>
      </c>
    </row>
    <row r="543" customFormat="false" ht="15" hidden="false" customHeight="false" outlineLevel="0" collapsed="false">
      <c r="E543" s="54" t="n">
        <v>539</v>
      </c>
      <c r="F543" s="61" t="n">
        <v>0.067637</v>
      </c>
      <c r="G543" s="61" t="n">
        <v>0.992754</v>
      </c>
      <c r="H543" s="34" t="n">
        <f aca="false">NORMSINV(F543)</f>
        <v>-1.49362370509606</v>
      </c>
      <c r="I543" s="34" t="n">
        <f aca="false">NORMSINV(G543)</f>
        <v>2.44483107914458</v>
      </c>
      <c r="J543" s="59" t="n">
        <f aca="false">mc_s0*EXP((mc_mu-mc_vol^2/2)*mc_t1+mc_vol*SQRT(mc_t1)*H543)</f>
        <v>993.854527372506</v>
      </c>
      <c r="K543" s="59" t="n">
        <f aca="false">J543*EXP((mc_mu-mc_vol^2/2)*(mc_t2-mc_t1)+mc_vol*SQRT(mc_t2-mc_t1)*I543)</f>
        <v>1487.75908559205</v>
      </c>
      <c r="L543" s="31" t="n">
        <f aca="false">(t1_usd*J543+t2_usd*K543)/1000</f>
        <v>9783.72395423244</v>
      </c>
    </row>
    <row r="544" customFormat="false" ht="15" hidden="false" customHeight="false" outlineLevel="0" collapsed="false">
      <c r="E544" s="54" t="n">
        <v>540</v>
      </c>
      <c r="F544" s="61" t="n">
        <v>0.78452</v>
      </c>
      <c r="G544" s="61" t="n">
        <v>0.62188</v>
      </c>
      <c r="H544" s="34" t="n">
        <f aca="false">NORMSINV(F544)</f>
        <v>0.787549950408003</v>
      </c>
      <c r="I544" s="34" t="n">
        <f aca="false">NORMSINV(G544)</f>
        <v>0.310422087212042</v>
      </c>
      <c r="J544" s="59" t="n">
        <f aca="false">mc_s0*EXP((mc_mu-mc_vol^2/2)*mc_t1+mc_vol*SQRT(mc_t1)*H544)</f>
        <v>1235.8256166833</v>
      </c>
      <c r="K544" s="59" t="n">
        <f aca="false">J544*EXP((mc_mu-mc_vol^2/2)*(mc_t2-mc_t1)+mc_vol*SQRT(mc_t2-mc_t1)*I544)</f>
        <v>1321.55143107386</v>
      </c>
      <c r="L544" s="31" t="n">
        <f aca="false">(t1_usd*J544+t2_usd*K544)/1000</f>
        <v>11161.7270358234</v>
      </c>
    </row>
    <row r="545" customFormat="false" ht="15" hidden="false" customHeight="false" outlineLevel="0" collapsed="false">
      <c r="E545" s="54" t="n">
        <v>541</v>
      </c>
      <c r="F545" s="61" t="n">
        <v>0.595649</v>
      </c>
      <c r="G545" s="61" t="n">
        <v>0.68025</v>
      </c>
      <c r="H545" s="34" t="n">
        <f aca="false">NORMSINV(F545)</f>
        <v>0.242100875278504</v>
      </c>
      <c r="I545" s="34" t="n">
        <f aca="false">NORMSINV(G545)</f>
        <v>0.468397997222578</v>
      </c>
      <c r="J545" s="59" t="n">
        <f aca="false">mc_s0*EXP((mc_mu-mc_vol^2/2)*mc_t1+mc_vol*SQRT(mc_t1)*H545)</f>
        <v>1173.084418025</v>
      </c>
      <c r="K545" s="59" t="n">
        <f aca="false">J545*EXP((mc_mu-mc_vol^2/2)*(mc_t2-mc_t1)+mc_vol*SQRT(mc_t2-mc_t1)*I545)</f>
        <v>1286.08095458539</v>
      </c>
      <c r="L545" s="31" t="n">
        <f aca="false">(t1_usd*J545+t2_usd*K545)/1000</f>
        <v>10655.1447398872</v>
      </c>
    </row>
    <row r="546" customFormat="false" ht="15" hidden="false" customHeight="false" outlineLevel="0" collapsed="false">
      <c r="E546" s="54" t="n">
        <v>542</v>
      </c>
      <c r="F546" s="61" t="n">
        <v>0.326074</v>
      </c>
      <c r="G546" s="61" t="n">
        <v>0.473639</v>
      </c>
      <c r="H546" s="34" t="n">
        <f aca="false">NORMSINV(F546)</f>
        <v>-0.450780162687064</v>
      </c>
      <c r="I546" s="34" t="n">
        <f aca="false">NORMSINV(G546)</f>
        <v>-0.0661253859669301</v>
      </c>
      <c r="J546" s="59" t="n">
        <f aca="false">mc_s0*EXP((mc_mu-mc_vol^2/2)*mc_t1+mc_vol*SQRT(mc_t1)*H546)</f>
        <v>1097.95649365382</v>
      </c>
      <c r="K546" s="59" t="n">
        <f aca="false">J546*EXP((mc_mu-mc_vol^2/2)*(mc_t2-mc_t1)+mc_vol*SQRT(mc_t2-mc_t1)*I546)</f>
        <v>1106.47192660442</v>
      </c>
      <c r="L546" s="31" t="n">
        <f aca="false">(t1_usd*J546+t2_usd*K546)/1000</f>
        <v>9787.99211612511</v>
      </c>
    </row>
    <row r="547" customFormat="false" ht="15" hidden="false" customHeight="false" outlineLevel="0" collapsed="false">
      <c r="E547" s="54" t="n">
        <v>543</v>
      </c>
      <c r="F547" s="61" t="n">
        <v>0.951638</v>
      </c>
      <c r="G547" s="61" t="n">
        <v>0.364997</v>
      </c>
      <c r="H547" s="34" t="n">
        <f aca="false">NORMSINV(F547)</f>
        <v>1.66094745627022</v>
      </c>
      <c r="I547" s="34" t="n">
        <f aca="false">NORMSINV(G547)</f>
        <v>-0.345133512824027</v>
      </c>
      <c r="J547" s="59" t="n">
        <f aca="false">mc_s0*EXP((mc_mu-mc_vol^2/2)*mc_t1+mc_vol*SQRT(mc_t1)*H547)</f>
        <v>1343.35267416162</v>
      </c>
      <c r="K547" s="59" t="n">
        <f aca="false">J547*EXP((mc_mu-mc_vol^2/2)*(mc_t2-mc_t1)+mc_vol*SQRT(mc_t2-mc_t1)*I547)</f>
        <v>1295.53597691222</v>
      </c>
      <c r="L547" s="31" t="n">
        <f aca="false">(t1_usd*J547+t2_usd*K547)/1000</f>
        <v>11864.9870752646</v>
      </c>
    </row>
    <row r="548" customFormat="false" ht="15" hidden="false" customHeight="false" outlineLevel="0" collapsed="false">
      <c r="E548" s="54" t="n">
        <v>544</v>
      </c>
      <c r="F548" s="61" t="n">
        <v>0.778158</v>
      </c>
      <c r="G548" s="61" t="n">
        <v>0.795876</v>
      </c>
      <c r="H548" s="34" t="n">
        <f aca="false">NORMSINV(F548)</f>
        <v>0.765987062877196</v>
      </c>
      <c r="I548" s="34" t="n">
        <f aca="false">NORMSINV(G548)</f>
        <v>0.826980701289513</v>
      </c>
      <c r="J548" s="59" t="n">
        <f aca="false">mc_s0*EXP((mc_mu-mc_vol^2/2)*mc_t1+mc_vol*SQRT(mc_t1)*H548)</f>
        <v>1233.28275247336</v>
      </c>
      <c r="K548" s="59" t="n">
        <f aca="false">J548*EXP((mc_mu-mc_vol^2/2)*(mc_t2-mc_t1)+mc_vol*SQRT(mc_t2-mc_t1)*I548)</f>
        <v>1430.68414646458</v>
      </c>
      <c r="L548" s="31" t="n">
        <f aca="false">(t1_usd*J548+t2_usd*K548)/1000</f>
        <v>11351.2791455962</v>
      </c>
    </row>
    <row r="549" customFormat="false" ht="15" hidden="false" customHeight="false" outlineLevel="0" collapsed="false">
      <c r="E549" s="54" t="n">
        <v>545</v>
      </c>
      <c r="F549" s="61" t="n">
        <v>0.857088</v>
      </c>
      <c r="G549" s="61" t="n">
        <v>0.411027</v>
      </c>
      <c r="H549" s="34" t="n">
        <f aca="false">NORMSINV(F549)</f>
        <v>1.06732744290699</v>
      </c>
      <c r="I549" s="34" t="n">
        <f aca="false">NORMSINV(G549)</f>
        <v>-0.224903945318803</v>
      </c>
      <c r="J549" s="59" t="n">
        <f aca="false">mc_s0*EXP((mc_mu-mc_vol^2/2)*mc_t1+mc_vol*SQRT(mc_t1)*H549)</f>
        <v>1269.29844560184</v>
      </c>
      <c r="K549" s="59" t="n">
        <f aca="false">J549*EXP((mc_mu-mc_vol^2/2)*(mc_t2-mc_t1)+mc_vol*SQRT(mc_t2-mc_t1)*I549)</f>
        <v>1247.5326385526</v>
      </c>
      <c r="L549" s="31" t="n">
        <f aca="false">(t1_usd*J549+t2_usd*K549)/1000</f>
        <v>11255.4011324628</v>
      </c>
    </row>
    <row r="550" customFormat="false" ht="15" hidden="false" customHeight="false" outlineLevel="0" collapsed="false">
      <c r="E550" s="54" t="n">
        <v>546</v>
      </c>
      <c r="F550" s="61" t="n">
        <v>0.441858</v>
      </c>
      <c r="G550" s="61" t="n">
        <v>0.95001</v>
      </c>
      <c r="H550" s="34" t="n">
        <f aca="false">NORMSINV(F550)</f>
        <v>-0.146260179378448</v>
      </c>
      <c r="I550" s="34" t="n">
        <f aca="false">NORMSINV(G550)</f>
        <v>1.64495059437696</v>
      </c>
      <c r="J550" s="59" t="n">
        <f aca="false">mc_s0*EXP((mc_mu-mc_vol^2/2)*mc_t1+mc_vol*SQRT(mc_t1)*H550)</f>
        <v>1130.3635054758</v>
      </c>
      <c r="K550" s="59" t="n">
        <f aca="false">J550*EXP((mc_mu-mc_vol^2/2)*(mc_t2-mc_t1)+mc_vol*SQRT(mc_t2-mc_t1)*I550)</f>
        <v>1491.70385712642</v>
      </c>
      <c r="L550" s="31" t="n">
        <f aca="false">(t1_usd*J550+t2_usd*K550)/1000</f>
        <v>10746.7818668708</v>
      </c>
    </row>
    <row r="551" customFormat="false" ht="15" hidden="false" customHeight="false" outlineLevel="0" collapsed="false">
      <c r="E551" s="54" t="n">
        <v>547</v>
      </c>
      <c r="F551" s="61" t="n">
        <v>0.074314</v>
      </c>
      <c r="G551" s="61" t="n">
        <v>0.628961</v>
      </c>
      <c r="H551" s="34" t="n">
        <f aca="false">NORMSINV(F551)</f>
        <v>-1.4443946314566</v>
      </c>
      <c r="I551" s="34" t="n">
        <f aca="false">NORMSINV(G551)</f>
        <v>0.329102784031132</v>
      </c>
      <c r="J551" s="59" t="n">
        <f aca="false">mc_s0*EXP((mc_mu-mc_vol^2/2)*mc_t1+mc_vol*SQRT(mc_t1)*H551)</f>
        <v>998.539124699272</v>
      </c>
      <c r="K551" s="59" t="n">
        <f aca="false">J551*EXP((mc_mu-mc_vol^2/2)*(mc_t2-mc_t1)+mc_vol*SQRT(mc_t2-mc_t1)*I551)</f>
        <v>1070.95322686143</v>
      </c>
      <c r="L551" s="31" t="n">
        <f aca="false">(t1_usd*J551+t2_usd*K551)/1000</f>
        <v>9024.58500393162</v>
      </c>
    </row>
    <row r="552" customFormat="false" ht="15" hidden="false" customHeight="false" outlineLevel="0" collapsed="false">
      <c r="E552" s="54" t="n">
        <v>548</v>
      </c>
      <c r="F552" s="61" t="n">
        <v>0.971104</v>
      </c>
      <c r="G552" s="61" t="n">
        <v>0.878602</v>
      </c>
      <c r="H552" s="34" t="n">
        <f aca="false">NORMSINV(F552)</f>
        <v>1.89727236743297</v>
      </c>
      <c r="I552" s="34" t="n">
        <f aca="false">NORMSINV(G552)</f>
        <v>1.16802668786135</v>
      </c>
      <c r="J552" s="59" t="n">
        <f aca="false">mc_s0*EXP((mc_mu-mc_vol^2/2)*mc_t1+mc_vol*SQRT(mc_t1)*H552)</f>
        <v>1374.02290055404</v>
      </c>
      <c r="K552" s="59" t="n">
        <f aca="false">J552*EXP((mc_mu-mc_vol^2/2)*(mc_t2-mc_t1)+mc_vol*SQRT(mc_t2-mc_t1)*I552)</f>
        <v>1681.96478368677</v>
      </c>
      <c r="L552" s="31" t="n">
        <f aca="false">(t1_usd*J552+t2_usd*K552)/1000</f>
        <v>12813.8933928832</v>
      </c>
    </row>
    <row r="553" customFormat="false" ht="15" hidden="false" customHeight="false" outlineLevel="0" collapsed="false">
      <c r="E553" s="54" t="n">
        <v>549</v>
      </c>
      <c r="F553" s="61" t="n">
        <v>0.312132</v>
      </c>
      <c r="G553" s="61" t="n">
        <v>0.397609</v>
      </c>
      <c r="H553" s="34" t="n">
        <f aca="false">NORMSINV(F553)</f>
        <v>-0.489816152123589</v>
      </c>
      <c r="I553" s="34" t="n">
        <f aca="false">NORMSINV(G553)</f>
        <v>-0.25954080821321</v>
      </c>
      <c r="J553" s="59" t="n">
        <f aca="false">mc_s0*EXP((mc_mu-mc_vol^2/2)*mc_t1+mc_vol*SQRT(mc_t1)*H553)</f>
        <v>1093.87003488594</v>
      </c>
      <c r="K553" s="59" t="n">
        <f aca="false">J553*EXP((mc_mu-mc_vol^2/2)*(mc_t2-mc_t1)+mc_vol*SQRT(mc_t2-mc_t1)*I553)</f>
        <v>1069.25990703135</v>
      </c>
      <c r="L553" s="31" t="n">
        <f aca="false">(t1_usd*J553+t2_usd*K553)/1000</f>
        <v>9688.68406756114</v>
      </c>
    </row>
    <row r="554" customFormat="false" ht="15" hidden="false" customHeight="false" outlineLevel="0" collapsed="false">
      <c r="E554" s="54" t="n">
        <v>550</v>
      </c>
      <c r="F554" s="61" t="n">
        <v>0.298059</v>
      </c>
      <c r="G554" s="61" t="n">
        <v>0.708934</v>
      </c>
      <c r="H554" s="34" t="n">
        <f aca="false">NORMSINV(F554)</f>
        <v>-0.529991246378311</v>
      </c>
      <c r="I554" s="34" t="n">
        <f aca="false">NORMSINV(G554)</f>
        <v>0.550273204570145</v>
      </c>
      <c r="J554" s="59" t="n">
        <f aca="false">mc_s0*EXP((mc_mu-mc_vol^2/2)*mc_t1+mc_vol*SQRT(mc_t1)*H554)</f>
        <v>1089.68021055143</v>
      </c>
      <c r="K554" s="59" t="n">
        <f aca="false">J554*EXP((mc_mu-mc_vol^2/2)*(mc_t2-mc_t1)+mc_vol*SQRT(mc_t2-mc_t1)*I554)</f>
        <v>1210.15721879598</v>
      </c>
      <c r="L554" s="31" t="n">
        <f aca="false">(t1_usd*J554+t2_usd*K554)/1000</f>
        <v>9927.0601895724</v>
      </c>
    </row>
    <row r="555" customFormat="false" ht="15" hidden="false" customHeight="false" outlineLevel="0" collapsed="false">
      <c r="E555" s="54" t="n">
        <v>551</v>
      </c>
      <c r="F555" s="61" t="n">
        <v>0.619055</v>
      </c>
      <c r="G555" s="61" t="n">
        <v>0.371264</v>
      </c>
      <c r="H555" s="34" t="n">
        <f aca="false">NORMSINV(F555)</f>
        <v>0.302999818390253</v>
      </c>
      <c r="I555" s="34" t="n">
        <f aca="false">NORMSINV(G555)</f>
        <v>-0.328507466247125</v>
      </c>
      <c r="J555" s="59" t="n">
        <f aca="false">mc_s0*EXP((mc_mu-mc_vol^2/2)*mc_t1+mc_vol*SQRT(mc_t1)*H555)</f>
        <v>1179.92840348393</v>
      </c>
      <c r="K555" s="59" t="n">
        <f aca="false">J555*EXP((mc_mu-mc_vol^2/2)*(mc_t2-mc_t1)+mc_vol*SQRT(mc_t2-mc_t1)*I555)</f>
        <v>1140.91425604425</v>
      </c>
      <c r="L555" s="31" t="n">
        <f aca="false">(t1_usd*J555+t2_usd*K555)/1000</f>
        <v>10427.2359108716</v>
      </c>
    </row>
    <row r="556" customFormat="false" ht="15" hidden="false" customHeight="false" outlineLevel="0" collapsed="false">
      <c r="E556" s="54" t="n">
        <v>552</v>
      </c>
      <c r="F556" s="61" t="n">
        <v>0.618595</v>
      </c>
      <c r="G556" s="61" t="n">
        <v>0.34012</v>
      </c>
      <c r="H556" s="34" t="n">
        <f aca="false">NORMSINV(F556)</f>
        <v>0.301792826085346</v>
      </c>
      <c r="I556" s="34" t="n">
        <f aca="false">NORMSINV(G556)</f>
        <v>-0.412135649870881</v>
      </c>
      <c r="J556" s="59" t="n">
        <f aca="false">mc_s0*EXP((mc_mu-mc_vol^2/2)*mc_t1+mc_vol*SQRT(mc_t1)*H556)</f>
        <v>1179.79237139398</v>
      </c>
      <c r="K556" s="59" t="n">
        <f aca="false">J556*EXP((mc_mu-mc_vol^2/2)*(mc_t2-mc_t1)+mc_vol*SQRT(mc_t2-mc_t1)*I556)</f>
        <v>1125.84671925598</v>
      </c>
      <c r="L556" s="31" t="n">
        <f aca="false">(t1_usd*J556+t2_usd*K556)/1000</f>
        <v>10397.6553663442</v>
      </c>
    </row>
    <row r="557" customFormat="false" ht="15" hidden="false" customHeight="false" outlineLevel="0" collapsed="false">
      <c r="E557" s="54" t="n">
        <v>553</v>
      </c>
      <c r="F557" s="61" t="n">
        <v>0.772506</v>
      </c>
      <c r="G557" s="61" t="n">
        <v>0.921056</v>
      </c>
      <c r="H557" s="34" t="n">
        <f aca="false">NORMSINV(F557)</f>
        <v>0.747125183505257</v>
      </c>
      <c r="I557" s="34" t="n">
        <f aca="false">NORMSINV(G557)</f>
        <v>1.41221046514204</v>
      </c>
      <c r="J557" s="59" t="n">
        <f aca="false">mc_s0*EXP((mc_mu-mc_vol^2/2)*mc_t1+mc_vol*SQRT(mc_t1)*H557)</f>
        <v>1231.0627028251</v>
      </c>
      <c r="K557" s="59" t="n">
        <f aca="false">J557*EXP((mc_mu-mc_vol^2/2)*(mc_t2-mc_t1)+mc_vol*SQRT(mc_t2-mc_t1)*I557)</f>
        <v>1566.08558568468</v>
      </c>
      <c r="L557" s="31" t="n">
        <f aca="false">(t1_usd*J557+t2_usd*K557)/1000</f>
        <v>11593.0015325766</v>
      </c>
    </row>
    <row r="558" customFormat="false" ht="15" hidden="false" customHeight="false" outlineLevel="0" collapsed="false">
      <c r="E558" s="54" t="n">
        <v>554</v>
      </c>
      <c r="F558" s="61" t="n">
        <v>0.95721</v>
      </c>
      <c r="G558" s="61" t="n">
        <v>0.317517</v>
      </c>
      <c r="H558" s="34" t="n">
        <f aca="false">NORMSINV(F558)</f>
        <v>1.71918879735445</v>
      </c>
      <c r="I558" s="34" t="n">
        <f aca="false">NORMSINV(G558)</f>
        <v>-0.474653453133834</v>
      </c>
      <c r="J558" s="59" t="n">
        <f aca="false">mc_s0*EXP((mc_mu-mc_vol^2/2)*mc_t1+mc_vol*SQRT(mc_t1)*H558)</f>
        <v>1350.84706416398</v>
      </c>
      <c r="K558" s="59" t="n">
        <f aca="false">J558*EXP((mc_mu-mc_vol^2/2)*(mc_t2-mc_t1)+mc_vol*SQRT(mc_t2-mc_t1)*I558)</f>
        <v>1276.44184098529</v>
      </c>
      <c r="L558" s="31" t="n">
        <f aca="false">(t1_usd*J558+t2_usd*K558)/1000</f>
        <v>11881.1689470199</v>
      </c>
    </row>
    <row r="559" customFormat="false" ht="15" hidden="false" customHeight="false" outlineLevel="0" collapsed="false">
      <c r="E559" s="54" t="n">
        <v>555</v>
      </c>
      <c r="F559" s="61" t="n">
        <v>0.599203</v>
      </c>
      <c r="G559" s="61" t="n">
        <v>0.82664</v>
      </c>
      <c r="H559" s="34" t="n">
        <f aca="false">NORMSINV(F559)</f>
        <v>0.25128470436623</v>
      </c>
      <c r="I559" s="34" t="n">
        <f aca="false">NORMSINV(G559)</f>
        <v>0.940970455066554</v>
      </c>
      <c r="J559" s="59" t="n">
        <f aca="false">mc_s0*EXP((mc_mu-mc_vol^2/2)*mc_t1+mc_vol*SQRT(mc_t1)*H559)</f>
        <v>1174.11397365427</v>
      </c>
      <c r="K559" s="59" t="n">
        <f aca="false">J559*EXP((mc_mu-mc_vol^2/2)*(mc_t2-mc_t1)+mc_vol*SQRT(mc_t2-mc_t1)*I559)</f>
        <v>1386.73358586505</v>
      </c>
      <c r="L559" s="31" t="n">
        <f aca="false">(t1_usd*J559+t2_usd*K559)/1000</f>
        <v>10853.5916287235</v>
      </c>
    </row>
    <row r="560" customFormat="false" ht="15" hidden="false" customHeight="false" outlineLevel="0" collapsed="false">
      <c r="E560" s="54" t="n">
        <v>556</v>
      </c>
      <c r="F560" s="61" t="n">
        <v>0.493465</v>
      </c>
      <c r="G560" s="61" t="n">
        <v>0.972401</v>
      </c>
      <c r="H560" s="34" t="n">
        <f aca="false">NORMSINV(F560)</f>
        <v>-0.016381548423978</v>
      </c>
      <c r="I560" s="34" t="n">
        <f aca="false">NORMSINV(G560)</f>
        <v>1.91731441269589</v>
      </c>
      <c r="J560" s="59" t="n">
        <f aca="false">mc_s0*EXP((mc_mu-mc_vol^2/2)*mc_t1+mc_vol*SQRT(mc_t1)*H560)</f>
        <v>1144.47454045355</v>
      </c>
      <c r="K560" s="59" t="n">
        <f aca="false">J560*EXP((mc_mu-mc_vol^2/2)*(mc_t2-mc_t1)+mc_vol*SQRT(mc_t2-mc_t1)*I560)</f>
        <v>1576.56436690319</v>
      </c>
      <c r="L560" s="31" t="n">
        <f aca="false">(t1_usd*J560+t2_usd*K560)/1000</f>
        <v>11006.7940802909</v>
      </c>
    </row>
    <row r="561" customFormat="false" ht="15" hidden="false" customHeight="false" outlineLevel="0" collapsed="false">
      <c r="E561" s="54" t="n">
        <v>557</v>
      </c>
      <c r="F561" s="61" t="n">
        <v>0.028822</v>
      </c>
      <c r="G561" s="61" t="n">
        <v>0.47254</v>
      </c>
      <c r="H561" s="34" t="n">
        <f aca="false">NORMSINV(F561)</f>
        <v>-1.89839551497017</v>
      </c>
      <c r="I561" s="34" t="n">
        <f aca="false">NORMSINV(G561)</f>
        <v>-0.0688864553145604</v>
      </c>
      <c r="J561" s="59" t="n">
        <f aca="false">mc_s0*EXP((mc_mu-mc_vol^2/2)*mc_t1+mc_vol*SQRT(mc_t1)*H561)</f>
        <v>956.160684877909</v>
      </c>
      <c r="K561" s="59" t="n">
        <f aca="false">J561*EXP((mc_mu-mc_vol^2/2)*(mc_t2-mc_t1)+mc_vol*SQRT(mc_t2-mc_t1)*I561)</f>
        <v>963.157204858545</v>
      </c>
      <c r="L561" s="31" t="n">
        <f aca="false">(t1_usd*J561+t2_usd*K561)/1000</f>
        <v>8523.1234833766</v>
      </c>
    </row>
    <row r="562" customFormat="false" ht="15" hidden="false" customHeight="false" outlineLevel="0" collapsed="false">
      <c r="E562" s="54" t="n">
        <v>558</v>
      </c>
      <c r="F562" s="61" t="n">
        <v>0.562808</v>
      </c>
      <c r="G562" s="61" t="n">
        <v>0.910448</v>
      </c>
      <c r="H562" s="34" t="n">
        <f aca="false">NORMSINV(F562)</f>
        <v>0.158092386324381</v>
      </c>
      <c r="I562" s="34" t="n">
        <f aca="false">NORMSINV(G562)</f>
        <v>1.34351893188278</v>
      </c>
      <c r="J562" s="59" t="n">
        <f aca="false">mc_s0*EXP((mc_mu-mc_vol^2/2)*mc_t1+mc_vol*SQRT(mc_t1)*H562)</f>
        <v>1163.70842425829</v>
      </c>
      <c r="K562" s="59" t="n">
        <f aca="false">J562*EXP((mc_mu-mc_vol^2/2)*(mc_t2-mc_t1)+mc_vol*SQRT(mc_t2-mc_t1)*I562)</f>
        <v>1464.46204596503</v>
      </c>
      <c r="L562" s="31" t="n">
        <f aca="false">(t1_usd*J562+t2_usd*K562)/1000</f>
        <v>10928.4368571416</v>
      </c>
    </row>
    <row r="563" customFormat="false" ht="15" hidden="false" customHeight="false" outlineLevel="0" collapsed="false">
      <c r="E563" s="54" t="n">
        <v>559</v>
      </c>
      <c r="F563" s="61" t="n">
        <v>0.352699</v>
      </c>
      <c r="G563" s="61" t="n">
        <v>0.909195</v>
      </c>
      <c r="H563" s="34" t="n">
        <f aca="false">NORMSINV(F563)</f>
        <v>-0.378043876072272</v>
      </c>
      <c r="I563" s="34" t="n">
        <f aca="false">NORMSINV(G563)</f>
        <v>1.33581423198608</v>
      </c>
      <c r="J563" s="59" t="n">
        <f aca="false">mc_s0*EXP((mc_mu-mc_vol^2/2)*mc_t1+mc_vol*SQRT(mc_t1)*H563)</f>
        <v>1105.61161554648</v>
      </c>
      <c r="K563" s="59" t="n">
        <f aca="false">J563*EXP((mc_mu-mc_vol^2/2)*(mc_t2-mc_t1)+mc_vol*SQRT(mc_t2-mc_t1)*I563)</f>
        <v>1389.66209348801</v>
      </c>
      <c r="L563" s="31" t="n">
        <f aca="false">(t1_usd*J563+t2_usd*K563)/1000</f>
        <v>10379.6392864526</v>
      </c>
    </row>
    <row r="564" customFormat="false" ht="15" hidden="false" customHeight="false" outlineLevel="0" collapsed="false">
      <c r="E564" s="54" t="n">
        <v>560</v>
      </c>
      <c r="F564" s="61" t="n">
        <v>0.70821</v>
      </c>
      <c r="G564" s="61" t="n">
        <v>0.098027</v>
      </c>
      <c r="H564" s="34" t="n">
        <f aca="false">NORMSINV(F564)</f>
        <v>0.5481629786092</v>
      </c>
      <c r="I564" s="34" t="n">
        <f aca="false">NORMSINV(G564)</f>
        <v>-1.29287585374477</v>
      </c>
      <c r="J564" s="59" t="n">
        <f aca="false">mc_s0*EXP((mc_mu-mc_vol^2/2)*mc_t1+mc_vol*SQRT(mc_t1)*H564)</f>
        <v>1207.88680455109</v>
      </c>
      <c r="K564" s="59" t="n">
        <f aca="false">J564*EXP((mc_mu-mc_vol^2/2)*(mc_t2-mc_t1)+mc_vol*SQRT(mc_t2-mc_t1)*I564)</f>
        <v>1003.27600363928</v>
      </c>
      <c r="L564" s="31" t="n">
        <f aca="false">(t1_usd*J564+t2_usd*K564)/1000</f>
        <v>10361.4320387723</v>
      </c>
    </row>
    <row r="565" customFormat="false" ht="15" hidden="false" customHeight="false" outlineLevel="0" collapsed="false">
      <c r="E565" s="54" t="n">
        <v>561</v>
      </c>
      <c r="F565" s="61" t="n">
        <v>0.653205</v>
      </c>
      <c r="G565" s="61" t="n">
        <v>0.642343</v>
      </c>
      <c r="H565" s="34" t="n">
        <f aca="false">NORMSINV(F565)</f>
        <v>0.393987862952279</v>
      </c>
      <c r="I565" s="34" t="n">
        <f aca="false">NORMSINV(G565)</f>
        <v>0.364728609946558</v>
      </c>
      <c r="J565" s="59" t="n">
        <f aca="false">mc_s0*EXP((mc_mu-mc_vol^2/2)*mc_t1+mc_vol*SQRT(mc_t1)*H565)</f>
        <v>1190.2283488419</v>
      </c>
      <c r="K565" s="59" t="n">
        <f aca="false">J565*EXP((mc_mu-mc_vol^2/2)*(mc_t2-mc_t1)+mc_vol*SQRT(mc_t2-mc_t1)*I565)</f>
        <v>1283.7309308713</v>
      </c>
      <c r="L565" s="31" t="n">
        <f aca="false">(t1_usd*J565+t2_usd*K565)/1000</f>
        <v>10770.6872105488</v>
      </c>
    </row>
    <row r="566" customFormat="false" ht="15" hidden="false" customHeight="false" outlineLevel="0" collapsed="false">
      <c r="E566" s="54" t="n">
        <v>562</v>
      </c>
      <c r="F566" s="61" t="n">
        <v>0.591052</v>
      </c>
      <c r="G566" s="61" t="n">
        <v>0.946168</v>
      </c>
      <c r="H566" s="34" t="n">
        <f aca="false">NORMSINV(F566)</f>
        <v>0.230251944641493</v>
      </c>
      <c r="I566" s="34" t="n">
        <f aca="false">NORMSINV(G566)</f>
        <v>1.60878208285673</v>
      </c>
      <c r="J566" s="59" t="n">
        <f aca="false">mc_s0*EXP((mc_mu-mc_vol^2/2)*mc_t1+mc_vol*SQRT(mc_t1)*H566)</f>
        <v>1171.75742414604</v>
      </c>
      <c r="K566" s="59" t="n">
        <f aca="false">J566*EXP((mc_mu-mc_vol^2/2)*(mc_t2-mc_t1)+mc_vol*SQRT(mc_t2-mc_t1)*I566)</f>
        <v>1537.54118902595</v>
      </c>
      <c r="L566" s="31" t="n">
        <f aca="false">(t1_usd*J566+t2_usd*K566)/1000</f>
        <v>11123.6302281716</v>
      </c>
    </row>
    <row r="567" customFormat="false" ht="15" hidden="false" customHeight="false" outlineLevel="0" collapsed="false">
      <c r="E567" s="54" t="n">
        <v>563</v>
      </c>
      <c r="F567" s="61" t="n">
        <v>0.845323</v>
      </c>
      <c r="G567" s="61" t="n">
        <v>0.25949</v>
      </c>
      <c r="H567" s="34" t="n">
        <f aca="false">NORMSINV(F567)</f>
        <v>1.0165784713392</v>
      </c>
      <c r="I567" s="34" t="n">
        <f aca="false">NORMSINV(G567)</f>
        <v>-0.644918503556814</v>
      </c>
      <c r="J567" s="59" t="n">
        <f aca="false">mc_s0*EXP((mc_mu-mc_vol^2/2)*mc_t1+mc_vol*SQRT(mc_t1)*H567)</f>
        <v>1263.16018943044</v>
      </c>
      <c r="K567" s="59" t="n">
        <f aca="false">J567*EXP((mc_mu-mc_vol^2/2)*(mc_t2-mc_t1)+mc_vol*SQRT(mc_t2-mc_t1)*I567)</f>
        <v>1161.98366251405</v>
      </c>
      <c r="L567" s="31" t="n">
        <f aca="false">(t1_usd*J567+t2_usd*K567)/1000</f>
        <v>11049.8902847897</v>
      </c>
    </row>
    <row r="568" customFormat="false" ht="15" hidden="false" customHeight="false" outlineLevel="0" collapsed="false">
      <c r="E568" s="54" t="n">
        <v>564</v>
      </c>
      <c r="F568" s="61" t="n">
        <v>0.774202</v>
      </c>
      <c r="G568" s="61" t="n">
        <v>0.564694</v>
      </c>
      <c r="H568" s="34" t="n">
        <f aca="false">NORMSINV(F568)</f>
        <v>0.75275691779221</v>
      </c>
      <c r="I568" s="34" t="n">
        <f aca="false">NORMSINV(G568)</f>
        <v>0.162881166177376</v>
      </c>
      <c r="J568" s="59" t="n">
        <f aca="false">mc_s0*EXP((mc_mu-mc_vol^2/2)*mc_t1+mc_vol*SQRT(mc_t1)*H568)</f>
        <v>1231.72514107391</v>
      </c>
      <c r="K568" s="59" t="n">
        <f aca="false">J568*EXP((mc_mu-mc_vol^2/2)*(mc_t2-mc_t1)+mc_vol*SQRT(mc_t2-mc_t1)*I568)</f>
        <v>1286.89379705758</v>
      </c>
      <c r="L568" s="31" t="n">
        <f aca="false">(t1_usd*J568+t2_usd*K568)/1000</f>
        <v>11067.1742019268</v>
      </c>
    </row>
    <row r="569" customFormat="false" ht="15" hidden="false" customHeight="false" outlineLevel="0" collapsed="false">
      <c r="E569" s="54" t="n">
        <v>565</v>
      </c>
      <c r="F569" s="61" t="n">
        <v>0.753588</v>
      </c>
      <c r="G569" s="61" t="n">
        <v>0.210156</v>
      </c>
      <c r="H569" s="34" t="n">
        <f aca="false">NORMSINV(F569)</f>
        <v>0.685824158652907</v>
      </c>
      <c r="I569" s="34" t="n">
        <f aca="false">NORMSINV(G569)</f>
        <v>-0.805880076732957</v>
      </c>
      <c r="J569" s="59" t="n">
        <f aca="false">mc_s0*EXP((mc_mu-mc_vol^2/2)*mc_t1+mc_vol*SQRT(mc_t1)*H569)</f>
        <v>1223.87511368428</v>
      </c>
      <c r="K569" s="59" t="n">
        <f aca="false">J569*EXP((mc_mu-mc_vol^2/2)*(mc_t2-mc_t1)+mc_vol*SQRT(mc_t2-mc_t1)*I569)</f>
        <v>1097.64571713814</v>
      </c>
      <c r="L569" s="31" t="n">
        <f aca="false">(t1_usd*J569+t2_usd*K569)/1000</f>
        <v>10652.6526583524</v>
      </c>
    </row>
    <row r="570" customFormat="false" ht="15" hidden="false" customHeight="false" outlineLevel="0" collapsed="false">
      <c r="E570" s="54" t="n">
        <v>566</v>
      </c>
      <c r="F570" s="61" t="n">
        <v>0.172476</v>
      </c>
      <c r="G570" s="61" t="n">
        <v>0.326348</v>
      </c>
      <c r="H570" s="34" t="n">
        <f aca="false">NORMSINV(F570)</f>
        <v>-0.944426000617547</v>
      </c>
      <c r="I570" s="34" t="n">
        <f aca="false">NORMSINV(G570)</f>
        <v>-0.450020027130306</v>
      </c>
      <c r="J570" s="59" t="n">
        <f aca="false">mc_s0*EXP((mc_mu-mc_vol^2/2)*mc_t1+mc_vol*SQRT(mc_t1)*H570)</f>
        <v>1047.38478121431</v>
      </c>
      <c r="K570" s="59" t="n">
        <f aca="false">J570*EXP((mc_mu-mc_vol^2/2)*(mc_t2-mc_t1)+mc_vol*SQRT(mc_t2-mc_t1)*I570)</f>
        <v>993.543908532927</v>
      </c>
      <c r="L570" s="31" t="n">
        <f aca="false">(t1_usd*J570+t2_usd*K570)/1000</f>
        <v>9219.42689471272</v>
      </c>
    </row>
    <row r="571" customFormat="false" ht="15" hidden="false" customHeight="false" outlineLevel="0" collapsed="false">
      <c r="E571" s="54" t="n">
        <v>567</v>
      </c>
      <c r="F571" s="61" t="n">
        <v>0.559886</v>
      </c>
      <c r="G571" s="61" t="n">
        <v>0.713206</v>
      </c>
      <c r="H571" s="34" t="n">
        <f aca="false">NORMSINV(F571)</f>
        <v>0.150680191120781</v>
      </c>
      <c r="I571" s="34" t="n">
        <f aca="false">NORMSINV(G571)</f>
        <v>0.56277515556573</v>
      </c>
      <c r="J571" s="59" t="n">
        <f aca="false">mc_s0*EXP((mc_mu-mc_vol^2/2)*mc_t1+mc_vol*SQRT(mc_t1)*H571)</f>
        <v>1162.88477267525</v>
      </c>
      <c r="K571" s="59" t="n">
        <f aca="false">J571*EXP((mc_mu-mc_vol^2/2)*(mc_t2-mc_t1)+mc_vol*SQRT(mc_t2-mc_t1)*I571)</f>
        <v>1294.00237192362</v>
      </c>
      <c r="L571" s="31" t="n">
        <f aca="false">(t1_usd*J571+t2_usd*K571)/1000</f>
        <v>10598.7979153816</v>
      </c>
    </row>
    <row r="572" customFormat="false" ht="15" hidden="false" customHeight="false" outlineLevel="0" collapsed="false">
      <c r="E572" s="54" t="n">
        <v>568</v>
      </c>
      <c r="F572" s="61" t="n">
        <v>0.831113</v>
      </c>
      <c r="G572" s="61" t="n">
        <v>0.739351</v>
      </c>
      <c r="H572" s="34" t="n">
        <f aca="false">NORMSINV(F572)</f>
        <v>0.958572801176559</v>
      </c>
      <c r="I572" s="34" t="n">
        <f aca="false">NORMSINV(G572)</f>
        <v>0.641345859653258</v>
      </c>
      <c r="J572" s="59" t="n">
        <f aca="false">mc_s0*EXP((mc_mu-mc_vol^2/2)*mc_t1+mc_vol*SQRT(mc_t1)*H572)</f>
        <v>1256.18055779976</v>
      </c>
      <c r="K572" s="59" t="n">
        <f aca="false">J572*EXP((mc_mu-mc_vol^2/2)*(mc_t2-mc_t1)+mc_vol*SQRT(mc_t2-mc_t1)*I572)</f>
        <v>1415.23311155752</v>
      </c>
      <c r="L572" s="31" t="n">
        <f aca="false">(t1_usd*J572+t2_usd*K572)/1000</f>
        <v>11482.2068165576</v>
      </c>
    </row>
    <row r="573" customFormat="false" ht="15" hidden="false" customHeight="false" outlineLevel="0" collapsed="false">
      <c r="E573" s="54" t="n">
        <v>569</v>
      </c>
      <c r="F573" s="61" t="n">
        <v>0.907033</v>
      </c>
      <c r="G573" s="61" t="n">
        <v>0.452866</v>
      </c>
      <c r="H573" s="34" t="n">
        <f aca="false">NORMSINV(F573)</f>
        <v>1.32270349745682</v>
      </c>
      <c r="I573" s="34" t="n">
        <f aca="false">NORMSINV(G573)</f>
        <v>-0.118423634397707</v>
      </c>
      <c r="J573" s="59" t="n">
        <f aca="false">mc_s0*EXP((mc_mu-mc_vol^2/2)*mc_t1+mc_vol*SQRT(mc_t1)*H573)</f>
        <v>1300.64270913013</v>
      </c>
      <c r="K573" s="59" t="n">
        <f aca="false">J573*EXP((mc_mu-mc_vol^2/2)*(mc_t2-mc_t1)+mc_vol*SQRT(mc_t2-mc_t1)*I573)</f>
        <v>1299.97167459246</v>
      </c>
      <c r="L573" s="31" t="n">
        <f aca="false">(t1_usd*J573+t2_usd*K573)/1000</f>
        <v>11574.4451456366</v>
      </c>
    </row>
    <row r="574" customFormat="false" ht="15" hidden="false" customHeight="false" outlineLevel="0" collapsed="false">
      <c r="E574" s="54" t="n">
        <v>570</v>
      </c>
      <c r="F574" s="61" t="n">
        <v>0.780902</v>
      </c>
      <c r="G574" s="61" t="n">
        <v>0.924098</v>
      </c>
      <c r="H574" s="34" t="n">
        <f aca="false">NORMSINV(F574)</f>
        <v>0.775243141748039</v>
      </c>
      <c r="I574" s="34" t="n">
        <f aca="false">NORMSINV(G574)</f>
        <v>1.43318841327387</v>
      </c>
      <c r="J574" s="59" t="n">
        <f aca="false">mc_s0*EXP((mc_mu-mc_vol^2/2)*mc_t1+mc_vol*SQRT(mc_t1)*H574)</f>
        <v>1234.37366005962</v>
      </c>
      <c r="K574" s="59" t="n">
        <f aca="false">J574*EXP((mc_mu-mc_vol^2/2)*(mc_t2-mc_t1)+mc_vol*SQRT(mc_t2-mc_t1)*I574)</f>
        <v>1575.49755706528</v>
      </c>
      <c r="L574" s="31" t="n">
        <f aca="false">(t1_usd*J574+t2_usd*K574)/1000</f>
        <v>11634.0609788414</v>
      </c>
    </row>
    <row r="575" customFormat="false" ht="15" hidden="false" customHeight="false" outlineLevel="0" collapsed="false">
      <c r="E575" s="54" t="n">
        <v>571</v>
      </c>
      <c r="F575" s="61" t="n">
        <v>0.171065</v>
      </c>
      <c r="G575" s="61" t="n">
        <v>0.186249</v>
      </c>
      <c r="H575" s="34" t="n">
        <f aca="false">NORMSINV(F575)</f>
        <v>-0.94996507290696</v>
      </c>
      <c r="I575" s="34" t="n">
        <f aca="false">NORMSINV(G575)</f>
        <v>-0.891803995044687</v>
      </c>
      <c r="J575" s="59" t="n">
        <f aca="false">mc_s0*EXP((mc_mu-mc_vol^2/2)*mc_t1+mc_vol*SQRT(mc_t1)*H575)</f>
        <v>1046.8307494657</v>
      </c>
      <c r="K575" s="59" t="n">
        <f aca="false">J575*EXP((mc_mu-mc_vol^2/2)*(mc_t2-mc_t1)+mc_vol*SQRT(mc_t2-mc_t1)*I575)</f>
        <v>926.234091440626</v>
      </c>
      <c r="L575" s="31" t="n">
        <f aca="false">(t1_usd*J575+t2_usd*K575)/1000</f>
        <v>9087.66001999707</v>
      </c>
    </row>
    <row r="576" customFormat="false" ht="15" hidden="false" customHeight="false" outlineLevel="0" collapsed="false">
      <c r="E576" s="54" t="n">
        <v>572</v>
      </c>
      <c r="F576" s="61" t="n">
        <v>0.778403</v>
      </c>
      <c r="G576" s="61" t="n">
        <v>0.374159</v>
      </c>
      <c r="H576" s="34" t="n">
        <f aca="false">NORMSINV(F576)</f>
        <v>0.76681082386593</v>
      </c>
      <c r="I576" s="34" t="n">
        <f aca="false">NORMSINV(G576)</f>
        <v>-0.320858004659557</v>
      </c>
      <c r="J576" s="59" t="n">
        <f aca="false">mc_s0*EXP((mc_mu-mc_vol^2/2)*mc_t1+mc_vol*SQRT(mc_t1)*H576)</f>
        <v>1233.37980061312</v>
      </c>
      <c r="K576" s="59" t="n">
        <f aca="false">J576*EXP((mc_mu-mc_vol^2/2)*(mc_t2-mc_t1)+mc_vol*SQRT(mc_t2-mc_t1)*I576)</f>
        <v>1194.0368389962</v>
      </c>
      <c r="L576" s="31" t="n">
        <f aca="false">(t1_usd*J576+t2_usd*K576)/1000</f>
        <v>10902.3285983846</v>
      </c>
    </row>
    <row r="577" customFormat="false" ht="15" hidden="false" customHeight="false" outlineLevel="0" collapsed="false">
      <c r="E577" s="54" t="n">
        <v>573</v>
      </c>
      <c r="F577" s="61" t="n">
        <v>0.557848</v>
      </c>
      <c r="G577" s="61" t="n">
        <v>0.987715</v>
      </c>
      <c r="H577" s="34" t="n">
        <f aca="false">NORMSINV(F577)</f>
        <v>0.145515346444982</v>
      </c>
      <c r="I577" s="34" t="n">
        <f aca="false">NORMSINV(G577)</f>
        <v>2.24809708378504</v>
      </c>
      <c r="J577" s="59" t="n">
        <f aca="false">mc_s0*EXP((mc_mu-mc_vol^2/2)*mc_t1+mc_vol*SQRT(mc_t1)*H577)</f>
        <v>1162.31119390158</v>
      </c>
      <c r="K577" s="59" t="n">
        <f aca="false">J577*EXP((mc_mu-mc_vol^2/2)*(mc_t2-mc_t1)+mc_vol*SQRT(mc_t2-mc_t1)*I577)</f>
        <v>1686.81467700222</v>
      </c>
      <c r="L577" s="31" t="n">
        <f aca="false">(t1_usd*J577+t2_usd*K577)/1000</f>
        <v>11341.1262436153</v>
      </c>
    </row>
    <row r="578" customFormat="false" ht="15" hidden="false" customHeight="false" outlineLevel="0" collapsed="false">
      <c r="E578" s="54" t="n">
        <v>574</v>
      </c>
      <c r="F578" s="61" t="n">
        <v>0.092833</v>
      </c>
      <c r="G578" s="61" t="n">
        <v>0.006652</v>
      </c>
      <c r="H578" s="34" t="n">
        <f aca="false">NORMSINV(F578)</f>
        <v>-1.32350949743435</v>
      </c>
      <c r="I578" s="34" t="n">
        <f aca="false">NORMSINV(G578)</f>
        <v>-2.4755261999669</v>
      </c>
      <c r="J578" s="59" t="n">
        <f aca="false">mc_s0*EXP((mc_mu-mc_vol^2/2)*mc_t1+mc_vol*SQRT(mc_t1)*H578)</f>
        <v>1010.13635018579</v>
      </c>
      <c r="K578" s="59" t="n">
        <f aca="false">J578*EXP((mc_mu-mc_vol^2/2)*(mc_t2-mc_t1)+mc_vol*SQRT(mc_t2-mc_t1)*I578)</f>
        <v>696.356128426641</v>
      </c>
      <c r="L578" s="31" t="n">
        <f aca="false">(t1_usd*J578+t2_usd*K578)/1000</f>
        <v>8394.03109531112</v>
      </c>
    </row>
    <row r="579" customFormat="false" ht="15" hidden="false" customHeight="false" outlineLevel="0" collapsed="false">
      <c r="E579" s="54" t="n">
        <v>575</v>
      </c>
      <c r="F579" s="61" t="n">
        <v>0.502325</v>
      </c>
      <c r="G579" s="61" t="n">
        <v>0.105436</v>
      </c>
      <c r="H579" s="34" t="n">
        <f aca="false">NORMSINV(F579)</f>
        <v>0.00582794372929735</v>
      </c>
      <c r="I579" s="34" t="n">
        <f aca="false">NORMSINV(G579)</f>
        <v>-1.25117126370667</v>
      </c>
      <c r="J579" s="59" t="n">
        <f aca="false">mc_s0*EXP((mc_mu-mc_vol^2/2)*mc_t1+mc_vol*SQRT(mc_t1)*H579)</f>
        <v>1146.90513083256</v>
      </c>
      <c r="K579" s="59" t="n">
        <f aca="false">J579*EXP((mc_mu-mc_vol^2/2)*(mc_t2-mc_t1)+mc_vol*SQRT(mc_t2-mc_t1)*I579)</f>
        <v>958.905971635223</v>
      </c>
      <c r="L579" s="31" t="n">
        <f aca="false">(t1_usd*J579+t2_usd*K579)/1000</f>
        <v>9850.25726193485</v>
      </c>
    </row>
    <row r="580" customFormat="false" ht="15" hidden="false" customHeight="false" outlineLevel="0" collapsed="false">
      <c r="E580" s="54" t="n">
        <v>576</v>
      </c>
      <c r="F580" s="61" t="n">
        <v>0.070875</v>
      </c>
      <c r="G580" s="61" t="n">
        <v>0.525632</v>
      </c>
      <c r="H580" s="34" t="n">
        <f aca="false">NORMSINV(F580)</f>
        <v>-1.4693052997265</v>
      </c>
      <c r="I580" s="34" t="n">
        <f aca="false">NORMSINV(G580)</f>
        <v>0.0642941643712899</v>
      </c>
      <c r="J580" s="59" t="n">
        <f aca="false">mc_s0*EXP((mc_mu-mc_vol^2/2)*mc_t1+mc_vol*SQRT(mc_t1)*H580)</f>
        <v>996.165893182228</v>
      </c>
      <c r="K580" s="59" t="n">
        <f aca="false">J580*EXP((mc_mu-mc_vol^2/2)*(mc_t2-mc_t1)+mc_vol*SQRT(mc_t2-mc_t1)*I580)</f>
        <v>1024.73859227202</v>
      </c>
      <c r="L580" s="31" t="n">
        <f aca="false">(t1_usd*J580+t2_usd*K580)/1000</f>
        <v>8920.16457759243</v>
      </c>
    </row>
    <row r="581" customFormat="false" ht="15" hidden="false" customHeight="false" outlineLevel="0" collapsed="false">
      <c r="E581" s="54" t="n">
        <v>577</v>
      </c>
      <c r="F581" s="61" t="n">
        <v>0.433072</v>
      </c>
      <c r="G581" s="61" t="n">
        <v>0.046934</v>
      </c>
      <c r="H581" s="34" t="n">
        <f aca="false">NORMSINV(F581)</f>
        <v>-0.168558405408031</v>
      </c>
      <c r="I581" s="34" t="n">
        <f aca="false">NORMSINV(G581)</f>
        <v>-1.67533766195743</v>
      </c>
      <c r="J581" s="59" t="n">
        <f aca="false">mc_s0*EXP((mc_mu-mc_vol^2/2)*mc_t1+mc_vol*SQRT(mc_t1)*H581)</f>
        <v>1127.95841038411</v>
      </c>
      <c r="K581" s="59" t="n">
        <f aca="false">J581*EXP((mc_mu-mc_vol^2/2)*(mc_t2-mc_t1)+mc_vol*SQRT(mc_t2-mc_t1)*I581)</f>
        <v>882.085897012778</v>
      </c>
      <c r="L581" s="31" t="n">
        <f aca="false">(t1_usd*J581+t2_usd*K581)/1000</f>
        <v>9571.67207701305</v>
      </c>
    </row>
    <row r="582" customFormat="false" ht="15" hidden="false" customHeight="false" outlineLevel="0" collapsed="false">
      <c r="E582" s="54" t="n">
        <v>578</v>
      </c>
      <c r="F582" s="61" t="n">
        <v>0.732728</v>
      </c>
      <c r="G582" s="61" t="n">
        <v>0.544542</v>
      </c>
      <c r="H582" s="34" t="n">
        <f aca="false">NORMSINV(F582)</f>
        <v>0.621084541123816</v>
      </c>
      <c r="I582" s="34" t="n">
        <f aca="false">NORMSINV(G582)</f>
        <v>0.111883221965924</v>
      </c>
      <c r="J582" s="59" t="n">
        <f aca="false">mc_s0*EXP((mc_mu-mc_vol^2/2)*mc_t1+mc_vol*SQRT(mc_t1)*H582)</f>
        <v>1216.32990397919</v>
      </c>
      <c r="K582" s="59" t="n">
        <f aca="false">J582*EXP((mc_mu-mc_vol^2/2)*(mc_t2-mc_t1)+mc_vol*SQRT(mc_t2-mc_t1)*I582)</f>
        <v>1260.63654164409</v>
      </c>
      <c r="L582" s="31" t="n">
        <f aca="false">(t1_usd*J582+t2_usd*K582)/1000</f>
        <v>10909.5187569781</v>
      </c>
    </row>
    <row r="583" customFormat="false" ht="15" hidden="false" customHeight="false" outlineLevel="0" collapsed="false">
      <c r="E583" s="54" t="n">
        <v>579</v>
      </c>
      <c r="F583" s="61" t="n">
        <v>0.255083</v>
      </c>
      <c r="G583" s="61" t="n">
        <v>0.491957</v>
      </c>
      <c r="H583" s="34" t="n">
        <f aca="false">NORMSINV(F583)</f>
        <v>-0.658579236194344</v>
      </c>
      <c r="I583" s="34" t="n">
        <f aca="false">NORMSINV(G583)</f>
        <v>-0.0201621771620556</v>
      </c>
      <c r="J583" s="59" t="n">
        <f aca="false">mc_s0*EXP((mc_mu-mc_vol^2/2)*mc_t1+mc_vol*SQRT(mc_t1)*H583)</f>
        <v>1076.37746704831</v>
      </c>
      <c r="K583" s="59" t="n">
        <f aca="false">J583*EXP((mc_mu-mc_vol^2/2)*(mc_t2-mc_t1)+mc_vol*SQRT(mc_t2-mc_t1)*I583)</f>
        <v>1092.61126255107</v>
      </c>
      <c r="L583" s="31" t="n">
        <f aca="false">(t1_usd*J583+t2_usd*K583)/1000</f>
        <v>9610.6036681852</v>
      </c>
    </row>
    <row r="584" customFormat="false" ht="15" hidden="false" customHeight="false" outlineLevel="0" collapsed="false">
      <c r="E584" s="54" t="n">
        <v>580</v>
      </c>
      <c r="F584" s="61" t="n">
        <v>0.035383</v>
      </c>
      <c r="G584" s="61" t="n">
        <v>0.005475</v>
      </c>
      <c r="H584" s="34" t="n">
        <f aca="false">NORMSINV(F584)</f>
        <v>-1.80697613691389</v>
      </c>
      <c r="I584" s="34" t="n">
        <f aca="false">NORMSINV(G584)</f>
        <v>-2.54429042121984</v>
      </c>
      <c r="J584" s="59" t="n">
        <f aca="false">mc_s0*EXP((mc_mu-mc_vol^2/2)*mc_t1+mc_vol*SQRT(mc_t1)*H584)</f>
        <v>964.547035935068</v>
      </c>
      <c r="K584" s="59" t="n">
        <f aca="false">J584*EXP((mc_mu-mc_vol^2/2)*(mc_t2-mc_t1)+mc_vol*SQRT(mc_t2-mc_t1)*I584)</f>
        <v>657.761518701109</v>
      </c>
      <c r="L584" s="31" t="n">
        <f aca="false">(t1_usd*J584+t2_usd*K584)/1000</f>
        <v>8001.57613707758</v>
      </c>
    </row>
    <row r="585" customFormat="false" ht="15" hidden="false" customHeight="false" outlineLevel="0" collapsed="false">
      <c r="E585" s="54" t="n">
        <v>581</v>
      </c>
      <c r="F585" s="61" t="n">
        <v>0.376929</v>
      </c>
      <c r="G585" s="61" t="n">
        <v>0.845958</v>
      </c>
      <c r="H585" s="34" t="n">
        <f aca="false">NORMSINV(F585)</f>
        <v>-0.313556371443417</v>
      </c>
      <c r="I585" s="34" t="n">
        <f aca="false">NORMSINV(G585)</f>
        <v>1.0192506209709</v>
      </c>
      <c r="J585" s="59" t="n">
        <f aca="false">mc_s0*EXP((mc_mu-mc_vol^2/2)*mc_t1+mc_vol*SQRT(mc_t1)*H585)</f>
        <v>1112.44322028584</v>
      </c>
      <c r="K585" s="59" t="n">
        <f aca="false">J585*EXP((mc_mu-mc_vol^2/2)*(mc_t2-mc_t1)+mc_vol*SQRT(mc_t2-mc_t1)*I585)</f>
        <v>1330.20406513599</v>
      </c>
      <c r="L585" s="31" t="n">
        <f aca="false">(t1_usd*J585+t2_usd*K585)/1000</f>
        <v>10314.4902657593</v>
      </c>
    </row>
    <row r="586" customFormat="false" ht="15" hidden="false" customHeight="false" outlineLevel="0" collapsed="false">
      <c r="E586" s="54" t="n">
        <v>582</v>
      </c>
      <c r="F586" s="61" t="n">
        <v>0.551146</v>
      </c>
      <c r="G586" s="61" t="n">
        <v>0.538872</v>
      </c>
      <c r="H586" s="34" t="n">
        <f aca="false">NORMSINV(F586)</f>
        <v>0.128557243780252</v>
      </c>
      <c r="I586" s="34" t="n">
        <f aca="false">NORMSINV(G586)</f>
        <v>0.097592349148514</v>
      </c>
      <c r="J586" s="59" t="n">
        <f aca="false">mc_s0*EXP((mc_mu-mc_vol^2/2)*mc_t1+mc_vol*SQRT(mc_t1)*H586)</f>
        <v>1160.42991049767</v>
      </c>
      <c r="K586" s="59" t="n">
        <f aca="false">J586*EXP((mc_mu-mc_vol^2/2)*(mc_t2-mc_t1)+mc_vol*SQRT(mc_t2-mc_t1)*I586)</f>
        <v>1199.994700345</v>
      </c>
      <c r="L586" s="31" t="n">
        <f aca="false">(t1_usd*J586+t2_usd*K586)/1000</f>
        <v>10402.9993041392</v>
      </c>
    </row>
    <row r="587" customFormat="false" ht="15" hidden="false" customHeight="false" outlineLevel="0" collapsed="false">
      <c r="E587" s="54" t="n">
        <v>583</v>
      </c>
      <c r="F587" s="61" t="n">
        <v>0.486218</v>
      </c>
      <c r="G587" s="61" t="n">
        <v>0.989798</v>
      </c>
      <c r="H587" s="34" t="n">
        <f aca="false">NORMSINV(F587)</f>
        <v>-0.0345532253118923</v>
      </c>
      <c r="I587" s="34" t="n">
        <f aca="false">NORMSINV(G587)</f>
        <v>2.318834716826</v>
      </c>
      <c r="J587" s="59" t="n">
        <f aca="false">mc_s0*EXP((mc_mu-mc_vol^2/2)*mc_t1+mc_vol*SQRT(mc_t1)*H587)</f>
        <v>1142.48967752616</v>
      </c>
      <c r="K587" s="59" t="n">
        <f aca="false">J587*EXP((mc_mu-mc_vol^2/2)*(mc_t2-mc_t1)+mc_vol*SQRT(mc_t2-mc_t1)*I587)</f>
        <v>1676.63547376959</v>
      </c>
      <c r="L587" s="31" t="n">
        <f aca="false">(t1_usd*J587+t2_usd*K587)/1000</f>
        <v>11183.0351428453</v>
      </c>
    </row>
    <row r="588" customFormat="false" ht="15" hidden="false" customHeight="false" outlineLevel="0" collapsed="false">
      <c r="E588" s="54" t="n">
        <v>584</v>
      </c>
      <c r="F588" s="61" t="n">
        <v>0.55294</v>
      </c>
      <c r="G588" s="61" t="n">
        <v>0.326493</v>
      </c>
      <c r="H588" s="34" t="n">
        <f aca="false">NORMSINV(F588)</f>
        <v>0.133092786416498</v>
      </c>
      <c r="I588" s="34" t="n">
        <f aca="false">NORMSINV(G588)</f>
        <v>-0.449617870828131</v>
      </c>
      <c r="J588" s="59" t="n">
        <f aca="false">mc_s0*EXP((mc_mu-mc_vol^2/2)*mc_t1+mc_vol*SQRT(mc_t1)*H588)</f>
        <v>1160.93277212826</v>
      </c>
      <c r="K588" s="59" t="n">
        <f aca="false">J588*EXP((mc_mu-mc_vol^2/2)*(mc_t2-mc_t1)+mc_vol*SQRT(mc_t2-mc_t1)*I588)</f>
        <v>1101.32475524121</v>
      </c>
      <c r="L588" s="31" t="n">
        <f aca="false">(t1_usd*J588+t2_usd*K588)/1000</f>
        <v>10219.0464398561</v>
      </c>
    </row>
    <row r="589" customFormat="false" ht="15" hidden="false" customHeight="false" outlineLevel="0" collapsed="false">
      <c r="E589" s="54" t="n">
        <v>585</v>
      </c>
      <c r="F589" s="61" t="n">
        <v>0.387894</v>
      </c>
      <c r="G589" s="61" t="n">
        <v>0.228998</v>
      </c>
      <c r="H589" s="34" t="n">
        <f aca="false">NORMSINV(F589)</f>
        <v>-0.284812232532024</v>
      </c>
      <c r="I589" s="34" t="n">
        <f aca="false">NORMSINV(G589)</f>
        <v>-0.742150757085377</v>
      </c>
      <c r="J589" s="59" t="n">
        <f aca="false">mc_s0*EXP((mc_mu-mc_vol^2/2)*mc_t1+mc_vol*SQRT(mc_t1)*H589)</f>
        <v>1115.50187016727</v>
      </c>
      <c r="K589" s="59" t="n">
        <f aca="false">J589*EXP((mc_mu-mc_vol^2/2)*(mc_t2-mc_t1)+mc_vol*SQRT(mc_t2-mc_t1)*I589)</f>
        <v>1010.54844693173</v>
      </c>
      <c r="L589" s="31" t="n">
        <f aca="false">(t1_usd*J589+t2_usd*K589)/1000</f>
        <v>9728.55514034115</v>
      </c>
    </row>
    <row r="590" customFormat="false" ht="15" hidden="false" customHeight="false" outlineLevel="0" collapsed="false">
      <c r="E590" s="54" t="n">
        <v>586</v>
      </c>
      <c r="F590" s="61" t="n">
        <v>0.629648</v>
      </c>
      <c r="G590" s="61" t="n">
        <v>0.831649</v>
      </c>
      <c r="H590" s="34" t="n">
        <f aca="false">NORMSINV(F590)</f>
        <v>0.330921210643347</v>
      </c>
      <c r="I590" s="34" t="n">
        <f aca="false">NORMSINV(G590)</f>
        <v>0.960702050366735</v>
      </c>
      <c r="J590" s="59" t="n">
        <f aca="false">mc_s0*EXP((mc_mu-mc_vol^2/2)*mc_t1+mc_vol*SQRT(mc_t1)*H590)</f>
        <v>1183.07962013263</v>
      </c>
      <c r="K590" s="59" t="n">
        <f aca="false">J590*EXP((mc_mu-mc_vol^2/2)*(mc_t2-mc_t1)+mc_vol*SQRT(mc_t2-mc_t1)*I590)</f>
        <v>1401.67464509991</v>
      </c>
      <c r="L590" s="31" t="n">
        <f aca="false">(t1_usd*J590+t2_usd*K590)/1000</f>
        <v>10944.7391666182</v>
      </c>
    </row>
    <row r="591" customFormat="false" ht="15" hidden="false" customHeight="false" outlineLevel="0" collapsed="false">
      <c r="E591" s="54" t="n">
        <v>587</v>
      </c>
      <c r="F591" s="61" t="n">
        <v>0.678121</v>
      </c>
      <c r="G591" s="61" t="n">
        <v>0.515363</v>
      </c>
      <c r="H591" s="34" t="n">
        <f aca="false">NORMSINV(F591)</f>
        <v>0.462450907165415</v>
      </c>
      <c r="I591" s="34" t="n">
        <f aca="false">NORMSINV(G591)</f>
        <v>0.0385188531472214</v>
      </c>
      <c r="J591" s="59" t="n">
        <f aca="false">mc_s0*EXP((mc_mu-mc_vol^2/2)*mc_t1+mc_vol*SQRT(mc_t1)*H591)</f>
        <v>1198.03767591293</v>
      </c>
      <c r="K591" s="59" t="n">
        <f aca="false">J591*EXP((mc_mu-mc_vol^2/2)*(mc_t2-mc_t1)+mc_vol*SQRT(mc_t2-mc_t1)*I591)</f>
        <v>1227.40472238156</v>
      </c>
      <c r="L591" s="31" t="n">
        <f aca="false">(t1_usd*J591+t2_usd*K591)/1000</f>
        <v>10718.3327039155</v>
      </c>
    </row>
    <row r="592" customFormat="false" ht="15" hidden="false" customHeight="false" outlineLevel="0" collapsed="false">
      <c r="E592" s="54" t="n">
        <v>588</v>
      </c>
      <c r="F592" s="61" t="n">
        <v>0.230726</v>
      </c>
      <c r="G592" s="61" t="n">
        <v>0.041998</v>
      </c>
      <c r="H592" s="34" t="n">
        <f aca="false">NORMSINV(F592)</f>
        <v>-0.736458030574797</v>
      </c>
      <c r="I592" s="34" t="n">
        <f aca="false">NORMSINV(G592)</f>
        <v>-1.72795663123928</v>
      </c>
      <c r="J592" s="59" t="n">
        <f aca="false">mc_s0*EXP((mc_mu-mc_vol^2/2)*mc_t1+mc_vol*SQRT(mc_t1)*H592)</f>
        <v>1068.39980436665</v>
      </c>
      <c r="K592" s="59" t="n">
        <f aca="false">J592*EXP((mc_mu-mc_vol^2/2)*(mc_t2-mc_t1)+mc_vol*SQRT(mc_t2-mc_t1)*I592)</f>
        <v>828.610155211547</v>
      </c>
      <c r="L592" s="31" t="n">
        <f aca="false">(t1_usd*J592+t2_usd*K592)/1000</f>
        <v>9053.15792546851</v>
      </c>
    </row>
    <row r="593" customFormat="false" ht="15" hidden="false" customHeight="false" outlineLevel="0" collapsed="false">
      <c r="E593" s="54" t="n">
        <v>589</v>
      </c>
      <c r="F593" s="61" t="n">
        <v>0.131749</v>
      </c>
      <c r="G593" s="61" t="n">
        <v>0.069529</v>
      </c>
      <c r="H593" s="34" t="n">
        <f aca="false">NORMSINV(F593)</f>
        <v>-1.11816155635441</v>
      </c>
      <c r="I593" s="34" t="n">
        <f aca="false">NORMSINV(G593)</f>
        <v>-1.47930805881836</v>
      </c>
      <c r="J593" s="59" t="n">
        <f aca="false">mc_s0*EXP((mc_mu-mc_vol^2/2)*mc_t1+mc_vol*SQRT(mc_t1)*H593)</f>
        <v>1030.14616127949</v>
      </c>
      <c r="K593" s="59" t="n">
        <f aca="false">J593*EXP((mc_mu-mc_vol^2/2)*(mc_t2-mc_t1)+mc_vol*SQRT(mc_t2-mc_t1)*I593)</f>
        <v>830.87036727437</v>
      </c>
      <c r="L593" s="31" t="n">
        <f aca="false">(t1_usd*J593+t2_usd*K593)/1000</f>
        <v>8789.67682677771</v>
      </c>
    </row>
    <row r="594" customFormat="false" ht="15" hidden="false" customHeight="false" outlineLevel="0" collapsed="false">
      <c r="E594" s="54" t="n">
        <v>590</v>
      </c>
      <c r="F594" s="61" t="n">
        <v>0.79268</v>
      </c>
      <c r="G594" s="61" t="n">
        <v>0.327641</v>
      </c>
      <c r="H594" s="34" t="n">
        <f aca="false">NORMSINV(F594)</f>
        <v>0.815755481206266</v>
      </c>
      <c r="I594" s="34" t="n">
        <f aca="false">NORMSINV(G594)</f>
        <v>-0.446436461323803</v>
      </c>
      <c r="J594" s="59" t="n">
        <f aca="false">mc_s0*EXP((mc_mu-mc_vol^2/2)*mc_t1+mc_vol*SQRT(mc_t1)*H594)</f>
        <v>1239.15974955587</v>
      </c>
      <c r="K594" s="59" t="n">
        <f aca="false">J594*EXP((mc_mu-mc_vol^2/2)*(mc_t2-mc_t1)+mc_vol*SQRT(mc_t2-mc_t1)*I594)</f>
        <v>1176.12469773485</v>
      </c>
      <c r="L594" s="31" t="n">
        <f aca="false">(t1_usd*J594+t2_usd*K594)/1000</f>
        <v>10908.7551725873</v>
      </c>
    </row>
    <row r="595" customFormat="false" ht="15" hidden="false" customHeight="false" outlineLevel="0" collapsed="false">
      <c r="E595" s="54" t="n">
        <v>591</v>
      </c>
      <c r="F595" s="61" t="n">
        <v>0.302963</v>
      </c>
      <c r="G595" s="61" t="n">
        <v>0.555247</v>
      </c>
      <c r="H595" s="34" t="n">
        <f aca="false">NORMSINV(F595)</f>
        <v>-0.515897500366931</v>
      </c>
      <c r="I595" s="34" t="n">
        <f aca="false">NORMSINV(G595)</f>
        <v>0.138929322059216</v>
      </c>
      <c r="J595" s="59" t="n">
        <f aca="false">mc_s0*EXP((mc_mu-mc_vol^2/2)*mc_t1+mc_vol*SQRT(mc_t1)*H595)</f>
        <v>1091.14820402817</v>
      </c>
      <c r="K595" s="59" t="n">
        <f aca="false">J595*EXP((mc_mu-mc_vol^2/2)*(mc_t2-mc_t1)+mc_vol*SQRT(mc_t2-mc_t1)*I595)</f>
        <v>1135.72539037624</v>
      </c>
      <c r="L595" s="31" t="n">
        <f aca="false">(t1_usd*J595+t2_usd*K595)/1000</f>
        <v>9795.91566991202</v>
      </c>
    </row>
    <row r="596" customFormat="false" ht="15" hidden="false" customHeight="false" outlineLevel="0" collapsed="false">
      <c r="E596" s="54" t="n">
        <v>592</v>
      </c>
      <c r="F596" s="61" t="n">
        <v>0.119277</v>
      </c>
      <c r="G596" s="61" t="n">
        <v>0.512253</v>
      </c>
      <c r="H596" s="34" t="n">
        <f aca="false">NORMSINV(F596)</f>
        <v>-1.17860876458278</v>
      </c>
      <c r="I596" s="34" t="n">
        <f aca="false">NORMSINV(G596)</f>
        <v>0.0307185467178038</v>
      </c>
      <c r="J596" s="59" t="n">
        <f aca="false">mc_s0*EXP((mc_mu-mc_vol^2/2)*mc_t1+mc_vol*SQRT(mc_t1)*H596)</f>
        <v>1024.21515854764</v>
      </c>
      <c r="K596" s="59" t="n">
        <f aca="false">J596*EXP((mc_mu-mc_vol^2/2)*(mc_t2-mc_t1)+mc_vol*SQRT(mc_t2-mc_t1)*I596)</f>
        <v>1048.03224682354</v>
      </c>
      <c r="L596" s="31" t="n">
        <f aca="false">(t1_usd*J596+t2_usd*K596)/1000</f>
        <v>9160.76737879817</v>
      </c>
    </row>
    <row r="597" customFormat="false" ht="15" hidden="false" customHeight="false" outlineLevel="0" collapsed="false">
      <c r="E597" s="54" t="n">
        <v>593</v>
      </c>
      <c r="F597" s="61" t="n">
        <v>0.825595</v>
      </c>
      <c r="G597" s="61" t="n">
        <v>0.880164</v>
      </c>
      <c r="H597" s="34" t="n">
        <f aca="false">NORMSINV(F597)</f>
        <v>0.936899998464531</v>
      </c>
      <c r="I597" s="34" t="n">
        <f aca="false">NORMSINV(G597)</f>
        <v>1.17580702133259</v>
      </c>
      <c r="J597" s="59" t="n">
        <f aca="false">mc_s0*EXP((mc_mu-mc_vol^2/2)*mc_t1+mc_vol*SQRT(mc_t1)*H597)</f>
        <v>1253.58264886038</v>
      </c>
      <c r="K597" s="59" t="n">
        <f aca="false">J597*EXP((mc_mu-mc_vol^2/2)*(mc_t2-mc_t1)+mc_vol*SQRT(mc_t2-mc_t1)*I597)</f>
        <v>1536.4145106012</v>
      </c>
      <c r="L597" s="31" t="n">
        <f aca="false">(t1_usd*J597+t2_usd*K597)/1000</f>
        <v>11694.2661121649</v>
      </c>
    </row>
    <row r="598" customFormat="false" ht="15" hidden="false" customHeight="false" outlineLevel="0" collapsed="false">
      <c r="E598" s="54" t="n">
        <v>594</v>
      </c>
      <c r="F598" s="61" t="n">
        <v>0.049167</v>
      </c>
      <c r="G598" s="61" t="n">
        <v>0.391505</v>
      </c>
      <c r="H598" s="34" t="n">
        <f aca="false">NORMSINV(F598)</f>
        <v>-1.65298458919561</v>
      </c>
      <c r="I598" s="34" t="n">
        <f aca="false">NORMSINV(G598)</f>
        <v>-0.275398625456382</v>
      </c>
      <c r="J598" s="59" t="n">
        <f aca="false">mc_s0*EXP((mc_mu-mc_vol^2/2)*mc_t1+mc_vol*SQRT(mc_t1)*H598)</f>
        <v>978.840076463642</v>
      </c>
      <c r="K598" s="59" t="n">
        <f aca="false">J598*EXP((mc_mu-mc_vol^2/2)*(mc_t2-mc_t1)+mc_vol*SQRT(mc_t2-mc_t1)*I598)</f>
        <v>954.429734715237</v>
      </c>
      <c r="L598" s="31" t="n">
        <f aca="false">(t1_usd*J598+t2_usd*K598)/1000</f>
        <v>8665.29703120444</v>
      </c>
    </row>
    <row r="599" customFormat="false" ht="15" hidden="false" customHeight="false" outlineLevel="0" collapsed="false">
      <c r="E599" s="54" t="n">
        <v>595</v>
      </c>
      <c r="F599" s="61" t="n">
        <v>0.236699</v>
      </c>
      <c r="G599" s="61" t="n">
        <v>0.38526</v>
      </c>
      <c r="H599" s="34" t="n">
        <f aca="false">NORMSINV(F599)</f>
        <v>-0.716961261257899</v>
      </c>
      <c r="I599" s="34" t="n">
        <f aca="false">NORMSINV(G599)</f>
        <v>-0.291694780918167</v>
      </c>
      <c r="J599" s="59" t="n">
        <f aca="false">mc_s0*EXP((mc_mu-mc_vol^2/2)*mc_t1+mc_vol*SQRT(mc_t1)*H599)</f>
        <v>1070.39142756513</v>
      </c>
      <c r="K599" s="59" t="n">
        <f aca="false">J599*EXP((mc_mu-mc_vol^2/2)*(mc_t2-mc_t1)+mc_vol*SQRT(mc_t2-mc_t1)*I599)</f>
        <v>1041.0210276922</v>
      </c>
      <c r="L599" s="31" t="n">
        <f aca="false">(t1_usd*J599+t2_usd*K599)/1000</f>
        <v>9470.6799455711</v>
      </c>
    </row>
    <row r="600" customFormat="false" ht="15" hidden="false" customHeight="false" outlineLevel="0" collapsed="false">
      <c r="E600" s="54" t="n">
        <v>596</v>
      </c>
      <c r="F600" s="61" t="n">
        <v>0.214036</v>
      </c>
      <c r="G600" s="61" t="n">
        <v>0.822744</v>
      </c>
      <c r="H600" s="34" t="n">
        <f aca="false">NORMSINV(F600)</f>
        <v>-0.792495181933999</v>
      </c>
      <c r="I600" s="34" t="n">
        <f aca="false">NORMSINV(G600)</f>
        <v>0.925872969847121</v>
      </c>
      <c r="J600" s="59" t="n">
        <f aca="false">mc_s0*EXP((mc_mu-mc_vol^2/2)*mc_t1+mc_vol*SQRT(mc_t1)*H600)</f>
        <v>1062.69613597032</v>
      </c>
      <c r="K600" s="59" t="n">
        <f aca="false">J600*EXP((mc_mu-mc_vol^2/2)*(mc_t2-mc_t1)+mc_vol*SQRT(mc_t2-mc_t1)*I600)</f>
        <v>1252.15640331542</v>
      </c>
      <c r="L600" s="31" t="n">
        <f aca="false">(t1_usd*J600+t2_usd*K600)/1000</f>
        <v>9817.97011809153</v>
      </c>
    </row>
    <row r="601" customFormat="false" ht="15" hidden="false" customHeight="false" outlineLevel="0" collapsed="false">
      <c r="E601" s="54" t="n">
        <v>597</v>
      </c>
      <c r="F601" s="61" t="n">
        <v>0.709333</v>
      </c>
      <c r="G601" s="61" t="n">
        <v>0.856197</v>
      </c>
      <c r="H601" s="34" t="n">
        <f aca="false">NORMSINV(F601)</f>
        <v>0.551437208167281</v>
      </c>
      <c r="I601" s="34" t="n">
        <f aca="false">NORMSINV(G601)</f>
        <v>1.06338807149757</v>
      </c>
      <c r="J601" s="59" t="n">
        <f aca="false">mc_s0*EXP((mc_mu-mc_vol^2/2)*mc_t1+mc_vol*SQRT(mc_t1)*H601)</f>
        <v>1208.26464593941</v>
      </c>
      <c r="K601" s="59" t="n">
        <f aca="false">J601*EXP((mc_mu-mc_vol^2/2)*(mc_t2-mc_t1)+mc_vol*SQRT(mc_t2-mc_t1)*I601)</f>
        <v>1454.86713805621</v>
      </c>
      <c r="L601" s="31" t="n">
        <f aca="false">(t1_usd*J601+t2_usd*K601)/1000</f>
        <v>11222.1000838827</v>
      </c>
    </row>
    <row r="602" customFormat="false" ht="15" hidden="false" customHeight="false" outlineLevel="0" collapsed="false">
      <c r="E602" s="54" t="n">
        <v>598</v>
      </c>
      <c r="F602" s="61" t="n">
        <v>0.019179</v>
      </c>
      <c r="G602" s="61" t="n">
        <v>0.05453</v>
      </c>
      <c r="H602" s="34" t="n">
        <f aca="false">NORMSINV(F602)</f>
        <v>-2.07100851845532</v>
      </c>
      <c r="I602" s="34" t="n">
        <f aca="false">NORMSINV(G602)</f>
        <v>-1.60243251279621</v>
      </c>
      <c r="J602" s="59" t="n">
        <f aca="false">mc_s0*EXP((mc_mu-mc_vol^2/2)*mc_t1+mc_vol*SQRT(mc_t1)*H602)</f>
        <v>940.524343627012</v>
      </c>
      <c r="K602" s="59" t="n">
        <f aca="false">J602*EXP((mc_mu-mc_vol^2/2)*(mc_t2-mc_t1)+mc_vol*SQRT(mc_t2-mc_t1)*I602)</f>
        <v>744.007984645516</v>
      </c>
      <c r="L602" s="31" t="n">
        <f aca="false">(t1_usd*J602+t2_usd*K602)/1000</f>
        <v>7997.28557621557</v>
      </c>
    </row>
    <row r="603" customFormat="false" ht="15" hidden="false" customHeight="false" outlineLevel="0" collapsed="false">
      <c r="E603" s="54" t="n">
        <v>599</v>
      </c>
      <c r="F603" s="61" t="n">
        <v>0.985677</v>
      </c>
      <c r="G603" s="61" t="n">
        <v>0.240926</v>
      </c>
      <c r="H603" s="34" t="n">
        <f aca="false">NORMSINV(F603)</f>
        <v>2.18832413590565</v>
      </c>
      <c r="I603" s="34" t="n">
        <f aca="false">NORMSINV(G603)</f>
        <v>-0.703326980971744</v>
      </c>
      <c r="J603" s="59" t="n">
        <f aca="false">mc_s0*EXP((mc_mu-mc_vol^2/2)*mc_t1+mc_vol*SQRT(mc_t1)*H603)</f>
        <v>1412.75950810206</v>
      </c>
      <c r="K603" s="59" t="n">
        <f aca="false">J603*EXP((mc_mu-mc_vol^2/2)*(mc_t2-mc_t1)+mc_vol*SQRT(mc_t2-mc_t1)*I603)</f>
        <v>1287.69273780335</v>
      </c>
      <c r="L603" s="31" t="n">
        <f aca="false">(t1_usd*J603+t2_usd*K603)/1000</f>
        <v>12335.9327585408</v>
      </c>
    </row>
    <row r="604" customFormat="false" ht="15" hidden="false" customHeight="false" outlineLevel="0" collapsed="false">
      <c r="E604" s="54" t="n">
        <v>600</v>
      </c>
      <c r="F604" s="61" t="n">
        <v>0.896405</v>
      </c>
      <c r="G604" s="61" t="n">
        <v>0.033116</v>
      </c>
      <c r="H604" s="34" t="n">
        <f aca="false">NORMSINV(F604)</f>
        <v>1.26132993579959</v>
      </c>
      <c r="I604" s="34" t="n">
        <f aca="false">NORMSINV(G604)</f>
        <v>-1.83685028632174</v>
      </c>
      <c r="J604" s="59" t="n">
        <f aca="false">mc_s0*EXP((mc_mu-mc_vol^2/2)*mc_t1+mc_vol*SQRT(mc_t1)*H604)</f>
        <v>1293.0399160692</v>
      </c>
      <c r="K604" s="59" t="n">
        <f aca="false">J604*EXP((mc_mu-mc_vol^2/2)*(mc_t2-mc_t1)+mc_vol*SQRT(mc_t2-mc_t1)*I604)</f>
        <v>985.769778546605</v>
      </c>
      <c r="L604" s="31" t="n">
        <f aca="false">(t1_usd*J604+t2_usd*K604)/1000</f>
        <v>10924.2419917229</v>
      </c>
    </row>
    <row r="605" customFormat="false" ht="15" hidden="false" customHeight="false" outlineLevel="0" collapsed="false">
      <c r="E605" s="54" t="n">
        <v>601</v>
      </c>
      <c r="F605" s="61" t="n">
        <v>0.107233</v>
      </c>
      <c r="G605" s="61" t="n">
        <v>0.132543</v>
      </c>
      <c r="H605" s="34" t="n">
        <f aca="false">NORMSINV(F605)</f>
        <v>-1.24137838557932</v>
      </c>
      <c r="I605" s="34" t="n">
        <f aca="false">NORMSINV(G605)</f>
        <v>-1.1144504274842</v>
      </c>
      <c r="J605" s="59" t="n">
        <f aca="false">mc_s0*EXP((mc_mu-mc_vol^2/2)*mc_t1+mc_vol*SQRT(mc_t1)*H605)</f>
        <v>1018.09242150179</v>
      </c>
      <c r="K605" s="59" t="n">
        <f aca="false">J605*EXP((mc_mu-mc_vol^2/2)*(mc_t2-mc_t1)+mc_vol*SQRT(mc_t2-mc_t1)*I605)</f>
        <v>869.74744205402</v>
      </c>
      <c r="L605" s="31" t="n">
        <f aca="false">(t1_usd*J605+t2_usd*K605)/1000</f>
        <v>8779.16709041517</v>
      </c>
    </row>
    <row r="606" customFormat="false" ht="15" hidden="false" customHeight="false" outlineLevel="0" collapsed="false">
      <c r="E606" s="54" t="n">
        <v>602</v>
      </c>
      <c r="F606" s="61" t="n">
        <v>0.471305</v>
      </c>
      <c r="G606" s="61" t="n">
        <v>0.106363</v>
      </c>
      <c r="H606" s="34" t="n">
        <f aca="false">NORMSINV(F606)</f>
        <v>-0.0719898316789864</v>
      </c>
      <c r="I606" s="34" t="n">
        <f aca="false">NORMSINV(G606)</f>
        <v>-1.24610458985205</v>
      </c>
      <c r="J606" s="59" t="n">
        <f aca="false">mc_s0*EXP((mc_mu-mc_vol^2/2)*mc_t1+mc_vol*SQRT(mc_t1)*H606)</f>
        <v>1138.41138183305</v>
      </c>
      <c r="K606" s="59" t="n">
        <f aca="false">J606*EXP((mc_mu-mc_vol^2/2)*(mc_t2-mc_t1)+mc_vol*SQRT(mc_t2-mc_t1)*I606)</f>
        <v>952.564800664287</v>
      </c>
      <c r="L606" s="31" t="n">
        <f aca="false">(t1_usd*J606+t2_usd*K606)/1000</f>
        <v>9778.75279409353</v>
      </c>
    </row>
    <row r="607" customFormat="false" ht="15" hidden="false" customHeight="false" outlineLevel="0" collapsed="false">
      <c r="E607" s="54" t="n">
        <v>603</v>
      </c>
      <c r="F607" s="61" t="n">
        <v>0.736907</v>
      </c>
      <c r="G607" s="61" t="n">
        <v>0.782953</v>
      </c>
      <c r="H607" s="34" t="n">
        <f aca="false">NORMSINV(F607)</f>
        <v>0.633838844240498</v>
      </c>
      <c r="I607" s="34" t="n">
        <f aca="false">NORMSINV(G607)</f>
        <v>0.782205181275969</v>
      </c>
      <c r="J607" s="59" t="n">
        <f aca="false">mc_s0*EXP((mc_mu-mc_vol^2/2)*mc_t1+mc_vol*SQRT(mc_t1)*H607)</f>
        <v>1217.81269159537</v>
      </c>
      <c r="K607" s="59" t="n">
        <f aca="false">J607*EXP((mc_mu-mc_vol^2/2)*(mc_t2-mc_t1)+mc_vol*SQRT(mc_t2-mc_t1)*I607)</f>
        <v>1402.80428202645</v>
      </c>
      <c r="L607" s="31" t="n">
        <f aca="false">(t1_usd*J607+t2_usd*K607)/1000</f>
        <v>11190.0169770178</v>
      </c>
    </row>
    <row r="608" customFormat="false" ht="15" hidden="false" customHeight="false" outlineLevel="0" collapsed="false">
      <c r="E608" s="54" t="n">
        <v>604</v>
      </c>
      <c r="F608" s="61" t="n">
        <v>0.209046</v>
      </c>
      <c r="G608" s="61" t="n">
        <v>0.380706</v>
      </c>
      <c r="H608" s="34" t="n">
        <f aca="false">NORMSINV(F608)</f>
        <v>-0.809735865607907</v>
      </c>
      <c r="I608" s="34" t="n">
        <f aca="false">NORMSINV(G608)</f>
        <v>-0.303627103794883</v>
      </c>
      <c r="J608" s="59" t="n">
        <f aca="false">mc_s0*EXP((mc_mu-mc_vol^2/2)*mc_t1+mc_vol*SQRT(mc_t1)*H608)</f>
        <v>1060.94744821507</v>
      </c>
      <c r="K608" s="59" t="n">
        <f aca="false">J608*EXP((mc_mu-mc_vol^2/2)*(mc_t2-mc_t1)+mc_vol*SQRT(mc_t2-mc_t1)*I608)</f>
        <v>1029.89768488972</v>
      </c>
      <c r="L608" s="31" t="n">
        <f aca="false">(t1_usd*J608+t2_usd*K608)/1000</f>
        <v>9383.43773879598</v>
      </c>
    </row>
    <row r="609" customFormat="false" ht="15" hidden="false" customHeight="false" outlineLevel="0" collapsed="false">
      <c r="E609" s="54" t="n">
        <v>605</v>
      </c>
      <c r="F609" s="61" t="n">
        <v>0.273331</v>
      </c>
      <c r="G609" s="61" t="n">
        <v>0.327844</v>
      </c>
      <c r="H609" s="34" t="n">
        <f aca="false">NORMSINV(F609)</f>
        <v>-0.602769559304833</v>
      </c>
      <c r="I609" s="34" t="n">
        <f aca="false">NORMSINV(G609)</f>
        <v>-0.44587436577601</v>
      </c>
      <c r="J609" s="59" t="n">
        <f aca="false">mc_s0*EXP((mc_mu-mc_vol^2/2)*mc_t1+mc_vol*SQRT(mc_t1)*H609)</f>
        <v>1082.13105160698</v>
      </c>
      <c r="K609" s="59" t="n">
        <f aca="false">J609*EXP((mc_mu-mc_vol^2/2)*(mc_t2-mc_t1)+mc_vol*SQRT(mc_t2-mc_t1)*I609)</f>
        <v>1027.17490796611</v>
      </c>
      <c r="L609" s="31" t="n">
        <f aca="false">(t1_usd*J609+t2_usd*K609)/1000</f>
        <v>9526.54968638446</v>
      </c>
    </row>
    <row r="610" customFormat="false" ht="15" hidden="false" customHeight="false" outlineLevel="0" collapsed="false">
      <c r="E610" s="54" t="n">
        <v>606</v>
      </c>
      <c r="F610" s="61" t="n">
        <v>0.614044</v>
      </c>
      <c r="G610" s="61" t="n">
        <v>0.169529</v>
      </c>
      <c r="H610" s="34" t="n">
        <f aca="false">NORMSINV(F610)</f>
        <v>0.289874827434992</v>
      </c>
      <c r="I610" s="34" t="n">
        <f aca="false">NORMSINV(G610)</f>
        <v>-0.956028175155204</v>
      </c>
      <c r="J610" s="59" t="n">
        <f aca="false">mc_s0*EXP((mc_mu-mc_vol^2/2)*mc_t1+mc_vol*SQRT(mc_t1)*H610)</f>
        <v>1178.45001455577</v>
      </c>
      <c r="K610" s="59" t="n">
        <f aca="false">J610*EXP((mc_mu-mc_vol^2/2)*(mc_t2-mc_t1)+mc_vol*SQRT(mc_t2-mc_t1)*I610)</f>
        <v>1032.19044555299</v>
      </c>
      <c r="L610" s="31" t="n">
        <f aca="false">(t1_usd*J610+t2_usd*K610)/1000</f>
        <v>10210.3119484411</v>
      </c>
    </row>
    <row r="611" customFormat="false" ht="15" hidden="false" customHeight="false" outlineLevel="0" collapsed="false">
      <c r="E611" s="54" t="n">
        <v>607</v>
      </c>
      <c r="F611" s="61" t="n">
        <v>0.803172</v>
      </c>
      <c r="G611" s="61" t="n">
        <v>0.35308</v>
      </c>
      <c r="H611" s="34" t="n">
        <f aca="false">NORMSINV(F611)</f>
        <v>0.85300595835165</v>
      </c>
      <c r="I611" s="34" t="n">
        <f aca="false">NORMSINV(G611)</f>
        <v>-0.377018307124606</v>
      </c>
      <c r="J611" s="59" t="n">
        <f aca="false">mc_s0*EXP((mc_mu-mc_vol^2/2)*mc_t1+mc_vol*SQRT(mc_t1)*H611)</f>
        <v>1243.57686025775</v>
      </c>
      <c r="K611" s="59" t="n">
        <f aca="false">J611*EXP((mc_mu-mc_vol^2/2)*(mc_t2-mc_t1)+mc_vol*SQRT(mc_t2-mc_t1)*I611)</f>
        <v>1193.3004693484</v>
      </c>
      <c r="L611" s="31" t="n">
        <f aca="false">(t1_usd*J611+t2_usd*K611)/1000</f>
        <v>10972.3089135662</v>
      </c>
    </row>
    <row r="612" customFormat="false" ht="15" hidden="false" customHeight="false" outlineLevel="0" collapsed="false">
      <c r="E612" s="54" t="n">
        <v>608</v>
      </c>
      <c r="F612" s="61" t="n">
        <v>0.886779</v>
      </c>
      <c r="G612" s="61" t="n">
        <v>0.61403</v>
      </c>
      <c r="H612" s="34" t="n">
        <f aca="false">NORMSINV(F612)</f>
        <v>1.20957504155572</v>
      </c>
      <c r="I612" s="34" t="n">
        <f aca="false">NORMSINV(G612)</f>
        <v>0.289838229044407</v>
      </c>
      <c r="J612" s="59" t="n">
        <f aca="false">mc_s0*EXP((mc_mu-mc_vol^2/2)*mc_t1+mc_vol*SQRT(mc_t1)*H612)</f>
        <v>1286.66320816016</v>
      </c>
      <c r="K612" s="59" t="n">
        <f aca="false">J612*EXP((mc_mu-mc_vol^2/2)*(mc_t2-mc_t1)+mc_vol*SQRT(mc_t2-mc_t1)*I612)</f>
        <v>1371.45941811854</v>
      </c>
      <c r="L612" s="31" t="n">
        <f aca="false">(t1_usd*J612+t2_usd*K612)/1000</f>
        <v>11612.4153515464</v>
      </c>
    </row>
    <row r="613" customFormat="false" ht="15" hidden="false" customHeight="false" outlineLevel="0" collapsed="false">
      <c r="E613" s="54" t="n">
        <v>609</v>
      </c>
      <c r="F613" s="61" t="n">
        <v>0.414668</v>
      </c>
      <c r="G613" s="61" t="n">
        <v>0.524791</v>
      </c>
      <c r="H613" s="34" t="n">
        <f aca="false">NORMSINV(F613)</f>
        <v>-0.215553250184256</v>
      </c>
      <c r="I613" s="34" t="n">
        <f aca="false">NORMSINV(G613)</f>
        <v>0.0621818702401698</v>
      </c>
      <c r="J613" s="59" t="n">
        <f aca="false">mc_s0*EXP((mc_mu-mc_vol^2/2)*mc_t1+mc_vol*SQRT(mc_t1)*H613)</f>
        <v>1122.90627324529</v>
      </c>
      <c r="K613" s="59" t="n">
        <f aca="false">J613*EXP((mc_mu-mc_vol^2/2)*(mc_t2-mc_t1)+mc_vol*SQRT(mc_t2-mc_t1)*I613)</f>
        <v>1154.72977090916</v>
      </c>
      <c r="L613" s="31" t="n">
        <f aca="false">(t1_usd*J613+t2_usd*K613)/1000</f>
        <v>10054.3304774444</v>
      </c>
    </row>
    <row r="614" customFormat="false" ht="15" hidden="false" customHeight="false" outlineLevel="0" collapsed="false">
      <c r="E614" s="54" t="n">
        <v>610</v>
      </c>
      <c r="F614" s="61" t="n">
        <v>0.828477</v>
      </c>
      <c r="G614" s="61" t="n">
        <v>0.315219</v>
      </c>
      <c r="H614" s="34" t="n">
        <f aca="false">NORMSINV(F614)</f>
        <v>0.948163943039895</v>
      </c>
      <c r="I614" s="34" t="n">
        <f aca="false">NORMSINV(G614)</f>
        <v>-0.48111045196995</v>
      </c>
      <c r="J614" s="59" t="n">
        <f aca="false">mc_s0*EXP((mc_mu-mc_vol^2/2)*mc_t1+mc_vol*SQRT(mc_t1)*H614)</f>
        <v>1254.93218148963</v>
      </c>
      <c r="K614" s="59" t="n">
        <f aca="false">J614*EXP((mc_mu-mc_vol^2/2)*(mc_t2-mc_t1)+mc_vol*SQRT(mc_t2-mc_t1)*I614)</f>
        <v>1184.60394855762</v>
      </c>
      <c r="L614" s="31" t="n">
        <f aca="false">(t1_usd*J614+t2_usd*K614)/1000</f>
        <v>11035.2727726869</v>
      </c>
    </row>
    <row r="615" customFormat="false" ht="15" hidden="false" customHeight="false" outlineLevel="0" collapsed="false">
      <c r="E615" s="54" t="n">
        <v>611</v>
      </c>
      <c r="F615" s="61" t="n">
        <v>0.670239</v>
      </c>
      <c r="G615" s="61" t="n">
        <v>0.617678</v>
      </c>
      <c r="H615" s="34" t="n">
        <f aca="false">NORMSINV(F615)</f>
        <v>0.440573211411023</v>
      </c>
      <c r="I615" s="34" t="n">
        <f aca="false">NORMSINV(G615)</f>
        <v>0.299388022460745</v>
      </c>
      <c r="J615" s="59" t="n">
        <f aca="false">mc_s0*EXP((mc_mu-mc_vol^2/2)*mc_t1+mc_vol*SQRT(mc_t1)*H615)</f>
        <v>1195.53661317933</v>
      </c>
      <c r="K615" s="59" t="n">
        <f aca="false">J615*EXP((mc_mu-mc_vol^2/2)*(mc_t2-mc_t1)+mc_vol*SQRT(mc_t2-mc_t1)*I615)</f>
        <v>1276.246503046</v>
      </c>
      <c r="L615" s="31" t="n">
        <f aca="false">(t1_usd*J615+t2_usd*K615)/1000</f>
        <v>10793.6246480427</v>
      </c>
    </row>
    <row r="616" customFormat="false" ht="15" hidden="false" customHeight="false" outlineLevel="0" collapsed="false">
      <c r="E616" s="54" t="n">
        <v>612</v>
      </c>
      <c r="F616" s="61" t="n">
        <v>0.211044</v>
      </c>
      <c r="G616" s="61" t="n">
        <v>0.183026</v>
      </c>
      <c r="H616" s="34" t="n">
        <f aca="false">NORMSINV(F616)</f>
        <v>-0.802804051623905</v>
      </c>
      <c r="I616" s="34" t="n">
        <f aca="false">NORMSINV(G616)</f>
        <v>-0.903893266449135</v>
      </c>
      <c r="J616" s="59" t="n">
        <f aca="false">mc_s0*EXP((mc_mu-mc_vol^2/2)*mc_t1+mc_vol*SQRT(mc_t1)*H616)</f>
        <v>1061.65018196642</v>
      </c>
      <c r="K616" s="59" t="n">
        <f aca="false">J616*EXP((mc_mu-mc_vol^2/2)*(mc_t2-mc_t1)+mc_vol*SQRT(mc_t2-mc_t1)*I616)</f>
        <v>937.558373851425</v>
      </c>
      <c r="L616" s="31" t="n">
        <f aca="false">(t1_usd*J616+t2_usd*K616)/1000</f>
        <v>9212.91218408267</v>
      </c>
    </row>
    <row r="617" customFormat="false" ht="15" hidden="false" customHeight="false" outlineLevel="0" collapsed="false">
      <c r="E617" s="54" t="n">
        <v>613</v>
      </c>
      <c r="F617" s="61" t="n">
        <v>0.477293</v>
      </c>
      <c r="G617" s="61" t="n">
        <v>0.637496</v>
      </c>
      <c r="H617" s="34" t="n">
        <f aca="false">NORMSINV(F617)</f>
        <v>-0.0569487756237543</v>
      </c>
      <c r="I617" s="34" t="n">
        <f aca="false">NORMSINV(G617)</f>
        <v>0.351773678444309</v>
      </c>
      <c r="J617" s="59" t="n">
        <f aca="false">mc_s0*EXP((mc_mu-mc_vol^2/2)*mc_t1+mc_vol*SQRT(mc_t1)*H617)</f>
        <v>1140.04818265448</v>
      </c>
      <c r="K617" s="59" t="n">
        <f aca="false">J617*EXP((mc_mu-mc_vol^2/2)*(mc_t2-mc_t1)+mc_vol*SQRT(mc_t2-mc_t1)*I617)</f>
        <v>1227.1008654886</v>
      </c>
      <c r="L617" s="31" t="n">
        <f aca="false">(t1_usd*J617+t2_usd*K617)/1000</f>
        <v>10311.8289230097</v>
      </c>
    </row>
    <row r="618" customFormat="false" ht="15" hidden="false" customHeight="false" outlineLevel="0" collapsed="false">
      <c r="E618" s="54" t="n">
        <v>614</v>
      </c>
      <c r="F618" s="61" t="n">
        <v>0.080239</v>
      </c>
      <c r="G618" s="61" t="n">
        <v>0.358069</v>
      </c>
      <c r="H618" s="34" t="n">
        <f aca="false">NORMSINV(F618)</f>
        <v>-1.4034657444908</v>
      </c>
      <c r="I618" s="34" t="n">
        <f aca="false">NORMSINV(G618)</f>
        <v>-0.363625074537895</v>
      </c>
      <c r="J618" s="59" t="n">
        <f aca="false">mc_s0*EXP((mc_mu-mc_vol^2/2)*mc_t1+mc_vol*SQRT(mc_t1)*H618)</f>
        <v>1002.45068935046</v>
      </c>
      <c r="K618" s="59" t="n">
        <f aca="false">J618*EXP((mc_mu-mc_vol^2/2)*(mc_t2-mc_t1)+mc_vol*SQRT(mc_t2-mc_t1)*I618)</f>
        <v>963.95521147674</v>
      </c>
      <c r="L618" s="31" t="n">
        <f aca="false">(t1_usd*J618+t2_usd*K618)/1000</f>
        <v>8848.669727259</v>
      </c>
    </row>
    <row r="619" customFormat="false" ht="15" hidden="false" customHeight="false" outlineLevel="0" collapsed="false">
      <c r="E619" s="54" t="n">
        <v>615</v>
      </c>
      <c r="F619" s="61" t="n">
        <v>0.677977</v>
      </c>
      <c r="G619" s="61" t="n">
        <v>0.747833</v>
      </c>
      <c r="H619" s="34" t="n">
        <f aca="false">NORMSINV(F619)</f>
        <v>0.462049253814073</v>
      </c>
      <c r="I619" s="34" t="n">
        <f aca="false">NORMSINV(G619)</f>
        <v>0.667686075862754</v>
      </c>
      <c r="J619" s="59" t="n">
        <f aca="false">mc_s0*EXP((mc_mu-mc_vol^2/2)*mc_t1+mc_vol*SQRT(mc_t1)*H619)</f>
        <v>1197.99171170411</v>
      </c>
      <c r="K619" s="59" t="n">
        <f aca="false">J619*EXP((mc_mu-mc_vol^2/2)*(mc_t2-mc_t1)+mc_vol*SQRT(mc_t2-mc_t1)*I619)</f>
        <v>1355.29083126197</v>
      </c>
      <c r="L619" s="31" t="n">
        <f aca="false">(t1_usd*J619+t2_usd*K619)/1000</f>
        <v>10960.9945613265</v>
      </c>
    </row>
    <row r="620" customFormat="false" ht="15" hidden="false" customHeight="false" outlineLevel="0" collapsed="false">
      <c r="E620" s="54" t="n">
        <v>616</v>
      </c>
      <c r="F620" s="61" t="n">
        <v>0.989179</v>
      </c>
      <c r="G620" s="61" t="n">
        <v>0.672348</v>
      </c>
      <c r="H620" s="34" t="n">
        <f aca="false">NORMSINV(F620)</f>
        <v>2.29659297103091</v>
      </c>
      <c r="I620" s="34" t="n">
        <f aca="false">NORMSINV(G620)</f>
        <v>0.446405999331166</v>
      </c>
      <c r="J620" s="59" t="n">
        <f aca="false">mc_s0*EXP((mc_mu-mc_vol^2/2)*mc_t1+mc_vol*SQRT(mc_t1)*H620)</f>
        <v>1427.44625637904</v>
      </c>
      <c r="K620" s="59" t="n">
        <f aca="false">J620*EXP((mc_mu-mc_vol^2/2)*(mc_t2-mc_t1)+mc_vol*SQRT(mc_t2-mc_t1)*I620)</f>
        <v>1559.52964093805</v>
      </c>
      <c r="L620" s="31" t="n">
        <f aca="false">(t1_usd*J620+t2_usd*K620)/1000</f>
        <v>12955.2301124356</v>
      </c>
    </row>
    <row r="621" customFormat="false" ht="15" hidden="false" customHeight="false" outlineLevel="0" collapsed="false">
      <c r="E621" s="54" t="n">
        <v>617</v>
      </c>
      <c r="F621" s="61" t="n">
        <v>0.859716</v>
      </c>
      <c r="G621" s="61" t="n">
        <v>0.845122</v>
      </c>
      <c r="H621" s="34" t="n">
        <f aca="false">NORMSINV(F621)</f>
        <v>1.07904425450136</v>
      </c>
      <c r="I621" s="34" t="n">
        <f aca="false">NORMSINV(G621)</f>
        <v>1.01573415244041</v>
      </c>
      <c r="J621" s="59" t="n">
        <f aca="false">mc_s0*EXP((mc_mu-mc_vol^2/2)*mc_t1+mc_vol*SQRT(mc_t1)*H621)</f>
        <v>1270.71986586531</v>
      </c>
      <c r="K621" s="59" t="n">
        <f aca="false">J621*EXP((mc_mu-mc_vol^2/2)*(mc_t2-mc_t1)+mc_vol*SQRT(mc_t2-mc_t1)*I621)</f>
        <v>1518.62156604503</v>
      </c>
      <c r="L621" s="31" t="n">
        <f aca="false">(t1_usd*J621+t2_usd*K621)/1000</f>
        <v>11780.4200365427</v>
      </c>
    </row>
    <row r="622" customFormat="false" ht="15" hidden="false" customHeight="false" outlineLevel="0" collapsed="false">
      <c r="E622" s="54" t="n">
        <v>618</v>
      </c>
      <c r="F622" s="61" t="n">
        <v>0.324565</v>
      </c>
      <c r="G622" s="61" t="n">
        <v>0.39653</v>
      </c>
      <c r="H622" s="34" t="n">
        <f aca="false">NORMSINV(F622)</f>
        <v>-0.454971142168294</v>
      </c>
      <c r="I622" s="34" t="n">
        <f aca="false">NORMSINV(G622)</f>
        <v>-0.262339125749609</v>
      </c>
      <c r="J622" s="59" t="n">
        <f aca="false">mc_s0*EXP((mc_mu-mc_vol^2/2)*mc_t1+mc_vol*SQRT(mc_t1)*H622)</f>
        <v>1097.51703301058</v>
      </c>
      <c r="K622" s="59" t="n">
        <f aca="false">J622*EXP((mc_mu-mc_vol^2/2)*(mc_t2-mc_t1)+mc_vol*SQRT(mc_t2-mc_t1)*I622)</f>
        <v>1072.3518472286</v>
      </c>
      <c r="L622" s="31" t="n">
        <f aca="false">(t1_usd*J622+t2_usd*K622)/1000</f>
        <v>9720.0877408084</v>
      </c>
    </row>
    <row r="623" customFormat="false" ht="15" hidden="false" customHeight="false" outlineLevel="0" collapsed="false">
      <c r="E623" s="54" t="n">
        <v>619</v>
      </c>
      <c r="F623" s="61" t="n">
        <v>0.087162</v>
      </c>
      <c r="G623" s="61" t="n">
        <v>0.470703</v>
      </c>
      <c r="H623" s="34" t="n">
        <f aca="false">NORMSINV(F623)</f>
        <v>-1.35844034398857</v>
      </c>
      <c r="I623" s="34" t="n">
        <f aca="false">NORMSINV(G623)</f>
        <v>-0.0735028201402382</v>
      </c>
      <c r="J623" s="59" t="n">
        <f aca="false">mc_s0*EXP((mc_mu-mc_vol^2/2)*mc_t1+mc_vol*SQRT(mc_t1)*H623)</f>
        <v>1006.77145911904</v>
      </c>
      <c r="K623" s="59" t="n">
        <f aca="false">J623*EXP((mc_mu-mc_vol^2/2)*(mc_t2-mc_t1)+mc_vol*SQRT(mc_t2-mc_t1)*I623)</f>
        <v>1013.40078848041</v>
      </c>
      <c r="L623" s="31" t="n">
        <f aca="false">(t1_usd*J623+t2_usd*K623)/1000</f>
        <v>8972.86171194608</v>
      </c>
    </row>
    <row r="624" customFormat="false" ht="15" hidden="false" customHeight="false" outlineLevel="0" collapsed="false">
      <c r="E624" s="54" t="n">
        <v>620</v>
      </c>
      <c r="F624" s="61" t="n">
        <v>0.755642</v>
      </c>
      <c r="G624" s="61" t="n">
        <v>0.044304</v>
      </c>
      <c r="H624" s="34" t="n">
        <f aca="false">NORMSINV(F624)</f>
        <v>0.692352480593995</v>
      </c>
      <c r="I624" s="34" t="n">
        <f aca="false">NORMSINV(G624)</f>
        <v>-1.70278666107646</v>
      </c>
      <c r="J624" s="59" t="n">
        <f aca="false">mc_s0*EXP((mc_mu-mc_vol^2/2)*mc_t1+mc_vol*SQRT(mc_t1)*H624)</f>
        <v>1224.63856322307</v>
      </c>
      <c r="K624" s="59" t="n">
        <f aca="false">J624*EXP((mc_mu-mc_vol^2/2)*(mc_t2-mc_t1)+mc_vol*SQRT(mc_t2-mc_t1)*I624)</f>
        <v>953.557886265461</v>
      </c>
      <c r="L624" s="31" t="n">
        <f aca="false">(t1_usd*J624+t2_usd*K624)/1000</f>
        <v>10384.2299264659</v>
      </c>
    </row>
    <row r="625" customFormat="false" ht="15" hidden="false" customHeight="false" outlineLevel="0" collapsed="false">
      <c r="E625" s="54" t="n">
        <v>621</v>
      </c>
      <c r="F625" s="61" t="n">
        <v>0.794445</v>
      </c>
      <c r="G625" s="61" t="n">
        <v>0.837637</v>
      </c>
      <c r="H625" s="34" t="n">
        <f aca="false">NORMSINV(F625)</f>
        <v>0.82194183776711</v>
      </c>
      <c r="I625" s="34" t="n">
        <f aca="false">NORMSINV(G625)</f>
        <v>0.984792510960338</v>
      </c>
      <c r="J625" s="59" t="n">
        <f aca="false">mc_s0*EXP((mc_mu-mc_vol^2/2)*mc_t1+mc_vol*SQRT(mc_t1)*H625)</f>
        <v>1239.89223132817</v>
      </c>
      <c r="K625" s="59" t="n">
        <f aca="false">J625*EXP((mc_mu-mc_vol^2/2)*(mc_t2-mc_t1)+mc_vol*SQRT(mc_t2-mc_t1)*I625)</f>
        <v>1474.57198631476</v>
      </c>
      <c r="L625" s="31" t="n">
        <f aca="false">(t1_usd*J625+t2_usd*K625)/1000</f>
        <v>11480.9323932952</v>
      </c>
    </row>
    <row r="626" customFormat="false" ht="15" hidden="false" customHeight="false" outlineLevel="0" collapsed="false">
      <c r="E626" s="54" t="n">
        <v>622</v>
      </c>
      <c r="F626" s="61" t="n">
        <v>0.707076</v>
      </c>
      <c r="G626" s="61" t="n">
        <v>0.492434</v>
      </c>
      <c r="H626" s="34" t="n">
        <f aca="false">NORMSINV(F626)</f>
        <v>0.544862629744806</v>
      </c>
      <c r="I626" s="34" t="n">
        <f aca="false">NORMSINV(G626)</f>
        <v>-0.018966286556687</v>
      </c>
      <c r="J626" s="59" t="n">
        <f aca="false">mc_s0*EXP((mc_mu-mc_vol^2/2)*mc_t1+mc_vol*SQRT(mc_t1)*H626)</f>
        <v>1207.50606860617</v>
      </c>
      <c r="K626" s="59" t="n">
        <f aca="false">J626*EXP((mc_mu-mc_vol^2/2)*(mc_t2-mc_t1)+mc_vol*SQRT(mc_t2-mc_t1)*I626)</f>
        <v>1225.9485555823</v>
      </c>
      <c r="L626" s="31" t="n">
        <f aca="false">(t1_usd*J626+t2_usd*K626)/1000</f>
        <v>10781.8447358495</v>
      </c>
    </row>
    <row r="627" customFormat="false" ht="15" hidden="false" customHeight="false" outlineLevel="0" collapsed="false">
      <c r="E627" s="54" t="n">
        <v>623</v>
      </c>
      <c r="F627" s="61" t="n">
        <v>0.446253</v>
      </c>
      <c r="G627" s="61" t="n">
        <v>0.082214</v>
      </c>
      <c r="H627" s="34" t="n">
        <f aca="false">NORMSINV(F627)</f>
        <v>-0.135133909705188</v>
      </c>
      <c r="I627" s="34" t="n">
        <f aca="false">NORMSINV(G627)</f>
        <v>-1.3903322799286</v>
      </c>
      <c r="J627" s="59" t="n">
        <f aca="false">mc_s0*EXP((mc_mu-mc_vol^2/2)*mc_t1+mc_vol*SQRT(mc_t1)*H627)</f>
        <v>1131.56550630045</v>
      </c>
      <c r="K627" s="59" t="n">
        <f aca="false">J627*EXP((mc_mu-mc_vol^2/2)*(mc_t2-mc_t1)+mc_vol*SQRT(mc_t2-mc_t1)*I627)</f>
        <v>925.558320994507</v>
      </c>
      <c r="L627" s="31" t="n">
        <f aca="false">(t1_usd*J627+t2_usd*K627)/1000</f>
        <v>9679.51935399269</v>
      </c>
    </row>
    <row r="628" customFormat="false" ht="15" hidden="false" customHeight="false" outlineLevel="0" collapsed="false">
      <c r="E628" s="54" t="n">
        <v>624</v>
      </c>
      <c r="F628" s="61" t="n">
        <v>0.83532</v>
      </c>
      <c r="G628" s="61" t="n">
        <v>0.064449</v>
      </c>
      <c r="H628" s="34" t="n">
        <f aca="false">NORMSINV(F628)</f>
        <v>0.975403798927951</v>
      </c>
      <c r="I628" s="34" t="n">
        <f aca="false">NORMSINV(G628)</f>
        <v>-1.51846188918706</v>
      </c>
      <c r="J628" s="59" t="n">
        <f aca="false">mc_s0*EXP((mc_mu-mc_vol^2/2)*mc_t1+mc_vol*SQRT(mc_t1)*H628)</f>
        <v>1258.20179527602</v>
      </c>
      <c r="K628" s="59" t="n">
        <f aca="false">J628*EXP((mc_mu-mc_vol^2/2)*(mc_t2-mc_t1)+mc_vol*SQRT(mc_t2-mc_t1)*I628)</f>
        <v>1008.56748152505</v>
      </c>
      <c r="L628" s="31" t="n">
        <f aca="false">(t1_usd*J628+t2_usd*K628)/1000</f>
        <v>10723.6907818297</v>
      </c>
    </row>
    <row r="629" customFormat="false" ht="15" hidden="false" customHeight="false" outlineLevel="0" collapsed="false">
      <c r="E629" s="54" t="n">
        <v>625</v>
      </c>
      <c r="F629" s="61" t="n">
        <v>0.100889</v>
      </c>
      <c r="G629" s="61" t="n">
        <v>0.881597</v>
      </c>
      <c r="H629" s="34" t="n">
        <f aca="false">NORMSINV(F629)</f>
        <v>-1.27650234043705</v>
      </c>
      <c r="I629" s="34" t="n">
        <f aca="false">NORMSINV(G629)</f>
        <v>1.1830079416591</v>
      </c>
      <c r="J629" s="59" t="n">
        <f aca="false">mc_s0*EXP((mc_mu-mc_vol^2/2)*mc_t1+mc_vol*SQRT(mc_t1)*H629)</f>
        <v>1014.68231054439</v>
      </c>
      <c r="K629" s="59" t="n">
        <f aca="false">J629*EXP((mc_mu-mc_vol^2/2)*(mc_t2-mc_t1)+mc_vol*SQRT(mc_t2-mc_t1)*I629)</f>
        <v>1245.02582928086</v>
      </c>
      <c r="L629" s="31" t="n">
        <f aca="false">(t1_usd*J629+t2_usd*K629)/1000</f>
        <v>9468.32524944435</v>
      </c>
    </row>
    <row r="630" customFormat="false" ht="15" hidden="false" customHeight="false" outlineLevel="0" collapsed="false">
      <c r="E630" s="54" t="n">
        <v>626</v>
      </c>
      <c r="F630" s="61" t="n">
        <v>0.243252</v>
      </c>
      <c r="G630" s="61" t="n">
        <v>0.484624</v>
      </c>
      <c r="H630" s="34" t="n">
        <f aca="false">NORMSINV(F630)</f>
        <v>-0.695879973427994</v>
      </c>
      <c r="I630" s="34" t="n">
        <f aca="false">NORMSINV(G630)</f>
        <v>-0.0385514635183292</v>
      </c>
      <c r="J630" s="59" t="n">
        <f aca="false">mc_s0*EXP((mc_mu-mc_vol^2/2)*mc_t1+mc_vol*SQRT(mc_t1)*H630)</f>
        <v>1072.54908930633</v>
      </c>
      <c r="K630" s="59" t="n">
        <f aca="false">J630*EXP((mc_mu-mc_vol^2/2)*(mc_t2-mc_t1)+mc_vol*SQRT(mc_t2-mc_t1)*I630)</f>
        <v>1085.57455883479</v>
      </c>
      <c r="L630" s="31" t="n">
        <f aca="false">(t1_usd*J630+t2_usd*K630)/1000</f>
        <v>9570.43528693039</v>
      </c>
    </row>
    <row r="631" customFormat="false" ht="15" hidden="false" customHeight="false" outlineLevel="0" collapsed="false">
      <c r="E631" s="54" t="n">
        <v>627</v>
      </c>
      <c r="F631" s="61" t="n">
        <v>0.526136</v>
      </c>
      <c r="G631" s="61" t="n">
        <v>0.018329</v>
      </c>
      <c r="H631" s="34" t="n">
        <f aca="false">NORMSINV(F631)</f>
        <v>0.065560170743864</v>
      </c>
      <c r="I631" s="34" t="n">
        <f aca="false">NORMSINV(G631)</f>
        <v>-2.08955269160069</v>
      </c>
      <c r="J631" s="59" t="n">
        <f aca="false">mc_s0*EXP((mc_mu-mc_vol^2/2)*mc_t1+mc_vol*SQRT(mc_t1)*H631)</f>
        <v>1153.46782302508</v>
      </c>
      <c r="K631" s="59" t="n">
        <f aca="false">J631*EXP((mc_mu-mc_vol^2/2)*(mc_t2-mc_t1)+mc_vol*SQRT(mc_t2-mc_t1)*I631)</f>
        <v>845.032923633098</v>
      </c>
      <c r="L631" s="31" t="n">
        <f aca="false">(t1_usd*J631+t2_usd*K631)/1000</f>
        <v>9679.83731607841</v>
      </c>
    </row>
    <row r="632" customFormat="false" ht="15" hidden="false" customHeight="false" outlineLevel="0" collapsed="false">
      <c r="E632" s="54" t="n">
        <v>628</v>
      </c>
      <c r="F632" s="61" t="n">
        <v>0.520042</v>
      </c>
      <c r="G632" s="61" t="n">
        <v>0.408324</v>
      </c>
      <c r="H632" s="34" t="n">
        <f aca="false">NORMSINV(F632)</f>
        <v>0.0502589946220799</v>
      </c>
      <c r="I632" s="34" t="n">
        <f aca="false">NORMSINV(G632)</f>
        <v>-0.231858394954102</v>
      </c>
      <c r="J632" s="59" t="n">
        <f aca="false">mc_s0*EXP((mc_mu-mc_vol^2/2)*mc_t1+mc_vol*SQRT(mc_t1)*H632)</f>
        <v>1151.78313611381</v>
      </c>
      <c r="K632" s="59" t="n">
        <f aca="false">J632*EXP((mc_mu-mc_vol^2/2)*(mc_t2-mc_t1)+mc_vol*SQRT(mc_t2-mc_t1)*I632)</f>
        <v>1130.79247174234</v>
      </c>
      <c r="L632" s="31" t="n">
        <f aca="false">(t1_usd*J632+t2_usd*K632)/1000</f>
        <v>10210.9876491071</v>
      </c>
    </row>
    <row r="633" customFormat="false" ht="15" hidden="false" customHeight="false" outlineLevel="0" collapsed="false">
      <c r="E633" s="54" t="n">
        <v>629</v>
      </c>
      <c r="F633" s="61" t="n">
        <v>0.175616</v>
      </c>
      <c r="G633" s="61" t="n">
        <v>0.485368</v>
      </c>
      <c r="H633" s="34" t="n">
        <f aca="false">NORMSINV(F633)</f>
        <v>-0.932202274973458</v>
      </c>
      <c r="I633" s="34" t="n">
        <f aca="false">NORMSINV(G633)</f>
        <v>-0.0366852117756926</v>
      </c>
      <c r="J633" s="59" t="n">
        <f aca="false">mc_s0*EXP((mc_mu-mc_vol^2/2)*mc_t1+mc_vol*SQRT(mc_t1)*H633)</f>
        <v>1048.60846632925</v>
      </c>
      <c r="K633" s="59" t="n">
        <f aca="false">J633*EXP((mc_mu-mc_vol^2/2)*(mc_t2-mc_t1)+mc_vol*SQRT(mc_t2-mc_t1)*I633)</f>
        <v>1061.65538730773</v>
      </c>
      <c r="L633" s="31" t="n">
        <f aca="false">(t1_usd*J633+t2_usd*K633)/1000</f>
        <v>9357.40450018942</v>
      </c>
    </row>
    <row r="634" customFormat="false" ht="15" hidden="false" customHeight="false" outlineLevel="0" collapsed="false">
      <c r="E634" s="54" t="n">
        <v>630</v>
      </c>
      <c r="F634" s="61" t="n">
        <v>0.601399</v>
      </c>
      <c r="G634" s="61" t="n">
        <v>0.761958</v>
      </c>
      <c r="H634" s="34" t="n">
        <f aca="false">NORMSINV(F634)</f>
        <v>0.256969912064672</v>
      </c>
      <c r="I634" s="34" t="n">
        <f aca="false">NORMSINV(G634)</f>
        <v>0.712615043929029</v>
      </c>
      <c r="J634" s="59" t="n">
        <f aca="false">mc_s0*EXP((mc_mu-mc_vol^2/2)*mc_t1+mc_vol*SQRT(mc_t1)*H634)</f>
        <v>1174.75176815773</v>
      </c>
      <c r="K634" s="59" t="n">
        <f aca="false">J634*EXP((mc_mu-mc_vol^2/2)*(mc_t2-mc_t1)+mc_vol*SQRT(mc_t2-mc_t1)*I634)</f>
        <v>1338.44280131441</v>
      </c>
      <c r="L634" s="31" t="n">
        <f aca="false">(t1_usd*J634+t2_usd*K634)/1000</f>
        <v>10766.3036996015</v>
      </c>
    </row>
    <row r="635" customFormat="false" ht="15" hidden="false" customHeight="false" outlineLevel="0" collapsed="false">
      <c r="E635" s="54" t="n">
        <v>631</v>
      </c>
      <c r="F635" s="61" t="n">
        <v>0.745049</v>
      </c>
      <c r="G635" s="61" t="n">
        <v>0.499883</v>
      </c>
      <c r="H635" s="34" t="n">
        <f aca="false">NORMSINV(F635)</f>
        <v>0.658990296175687</v>
      </c>
      <c r="I635" s="34" t="n">
        <f aca="false">NORMSINV(G635)</f>
        <v>-0.000293275512335903</v>
      </c>
      <c r="J635" s="59" t="n">
        <f aca="false">mc_s0*EXP((mc_mu-mc_vol^2/2)*mc_t1+mc_vol*SQRT(mc_t1)*H635)</f>
        <v>1220.74204395163</v>
      </c>
      <c r="K635" s="59" t="n">
        <f aca="false">J635*EXP((mc_mu-mc_vol^2/2)*(mc_t2-mc_t1)+mc_vol*SQRT(mc_t2-mc_t1)*I635)</f>
        <v>1243.03925054053</v>
      </c>
      <c r="L635" s="31" t="n">
        <f aca="false">(t1_usd*J635+t2_usd*K635)/1000</f>
        <v>10906.9688836884</v>
      </c>
    </row>
    <row r="636" customFormat="false" ht="15" hidden="false" customHeight="false" outlineLevel="0" collapsed="false">
      <c r="E636" s="54" t="n">
        <v>632</v>
      </c>
      <c r="F636" s="61" t="n">
        <v>0.482255</v>
      </c>
      <c r="G636" s="61" t="n">
        <v>0.626938</v>
      </c>
      <c r="H636" s="34" t="n">
        <f aca="false">NORMSINV(F636)</f>
        <v>-0.0444947960765929</v>
      </c>
      <c r="I636" s="34" t="n">
        <f aca="false">NORMSINV(G636)</f>
        <v>0.32375437593131</v>
      </c>
      <c r="J636" s="59" t="n">
        <f aca="false">mc_s0*EXP((mc_mu-mc_vol^2/2)*mc_t1+mc_vol*SQRT(mc_t1)*H636)</f>
        <v>1141.40523298768</v>
      </c>
      <c r="K636" s="59" t="n">
        <f aca="false">J636*EXP((mc_mu-mc_vol^2/2)*(mc_t2-mc_t1)+mc_vol*SQRT(mc_t2-mc_t1)*I636)</f>
        <v>1223.14859851818</v>
      </c>
      <c r="L636" s="31" t="n">
        <f aca="false">(t1_usd*J636+t2_usd*K636)/1000</f>
        <v>10313.8189680983</v>
      </c>
    </row>
    <row r="637" customFormat="false" ht="15" hidden="false" customHeight="false" outlineLevel="0" collapsed="false">
      <c r="E637" s="54" t="n">
        <v>633</v>
      </c>
      <c r="F637" s="61" t="n">
        <v>0.432018</v>
      </c>
      <c r="G637" s="61" t="n">
        <v>0.976819</v>
      </c>
      <c r="H637" s="34" t="n">
        <f aca="false">NORMSINV(F637)</f>
        <v>-0.171238800059369</v>
      </c>
      <c r="I637" s="34" t="n">
        <f aca="false">NORMSINV(G637)</f>
        <v>1.99208256130952</v>
      </c>
      <c r="J637" s="59" t="n">
        <f aca="false">mc_s0*EXP((mc_mu-mc_vol^2/2)*mc_t1+mc_vol*SQRT(mc_t1)*H637)</f>
        <v>1127.66964676124</v>
      </c>
      <c r="K637" s="59" t="n">
        <f aca="false">J637*EXP((mc_mu-mc_vol^2/2)*(mc_t2-mc_t1)+mc_vol*SQRT(mc_t2-mc_t1)*I637)</f>
        <v>1571.82695541848</v>
      </c>
      <c r="L637" s="31" t="n">
        <f aca="false">(t1_usd*J637+t2_usd*K637)/1000</f>
        <v>10880.1587426238</v>
      </c>
    </row>
    <row r="638" customFormat="false" ht="15" hidden="false" customHeight="false" outlineLevel="0" collapsed="false">
      <c r="E638" s="54" t="n">
        <v>634</v>
      </c>
      <c r="F638" s="61" t="n">
        <v>0.609114</v>
      </c>
      <c r="G638" s="61" t="n">
        <v>0.138385</v>
      </c>
      <c r="H638" s="34" t="n">
        <f aca="false">NORMSINV(F638)</f>
        <v>0.277010556900964</v>
      </c>
      <c r="I638" s="34" t="n">
        <f aca="false">NORMSINV(G638)</f>
        <v>-1.08760391881309</v>
      </c>
      <c r="J638" s="59" t="n">
        <f aca="false">mc_s0*EXP((mc_mu-mc_vol^2/2)*mc_t1+mc_vol*SQRT(mc_t1)*H638)</f>
        <v>1177.00279050734</v>
      </c>
      <c r="K638" s="59" t="n">
        <f aca="false">J638*EXP((mc_mu-mc_vol^2/2)*(mc_t2-mc_t1)+mc_vol*SQRT(mc_t2-mc_t1)*I638)</f>
        <v>1009.76630109422</v>
      </c>
      <c r="L638" s="31" t="n">
        <f aca="false">(t1_usd*J638+t2_usd*K638)/1000</f>
        <v>10157.5755056304</v>
      </c>
    </row>
    <row r="639" customFormat="false" ht="15" hidden="false" customHeight="false" outlineLevel="0" collapsed="false">
      <c r="E639" s="54" t="n">
        <v>635</v>
      </c>
      <c r="F639" s="61" t="n">
        <v>0.714167</v>
      </c>
      <c r="G639" s="61" t="n">
        <v>0.048682</v>
      </c>
      <c r="H639" s="34" t="n">
        <f aca="false">NORMSINV(F639)</f>
        <v>0.565599599727467</v>
      </c>
      <c r="I639" s="34" t="n">
        <f aca="false">NORMSINV(G639)</f>
        <v>-1.65776949846668</v>
      </c>
      <c r="J639" s="59" t="n">
        <f aca="false">mc_s0*EXP((mc_mu-mc_vol^2/2)*mc_t1+mc_vol*SQRT(mc_t1)*H639)</f>
        <v>1209.90032732411</v>
      </c>
      <c r="K639" s="59" t="n">
        <f aca="false">J639*EXP((mc_mu-mc_vol^2/2)*(mc_t2-mc_t1)+mc_vol*SQRT(mc_t2-mc_t1)*I639)</f>
        <v>948.789311778529</v>
      </c>
      <c r="L639" s="31" t="n">
        <f aca="false">(t1_usd*J639+t2_usd*K639)/1000</f>
        <v>10272.001983648</v>
      </c>
    </row>
    <row r="640" customFormat="false" ht="15" hidden="false" customHeight="false" outlineLevel="0" collapsed="false">
      <c r="E640" s="54" t="n">
        <v>636</v>
      </c>
      <c r="F640" s="61" t="n">
        <v>0.229741</v>
      </c>
      <c r="G640" s="61" t="n">
        <v>0.483582</v>
      </c>
      <c r="H640" s="34" t="n">
        <f aca="false">NORMSINV(F640)</f>
        <v>-0.73970007926063</v>
      </c>
      <c r="I640" s="34" t="n">
        <f aca="false">NORMSINV(G640)</f>
        <v>-0.0411654465111882</v>
      </c>
      <c r="J640" s="59" t="n">
        <f aca="false">mc_s0*EXP((mc_mu-mc_vol^2/2)*mc_t1+mc_vol*SQRT(mc_t1)*H640)</f>
        <v>1068.06898392654</v>
      </c>
      <c r="K640" s="59" t="n">
        <f aca="false">J640*EXP((mc_mu-mc_vol^2/2)*(mc_t2-mc_t1)+mc_vol*SQRT(mc_t2-mc_t1)*I640)</f>
        <v>1080.59480689799</v>
      </c>
      <c r="L640" s="31" t="n">
        <f aca="false">(t1_usd*J640+t2_usd*K640)/1000</f>
        <v>9529.61302059196</v>
      </c>
    </row>
    <row r="641" customFormat="false" ht="15" hidden="false" customHeight="false" outlineLevel="0" collapsed="false">
      <c r="E641" s="54" t="n">
        <v>637</v>
      </c>
      <c r="F641" s="61" t="n">
        <v>0.943466</v>
      </c>
      <c r="G641" s="61" t="n">
        <v>0.902219</v>
      </c>
      <c r="H641" s="34" t="n">
        <f aca="false">NORMSINV(F641)</f>
        <v>1.58455269545725</v>
      </c>
      <c r="I641" s="34" t="n">
        <f aca="false">NORMSINV(G641)</f>
        <v>1.29429946851776</v>
      </c>
      <c r="J641" s="59" t="n">
        <f aca="false">mc_s0*EXP((mc_mu-mc_vol^2/2)*mc_t1+mc_vol*SQRT(mc_t1)*H641)</f>
        <v>1333.58533617489</v>
      </c>
      <c r="K641" s="59" t="n">
        <f aca="false">J641*EXP((mc_mu-mc_vol^2/2)*(mc_t2-mc_t1)+mc_vol*SQRT(mc_t2-mc_t1)*I641)</f>
        <v>1665.27546074271</v>
      </c>
      <c r="L641" s="31" t="n">
        <f aca="false">(t1_usd*J641+t2_usd*K641)/1000</f>
        <v>12499.1207286354</v>
      </c>
    </row>
    <row r="642" customFormat="false" ht="15" hidden="false" customHeight="false" outlineLevel="0" collapsed="false">
      <c r="E642" s="54" t="n">
        <v>638</v>
      </c>
      <c r="F642" s="61" t="n">
        <v>0.28575</v>
      </c>
      <c r="G642" s="61" t="n">
        <v>0.826346</v>
      </c>
      <c r="H642" s="34" t="n">
        <f aca="false">NORMSINV(F642)</f>
        <v>-0.565843753843865</v>
      </c>
      <c r="I642" s="34" t="n">
        <f aca="false">NORMSINV(G642)</f>
        <v>0.93982369990035</v>
      </c>
      <c r="J642" s="59" t="n">
        <f aca="false">mc_s0*EXP((mc_mu-mc_vol^2/2)*mc_t1+mc_vol*SQRT(mc_t1)*H642)</f>
        <v>1085.95473780622</v>
      </c>
      <c r="K642" s="59" t="n">
        <f aca="false">J642*EXP((mc_mu-mc_vol^2/2)*(mc_t2-mc_t1)+mc_vol*SQRT(mc_t2-mc_t1)*I642)</f>
        <v>1282.3778722849</v>
      </c>
      <c r="L642" s="31" t="n">
        <f aca="false">(t1_usd*J642+t2_usd*K642)/1000</f>
        <v>10038.2011219848</v>
      </c>
    </row>
    <row r="643" customFormat="false" ht="15" hidden="false" customHeight="false" outlineLevel="0" collapsed="false">
      <c r="E643" s="54" t="n">
        <v>639</v>
      </c>
      <c r="F643" s="61" t="n">
        <v>0.227366</v>
      </c>
      <c r="G643" s="61" t="n">
        <v>0.507711</v>
      </c>
      <c r="H643" s="34" t="n">
        <f aca="false">NORMSINV(F643)</f>
        <v>-0.747549392103528</v>
      </c>
      <c r="I643" s="34" t="n">
        <f aca="false">NORMSINV(G643)</f>
        <v>0.0193298142957301</v>
      </c>
      <c r="J643" s="59" t="n">
        <f aca="false">mc_s0*EXP((mc_mu-mc_vol^2/2)*mc_t1+mc_vol*SQRT(mc_t1)*H643)</f>
        <v>1067.26845986972</v>
      </c>
      <c r="K643" s="59" t="n">
        <f aca="false">J643*EXP((mc_mu-mc_vol^2/2)*(mc_t2-mc_t1)+mc_vol*SQRT(mc_t2-mc_t1)*I643)</f>
        <v>1090.1284042615</v>
      </c>
      <c r="L643" s="31" t="n">
        <f aca="false">(t1_usd*J643+t2_usd*K643)/1000</f>
        <v>9542.1231871849</v>
      </c>
    </row>
    <row r="644" customFormat="false" ht="15" hidden="false" customHeight="false" outlineLevel="0" collapsed="false">
      <c r="E644" s="54" t="n">
        <v>640</v>
      </c>
      <c r="F644" s="61" t="n">
        <v>0.367777</v>
      </c>
      <c r="G644" s="61" t="n">
        <v>0.275926</v>
      </c>
      <c r="H644" s="34" t="n">
        <f aca="false">NORMSINV(F644)</f>
        <v>-0.337746804886709</v>
      </c>
      <c r="I644" s="34" t="n">
        <f aca="false">NORMSINV(G644)</f>
        <v>-0.594987240526971</v>
      </c>
      <c r="J644" s="59" t="n">
        <f aca="false">mc_s0*EXP((mc_mu-mc_vol^2/2)*mc_t1+mc_vol*SQRT(mc_t1)*H644)</f>
        <v>1109.87562789398</v>
      </c>
      <c r="K644" s="59" t="n">
        <f aca="false">J644*EXP((mc_mu-mc_vol^2/2)*(mc_t2-mc_t1)+mc_vol*SQRT(mc_t2-mc_t1)*I644)</f>
        <v>1029.04246097011</v>
      </c>
      <c r="L644" s="31" t="n">
        <f aca="false">(t1_usd*J644+t2_usd*K644)/1000</f>
        <v>9724.3100711011</v>
      </c>
    </row>
    <row r="645" customFormat="false" ht="15" hidden="false" customHeight="false" outlineLevel="0" collapsed="false">
      <c r="E645" s="54" t="n">
        <v>641</v>
      </c>
      <c r="F645" s="61" t="n">
        <v>0.472236</v>
      </c>
      <c r="G645" s="61" t="n">
        <v>0.382913</v>
      </c>
      <c r="H645" s="34" t="n">
        <f aca="false">NORMSINV(F645)</f>
        <v>-0.0696503006383517</v>
      </c>
      <c r="I645" s="34" t="n">
        <f aca="false">NORMSINV(G645)</f>
        <v>-0.297839061456376</v>
      </c>
      <c r="J645" s="59" t="n">
        <f aca="false">mc_s0*EXP((mc_mu-mc_vol^2/2)*mc_t1+mc_vol*SQRT(mc_t1)*H645)</f>
        <v>1138.66582032845</v>
      </c>
      <c r="K645" s="59" t="n">
        <f aca="false">J645*EXP((mc_mu-mc_vol^2/2)*(mc_t2-mc_t1)+mc_vol*SQRT(mc_t2-mc_t1)*I645)</f>
        <v>1106.35024962992</v>
      </c>
      <c r="L645" s="31" t="n">
        <f aca="false">(t1_usd*J645+t2_usd*K645)/1000</f>
        <v>10072.726216596</v>
      </c>
    </row>
    <row r="646" customFormat="false" ht="15" hidden="false" customHeight="false" outlineLevel="0" collapsed="false">
      <c r="E646" s="54" t="n">
        <v>642</v>
      </c>
      <c r="F646" s="61" t="n">
        <v>0.968722</v>
      </c>
      <c r="G646" s="61" t="n">
        <v>0.191419</v>
      </c>
      <c r="H646" s="34" t="n">
        <f aca="false">NORMSINV(F646)</f>
        <v>1.86233418344454</v>
      </c>
      <c r="I646" s="34" t="n">
        <f aca="false">NORMSINV(G646)</f>
        <v>-0.872679123099152</v>
      </c>
      <c r="J646" s="59" t="n">
        <f aca="false">mc_s0*EXP((mc_mu-mc_vol^2/2)*mc_t1+mc_vol*SQRT(mc_t1)*H646)</f>
        <v>1369.44489784795</v>
      </c>
      <c r="K646" s="59" t="n">
        <f aca="false">J646*EXP((mc_mu-mc_vol^2/2)*(mc_t2-mc_t1)+mc_vol*SQRT(mc_t2-mc_t1)*I646)</f>
        <v>1215.34000810978</v>
      </c>
      <c r="L646" s="31" t="n">
        <f aca="false">(t1_usd*J646+t2_usd*K646)/1000</f>
        <v>11895.2603003442</v>
      </c>
    </row>
    <row r="647" customFormat="false" ht="15" hidden="false" customHeight="false" outlineLevel="0" collapsed="false">
      <c r="E647" s="54" t="n">
        <v>643</v>
      </c>
      <c r="F647" s="61" t="n">
        <v>0.797722</v>
      </c>
      <c r="G647" s="61" t="n">
        <v>0.406504</v>
      </c>
      <c r="H647" s="34" t="n">
        <f aca="false">NORMSINV(F647)</f>
        <v>0.833512058389664</v>
      </c>
      <c r="I647" s="34" t="n">
        <f aca="false">NORMSINV(G647)</f>
        <v>-0.236547310778696</v>
      </c>
      <c r="J647" s="59" t="n">
        <f aca="false">mc_s0*EXP((mc_mu-mc_vol^2/2)*mc_t1+mc_vol*SQRT(mc_t1)*H647)</f>
        <v>1241.26333989856</v>
      </c>
      <c r="K647" s="59" t="n">
        <f aca="false">J647*EXP((mc_mu-mc_vol^2/2)*(mc_t2-mc_t1)+mc_vol*SQRT(mc_t2-mc_t1)*I647)</f>
        <v>1217.74177195948</v>
      </c>
      <c r="L647" s="31" t="n">
        <f aca="false">(t1_usd*J647+t2_usd*K647)/1000</f>
        <v>11002.5527460129</v>
      </c>
    </row>
    <row r="648" customFormat="false" ht="15" hidden="false" customHeight="false" outlineLevel="0" collapsed="false">
      <c r="E648" s="54" t="n">
        <v>644</v>
      </c>
      <c r="F648" s="61" t="n">
        <v>0.338837</v>
      </c>
      <c r="G648" s="61" t="n">
        <v>0.115703</v>
      </c>
      <c r="H648" s="34" t="n">
        <f aca="false">NORMSINV(F648)</f>
        <v>-0.415639251420467</v>
      </c>
      <c r="I648" s="34" t="n">
        <f aca="false">NORMSINV(G648)</f>
        <v>-1.1967449013247</v>
      </c>
      <c r="J648" s="59" t="n">
        <f aca="false">mc_s0*EXP((mc_mu-mc_vol^2/2)*mc_t1+mc_vol*SQRT(mc_t1)*H648)</f>
        <v>1101.64825410968</v>
      </c>
      <c r="K648" s="59" t="n">
        <f aca="false">J648*EXP((mc_mu-mc_vol^2/2)*(mc_t2-mc_t1)+mc_vol*SQRT(mc_t2-mc_t1)*I648)</f>
        <v>929.001722910664</v>
      </c>
      <c r="L648" s="31" t="n">
        <f aca="false">(t1_usd*J648+t2_usd*K648)/1000</f>
        <v>9476.64105229799</v>
      </c>
    </row>
    <row r="649" customFormat="false" ht="15" hidden="false" customHeight="false" outlineLevel="0" collapsed="false">
      <c r="E649" s="54" t="n">
        <v>645</v>
      </c>
      <c r="F649" s="61" t="n">
        <v>0.333379</v>
      </c>
      <c r="G649" s="61" t="n">
        <v>0.811553</v>
      </c>
      <c r="H649" s="34" t="n">
        <f aca="false">NORMSINV(F649)</f>
        <v>-0.430601706721471</v>
      </c>
      <c r="I649" s="34" t="n">
        <f aca="false">NORMSINV(G649)</f>
        <v>0.883633664722292</v>
      </c>
      <c r="J649" s="59" t="n">
        <f aca="false">mc_s0*EXP((mc_mu-mc_vol^2/2)*mc_t1+mc_vol*SQRT(mc_t1)*H649)</f>
        <v>1100.0748446953</v>
      </c>
      <c r="K649" s="59" t="n">
        <f aca="false">J649*EXP((mc_mu-mc_vol^2/2)*(mc_t2-mc_t1)+mc_vol*SQRT(mc_t2-mc_t1)*I649)</f>
        <v>1287.59942671315</v>
      </c>
      <c r="L649" s="31" t="n">
        <f aca="false">(t1_usd*J649+t2_usd*K649)/1000</f>
        <v>10146.9628236221</v>
      </c>
    </row>
    <row r="650" customFormat="false" ht="15" hidden="false" customHeight="false" outlineLevel="0" collapsed="false">
      <c r="E650" s="54" t="n">
        <v>646</v>
      </c>
      <c r="F650" s="61" t="n">
        <v>0.848998</v>
      </c>
      <c r="G650" s="61" t="n">
        <v>0.680901</v>
      </c>
      <c r="H650" s="34" t="n">
        <f aca="false">NORMSINV(F650)</f>
        <v>1.0321454180345</v>
      </c>
      <c r="I650" s="34" t="n">
        <f aca="false">NORMSINV(G650)</f>
        <v>0.470219785196218</v>
      </c>
      <c r="J650" s="59" t="n">
        <f aca="false">mc_s0*EXP((mc_mu-mc_vol^2/2)*mc_t1+mc_vol*SQRT(mc_t1)*H650)</f>
        <v>1265.03990030656</v>
      </c>
      <c r="K650" s="59" t="n">
        <f aca="false">J650*EXP((mc_mu-mc_vol^2/2)*(mc_t2-mc_t1)+mc_vol*SQRT(mc_t2-mc_t1)*I650)</f>
        <v>1387.29222078137</v>
      </c>
      <c r="L650" s="31" t="n">
        <f aca="false">(t1_usd*J650+t2_usd*K650)/1000</f>
        <v>11491.1345216306</v>
      </c>
    </row>
    <row r="651" customFormat="false" ht="15" hidden="false" customHeight="false" outlineLevel="0" collapsed="false">
      <c r="E651" s="54" t="n">
        <v>647</v>
      </c>
      <c r="F651" s="61" t="n">
        <v>0.314771</v>
      </c>
      <c r="G651" s="61" t="n">
        <v>0.215987</v>
      </c>
      <c r="H651" s="34" t="n">
        <f aca="false">NORMSINV(F651)</f>
        <v>-0.482371589030395</v>
      </c>
      <c r="I651" s="34" t="n">
        <f aca="false">NORMSINV(G651)</f>
        <v>-0.785818204276227</v>
      </c>
      <c r="J651" s="59" t="n">
        <f aca="false">mc_s0*EXP((mc_mu-mc_vol^2/2)*mc_t1+mc_vol*SQRT(mc_t1)*H651)</f>
        <v>1094.64818899949</v>
      </c>
      <c r="K651" s="59" t="n">
        <f aca="false">J651*EXP((mc_mu-mc_vol^2/2)*(mc_t2-mc_t1)+mc_vol*SQRT(mc_t2-mc_t1)*I651)</f>
        <v>984.855961162576</v>
      </c>
      <c r="L651" s="31" t="n">
        <f aca="false">(t1_usd*J651+t2_usd*K651)/1000</f>
        <v>9533.76364920534</v>
      </c>
    </row>
    <row r="652" customFormat="false" ht="15" hidden="false" customHeight="false" outlineLevel="0" collapsed="false">
      <c r="E652" s="54" t="n">
        <v>648</v>
      </c>
      <c r="F652" s="61" t="n">
        <v>0.197936</v>
      </c>
      <c r="G652" s="61" t="n">
        <v>0.536542</v>
      </c>
      <c r="H652" s="34" t="n">
        <f aca="false">NORMSINV(F652)</f>
        <v>-0.849016699566924</v>
      </c>
      <c r="I652" s="34" t="n">
        <f aca="false">NORMSINV(G652)</f>
        <v>0.0917256720815279</v>
      </c>
      <c r="J652" s="59" t="n">
        <f aca="false">mc_s0*EXP((mc_mu-mc_vol^2/2)*mc_t1+mc_vol*SQRT(mc_t1)*H652)</f>
        <v>1056.97401155395</v>
      </c>
      <c r="K652" s="59" t="n">
        <f aca="false">J652*EXP((mc_mu-mc_vol^2/2)*(mc_t2-mc_t1)+mc_vol*SQRT(mc_t2-mc_t1)*I652)</f>
        <v>1092.00140356625</v>
      </c>
      <c r="L652" s="31" t="n">
        <f aca="false">(t1_usd*J652+t2_usd*K652)/1000</f>
        <v>9473.62074765355</v>
      </c>
    </row>
    <row r="653" customFormat="false" ht="15" hidden="false" customHeight="false" outlineLevel="0" collapsed="false">
      <c r="E653" s="54" t="n">
        <v>649</v>
      </c>
      <c r="F653" s="61" t="n">
        <v>0.86729</v>
      </c>
      <c r="G653" s="61" t="n">
        <v>0.265663</v>
      </c>
      <c r="H653" s="34" t="n">
        <f aca="false">NORMSINV(F653)</f>
        <v>1.1136718267042</v>
      </c>
      <c r="I653" s="34" t="n">
        <f aca="false">NORMSINV(G653)</f>
        <v>-0.6259831400829</v>
      </c>
      <c r="J653" s="59" t="n">
        <f aca="false">mc_s0*EXP((mc_mu-mc_vol^2/2)*mc_t1+mc_vol*SQRT(mc_t1)*H653)</f>
        <v>1274.93000619626</v>
      </c>
      <c r="K653" s="59" t="n">
        <f aca="false">J653*EXP((mc_mu-mc_vol^2/2)*(mc_t2-mc_t1)+mc_vol*SQRT(mc_t2-mc_t1)*I653)</f>
        <v>1176.31573458388</v>
      </c>
      <c r="L653" s="31" t="n">
        <f aca="false">(t1_usd*J653+t2_usd*K653)/1000</f>
        <v>11159.5099390832</v>
      </c>
    </row>
    <row r="654" customFormat="false" ht="15" hidden="false" customHeight="false" outlineLevel="0" collapsed="false">
      <c r="E654" s="54" t="n">
        <v>650</v>
      </c>
      <c r="F654" s="61" t="n">
        <v>0.767799</v>
      </c>
      <c r="G654" s="61" t="n">
        <v>0.101034</v>
      </c>
      <c r="H654" s="34" t="n">
        <f aca="false">NORMSINV(F654)</f>
        <v>0.731617604581285</v>
      </c>
      <c r="I654" s="34" t="n">
        <f aca="false">NORMSINV(G654)</f>
        <v>-1.27568187007461</v>
      </c>
      <c r="J654" s="59" t="n">
        <f aca="false">mc_s0*EXP((mc_mu-mc_vol^2/2)*mc_t1+mc_vol*SQRT(mc_t1)*H654)</f>
        <v>1229.24044930703</v>
      </c>
      <c r="K654" s="59" t="n">
        <f aca="false">J654*EXP((mc_mu-mc_vol^2/2)*(mc_t2-mc_t1)+mc_vol*SQRT(mc_t2-mc_t1)*I654)</f>
        <v>1023.78277630047</v>
      </c>
      <c r="L654" s="31" t="n">
        <f aca="false">(t1_usd*J654+t2_usd*K654)/1000</f>
        <v>10549.8704201201</v>
      </c>
    </row>
    <row r="655" customFormat="false" ht="15" hidden="false" customHeight="false" outlineLevel="0" collapsed="false">
      <c r="E655" s="54" t="n">
        <v>651</v>
      </c>
      <c r="F655" s="61" t="n">
        <v>0.556339</v>
      </c>
      <c r="G655" s="61" t="n">
        <v>0.027897</v>
      </c>
      <c r="H655" s="34" t="n">
        <f aca="false">NORMSINV(F655)</f>
        <v>0.141693638479302</v>
      </c>
      <c r="I655" s="34" t="n">
        <f aca="false">NORMSINV(G655)</f>
        <v>-1.91264121147015</v>
      </c>
      <c r="J655" s="59" t="n">
        <f aca="false">mc_s0*EXP((mc_mu-mc_vol^2/2)*mc_t1+mc_vol*SQRT(mc_t1)*H655)</f>
        <v>1161.88695850854</v>
      </c>
      <c r="K655" s="59" t="n">
        <f aca="false">J655*EXP((mc_mu-mc_vol^2/2)*(mc_t2-mc_t1)+mc_vol*SQRT(mc_t2-mc_t1)*I655)</f>
        <v>875.266231202162</v>
      </c>
      <c r="L655" s="31" t="n">
        <f aca="false">(t1_usd*J655+t2_usd*K655)/1000</f>
        <v>9796.2145488439</v>
      </c>
    </row>
    <row r="656" customFormat="false" ht="15" hidden="false" customHeight="false" outlineLevel="0" collapsed="false">
      <c r="E656" s="54" t="n">
        <v>652</v>
      </c>
      <c r="F656" s="61" t="n">
        <v>0.820563</v>
      </c>
      <c r="G656" s="61" t="n">
        <v>0.906416</v>
      </c>
      <c r="H656" s="34" t="n">
        <f aca="false">NORMSINV(F656)</f>
        <v>0.917512778328716</v>
      </c>
      <c r="I656" s="34" t="n">
        <f aca="false">NORMSINV(G656)</f>
        <v>1.31900332761412</v>
      </c>
      <c r="J656" s="59" t="n">
        <f aca="false">mc_s0*EXP((mc_mu-mc_vol^2/2)*mc_t1+mc_vol*SQRT(mc_t1)*H656)</f>
        <v>1251.26326470313</v>
      </c>
      <c r="K656" s="59" t="n">
        <f aca="false">J656*EXP((mc_mu-mc_vol^2/2)*(mc_t2-mc_t1)+mc_vol*SQRT(mc_t2-mc_t1)*I656)</f>
        <v>1568.57302981061</v>
      </c>
      <c r="L656" s="31" t="n">
        <f aca="false">(t1_usd*J656+t2_usd*K656)/1000</f>
        <v>11739.1316095621</v>
      </c>
    </row>
    <row r="657" customFormat="false" ht="15" hidden="false" customHeight="false" outlineLevel="0" collapsed="false">
      <c r="E657" s="54" t="n">
        <v>653</v>
      </c>
      <c r="F657" s="61" t="n">
        <v>0.215071</v>
      </c>
      <c r="G657" s="61" t="n">
        <v>0.378247</v>
      </c>
      <c r="H657" s="34" t="n">
        <f aca="false">NORMSINV(F657)</f>
        <v>-0.788948683557855</v>
      </c>
      <c r="I657" s="34" t="n">
        <f aca="false">NORMSINV(G657)</f>
        <v>-0.310088049222537</v>
      </c>
      <c r="J657" s="59" t="n">
        <f aca="false">mc_s0*EXP((mc_mu-mc_vol^2/2)*mc_t1+mc_vol*SQRT(mc_t1)*H657)</f>
        <v>1063.05620741509</v>
      </c>
      <c r="K657" s="59" t="n">
        <f aca="false">J657*EXP((mc_mu-mc_vol^2/2)*(mc_t2-mc_t1)+mc_vol*SQRT(mc_t2-mc_t1)*I657)</f>
        <v>1030.89453652077</v>
      </c>
      <c r="L657" s="31" t="n">
        <f aca="false">(t1_usd*J657+t2_usd*K657)/1000</f>
        <v>9400.09307129506</v>
      </c>
    </row>
    <row r="658" customFormat="false" ht="15" hidden="false" customHeight="false" outlineLevel="0" collapsed="false">
      <c r="E658" s="54" t="n">
        <v>654</v>
      </c>
      <c r="F658" s="61" t="n">
        <v>0.550711</v>
      </c>
      <c r="G658" s="61" t="n">
        <v>0.210281</v>
      </c>
      <c r="H658" s="34" t="n">
        <f aca="false">NORMSINV(F658)</f>
        <v>0.127457890254199</v>
      </c>
      <c r="I658" s="34" t="n">
        <f aca="false">NORMSINV(G658)</f>
        <v>-0.805446616963678</v>
      </c>
      <c r="J658" s="59" t="n">
        <f aca="false">mc_s0*EXP((mc_mu-mc_vol^2/2)*mc_t1+mc_vol*SQRT(mc_t1)*H658)</f>
        <v>1160.30805651331</v>
      </c>
      <c r="K658" s="59" t="n">
        <f aca="false">J658*EXP((mc_mu-mc_vol^2/2)*(mc_t2-mc_t1)+mc_vol*SQRT(mc_t2-mc_t1)*I658)</f>
        <v>1040.70599853348</v>
      </c>
      <c r="L658" s="31" t="n">
        <f aca="false">(t1_usd*J658+t2_usd*K658)/1000</f>
        <v>10099.4977928068</v>
      </c>
    </row>
    <row r="659" customFormat="false" ht="15" hidden="false" customHeight="false" outlineLevel="0" collapsed="false">
      <c r="E659" s="54" t="n">
        <v>655</v>
      </c>
      <c r="F659" s="61" t="n">
        <v>0.136407</v>
      </c>
      <c r="G659" s="61" t="n">
        <v>0.204792</v>
      </c>
      <c r="H659" s="34" t="n">
        <f aca="false">NORMSINV(F659)</f>
        <v>-1.0966052305649</v>
      </c>
      <c r="I659" s="34" t="n">
        <f aca="false">NORMSINV(G659)</f>
        <v>-0.824625921875603</v>
      </c>
      <c r="J659" s="59" t="n">
        <f aca="false">mc_s0*EXP((mc_mu-mc_vol^2/2)*mc_t1+mc_vol*SQRT(mc_t1)*H659)</f>
        <v>1032.26953796582</v>
      </c>
      <c r="K659" s="59" t="n">
        <f aca="false">J659*EXP((mc_mu-mc_vol^2/2)*(mc_t2-mc_t1)+mc_vol*SQRT(mc_t2-mc_t1)*I659)</f>
        <v>923.071185779823</v>
      </c>
      <c r="L659" s="31" t="n">
        <f aca="false">(t1_usd*J659+t2_usd*K659)/1000</f>
        <v>8979.72201874243</v>
      </c>
    </row>
    <row r="660" customFormat="false" ht="15" hidden="false" customHeight="false" outlineLevel="0" collapsed="false">
      <c r="E660" s="54" t="n">
        <v>656</v>
      </c>
      <c r="F660" s="61" t="n">
        <v>0.953093</v>
      </c>
      <c r="G660" s="61" t="n">
        <v>0.545024</v>
      </c>
      <c r="H660" s="34" t="n">
        <f aca="false">NORMSINV(F660)</f>
        <v>1.6756131059391</v>
      </c>
      <c r="I660" s="34" t="n">
        <f aca="false">NORMSINV(G660)</f>
        <v>0.113099085508444</v>
      </c>
      <c r="J660" s="59" t="n">
        <f aca="false">mc_s0*EXP((mc_mu-mc_vol^2/2)*mc_t1+mc_vol*SQRT(mc_t1)*H660)</f>
        <v>1345.23589754165</v>
      </c>
      <c r="K660" s="59" t="n">
        <f aca="false">J660*EXP((mc_mu-mc_vol^2/2)*(mc_t2-mc_t1)+mc_vol*SQRT(mc_t2-mc_t1)*I660)</f>
        <v>1394.50530711086</v>
      </c>
      <c r="L660" s="31" t="n">
        <f aca="false">(t1_usd*J660+t2_usd*K660)/1000</f>
        <v>12066.2113663022</v>
      </c>
    </row>
    <row r="661" customFormat="false" ht="15" hidden="false" customHeight="false" outlineLevel="0" collapsed="false">
      <c r="E661" s="54" t="n">
        <v>657</v>
      </c>
      <c r="F661" s="61" t="n">
        <v>0.12574</v>
      </c>
      <c r="G661" s="61" t="n">
        <v>0.341595</v>
      </c>
      <c r="H661" s="34" t="n">
        <f aca="false">NORMSINV(F661)</f>
        <v>-1.1467619959899</v>
      </c>
      <c r="I661" s="34" t="n">
        <f aca="false">NORMSINV(G661)</f>
        <v>-0.40811397574729</v>
      </c>
      <c r="J661" s="59" t="n">
        <f aca="false">mc_s0*EXP((mc_mu-mc_vol^2/2)*mc_t1+mc_vol*SQRT(mc_t1)*H661)</f>
        <v>1027.33565410699</v>
      </c>
      <c r="K661" s="59" t="n">
        <f aca="false">J661*EXP((mc_mu-mc_vol^2/2)*(mc_t2-mc_t1)+mc_vol*SQRT(mc_t2-mc_t1)*I661)</f>
        <v>980.982578101608</v>
      </c>
      <c r="L661" s="31" t="n">
        <f aca="false">(t1_usd*J661+t2_usd*K661)/1000</f>
        <v>9055.21647714196</v>
      </c>
    </row>
    <row r="662" customFormat="false" ht="15" hidden="false" customHeight="false" outlineLevel="0" collapsed="false">
      <c r="E662" s="54" t="n">
        <v>658</v>
      </c>
      <c r="F662" s="61" t="n">
        <v>0.273864</v>
      </c>
      <c r="G662" s="61" t="n">
        <v>0.462207</v>
      </c>
      <c r="H662" s="34" t="n">
        <f aca="false">NORMSINV(F662)</f>
        <v>-0.601168143692782</v>
      </c>
      <c r="I662" s="34" t="n">
        <f aca="false">NORMSINV(G662)</f>
        <v>-0.0948751435703699</v>
      </c>
      <c r="J662" s="59" t="n">
        <f aca="false">mc_s0*EXP((mc_mu-mc_vol^2/2)*mc_t1+mc_vol*SQRT(mc_t1)*H662)</f>
        <v>1082.29659939579</v>
      </c>
      <c r="K662" s="59" t="n">
        <f aca="false">J662*EXP((mc_mu-mc_vol^2/2)*(mc_t2-mc_t1)+mc_vol*SQRT(mc_t2-mc_t1)*I662)</f>
        <v>1085.76009251813</v>
      </c>
      <c r="L662" s="31" t="n">
        <f aca="false">(t1_usd*J662+t2_usd*K662)/1000</f>
        <v>9639.02037155498</v>
      </c>
    </row>
    <row r="663" customFormat="false" ht="15" hidden="false" customHeight="false" outlineLevel="0" collapsed="false">
      <c r="E663" s="54" t="n">
        <v>659</v>
      </c>
      <c r="F663" s="61" t="n">
        <v>0.507404</v>
      </c>
      <c r="G663" s="61" t="n">
        <v>0.08807</v>
      </c>
      <c r="H663" s="34" t="n">
        <f aca="false">NORMSINV(F663)</f>
        <v>0.018560141286313</v>
      </c>
      <c r="I663" s="34" t="n">
        <f aca="false">NORMSINV(G663)</f>
        <v>-1.35273595365817</v>
      </c>
      <c r="J663" s="59" t="n">
        <f aca="false">mc_s0*EXP((mc_mu-mc_vol^2/2)*mc_t1+mc_vol*SQRT(mc_t1)*H663)</f>
        <v>1148.30086026763</v>
      </c>
      <c r="K663" s="59" t="n">
        <f aca="false">J663*EXP((mc_mu-mc_vol^2/2)*(mc_t2-mc_t1)+mc_vol*SQRT(mc_t2-mc_t1)*I663)</f>
        <v>944.828406183272</v>
      </c>
      <c r="L663" s="31" t="n">
        <f aca="false">(t1_usd*J663+t2_usd*K663)/1000</f>
        <v>9833.27999362166</v>
      </c>
    </row>
    <row r="664" customFormat="false" ht="15" hidden="false" customHeight="false" outlineLevel="0" collapsed="false">
      <c r="E664" s="54" t="n">
        <v>660</v>
      </c>
      <c r="F664" s="61" t="n">
        <v>0.577299</v>
      </c>
      <c r="G664" s="61" t="n">
        <v>0.454761</v>
      </c>
      <c r="H664" s="34" t="n">
        <f aca="false">NORMSINV(F664)</f>
        <v>0.194988436769409</v>
      </c>
      <c r="I664" s="34" t="n">
        <f aca="false">NORMSINV(G664)</f>
        <v>-0.113641485100344</v>
      </c>
      <c r="J664" s="59" t="n">
        <f aca="false">mc_s0*EXP((mc_mu-mc_vol^2/2)*mc_t1+mc_vol*SQRT(mc_t1)*H664)</f>
        <v>1167.81704303969</v>
      </c>
      <c r="K664" s="59" t="n">
        <f aca="false">J664*EXP((mc_mu-mc_vol^2/2)*(mc_t2-mc_t1)+mc_vol*SQRT(mc_t2-mc_t1)*I664)</f>
        <v>1168.09452098263</v>
      </c>
      <c r="L664" s="31" t="n">
        <f aca="false">(t1_usd*J664+t2_usd*K664)/1000</f>
        <v>10394.0988911448</v>
      </c>
    </row>
    <row r="665" customFormat="false" ht="15" hidden="false" customHeight="false" outlineLevel="0" collapsed="false">
      <c r="E665" s="54" t="n">
        <v>661</v>
      </c>
      <c r="F665" s="61" t="n">
        <v>0.591179</v>
      </c>
      <c r="G665" s="61" t="n">
        <v>0.77433</v>
      </c>
      <c r="H665" s="34" t="n">
        <f aca="false">NORMSINV(F665)</f>
        <v>0.230578850178517</v>
      </c>
      <c r="I665" s="34" t="n">
        <f aca="false">NORMSINV(G665)</f>
        <v>0.753182922607951</v>
      </c>
      <c r="J665" s="59" t="n">
        <f aca="false">mc_s0*EXP((mc_mu-mc_vol^2/2)*mc_t1+mc_vol*SQRT(mc_t1)*H665)</f>
        <v>1171.79401504005</v>
      </c>
      <c r="K665" s="59" t="n">
        <f aca="false">J665*EXP((mc_mu-mc_vol^2/2)*(mc_t2-mc_t1)+mc_vol*SQRT(mc_t2-mc_t1)*I665)</f>
        <v>1343.63567192643</v>
      </c>
      <c r="L665" s="31" t="n">
        <f aca="false">(t1_usd*J665+t2_usd*K665)/1000</f>
        <v>10755.4658819406</v>
      </c>
    </row>
    <row r="666" customFormat="false" ht="15" hidden="false" customHeight="false" outlineLevel="0" collapsed="false">
      <c r="E666" s="54" t="n">
        <v>662</v>
      </c>
      <c r="F666" s="61" t="n">
        <v>0.669238</v>
      </c>
      <c r="G666" s="61" t="n">
        <v>0.869329</v>
      </c>
      <c r="H666" s="34" t="n">
        <f aca="false">NORMSINV(F666)</f>
        <v>0.437810029367328</v>
      </c>
      <c r="I666" s="34" t="n">
        <f aca="false">NORMSINV(G666)</f>
        <v>1.1232248762541</v>
      </c>
      <c r="J666" s="59" t="n">
        <f aca="false">mc_s0*EXP((mc_mu-mc_vol^2/2)*mc_t1+mc_vol*SQRT(mc_t1)*H666)</f>
        <v>1195.22109723257</v>
      </c>
      <c r="K666" s="59" t="n">
        <f aca="false">J666*EXP((mc_mu-mc_vol^2/2)*(mc_t2-mc_t1)+mc_vol*SQRT(mc_t2-mc_t1)*I666)</f>
        <v>1452.79674663537</v>
      </c>
      <c r="L666" s="31" t="n">
        <f aca="false">(t1_usd*J666+t2_usd*K666)/1000</f>
        <v>11126.8614992352</v>
      </c>
    </row>
    <row r="667" customFormat="false" ht="15" hidden="false" customHeight="false" outlineLevel="0" collapsed="false">
      <c r="E667" s="54" t="n">
        <v>663</v>
      </c>
      <c r="F667" s="61" t="n">
        <v>0.025663</v>
      </c>
      <c r="G667" s="61" t="n">
        <v>0.7176</v>
      </c>
      <c r="H667" s="34" t="n">
        <f aca="false">NORMSINV(F667)</f>
        <v>-1.94874403666001</v>
      </c>
      <c r="I667" s="34" t="n">
        <f aca="false">NORMSINV(G667)</f>
        <v>0.575726589485849</v>
      </c>
      <c r="J667" s="59" t="n">
        <f aca="false">mc_s0*EXP((mc_mu-mc_vol^2/2)*mc_t1+mc_vol*SQRT(mc_t1)*H667)</f>
        <v>951.573144276241</v>
      </c>
      <c r="K667" s="59" t="n">
        <f aca="false">J667*EXP((mc_mu-mc_vol^2/2)*(mc_t2-mc_t1)+mc_vol*SQRT(mc_t2-mc_t1)*I667)</f>
        <v>1061.02834372228</v>
      </c>
      <c r="L667" s="31" t="n">
        <f aca="false">(t1_usd*J667+t2_usd*K667)/1000</f>
        <v>8676.96586300602</v>
      </c>
    </row>
    <row r="668" customFormat="false" ht="15" hidden="false" customHeight="false" outlineLevel="0" collapsed="false">
      <c r="E668" s="54" t="n">
        <v>664</v>
      </c>
      <c r="F668" s="61" t="n">
        <v>0.04445</v>
      </c>
      <c r="G668" s="61" t="n">
        <v>0.538211</v>
      </c>
      <c r="H668" s="34" t="n">
        <f aca="false">NORMSINV(F668)</f>
        <v>-1.7012289694702</v>
      </c>
      <c r="I668" s="34" t="n">
        <f aca="false">NORMSINV(G668)</f>
        <v>0.0959276932087339</v>
      </c>
      <c r="J668" s="59" t="n">
        <f aca="false">mc_s0*EXP((mc_mu-mc_vol^2/2)*mc_t1+mc_vol*SQRT(mc_t1)*H668)</f>
        <v>974.339538804932</v>
      </c>
      <c r="K668" s="59" t="n">
        <f aca="false">J668*EXP((mc_mu-mc_vol^2/2)*(mc_t2-mc_t1)+mc_vol*SQRT(mc_t2-mc_t1)*I668)</f>
        <v>1007.29530136823</v>
      </c>
      <c r="L668" s="31" t="n">
        <f aca="false">(t1_usd*J668+t2_usd*K668)/1000</f>
        <v>8734.23784423415</v>
      </c>
    </row>
    <row r="669" customFormat="false" ht="15" hidden="false" customHeight="false" outlineLevel="0" collapsed="false">
      <c r="E669" s="54" t="n">
        <v>665</v>
      </c>
      <c r="F669" s="61" t="n">
        <v>0.105734</v>
      </c>
      <c r="G669" s="61" t="n">
        <v>0.312923</v>
      </c>
      <c r="H669" s="34" t="n">
        <f aca="false">NORMSINV(F669)</f>
        <v>-1.24953899538931</v>
      </c>
      <c r="I669" s="34" t="n">
        <f aca="false">NORMSINV(G669)</f>
        <v>-0.487581926355007</v>
      </c>
      <c r="J669" s="59" t="n">
        <f aca="false">mc_s0*EXP((mc_mu-mc_vol^2/2)*mc_t1+mc_vol*SQRT(mc_t1)*H669)</f>
        <v>1017.29910441803</v>
      </c>
      <c r="K669" s="59" t="n">
        <f aca="false">J669*EXP((mc_mu-mc_vol^2/2)*(mc_t2-mc_t1)+mc_vol*SQRT(mc_t2-mc_t1)*I669)</f>
        <v>959.309315709764</v>
      </c>
      <c r="L669" s="31" t="n">
        <f aca="false">(t1_usd*J669+t2_usd*K669)/1000</f>
        <v>8943.78143077474</v>
      </c>
    </row>
    <row r="670" customFormat="false" ht="15" hidden="false" customHeight="false" outlineLevel="0" collapsed="false">
      <c r="E670" s="54" t="n">
        <v>666</v>
      </c>
      <c r="F670" s="61" t="n">
        <v>0.79347</v>
      </c>
      <c r="G670" s="61" t="n">
        <v>0.583239</v>
      </c>
      <c r="H670" s="34" t="n">
        <f aca="false">NORMSINV(F670)</f>
        <v>0.818520572308856</v>
      </c>
      <c r="I670" s="34" t="n">
        <f aca="false">NORMSINV(G670)</f>
        <v>0.210186648203668</v>
      </c>
      <c r="J670" s="59" t="n">
        <f aca="false">mc_s0*EXP((mc_mu-mc_vol^2/2)*mc_t1+mc_vol*SQRT(mc_t1)*H670)</f>
        <v>1239.48709051329</v>
      </c>
      <c r="K670" s="59" t="n">
        <f aca="false">J670*EXP((mc_mu-mc_vol^2/2)*(mc_t2-mc_t1)+mc_vol*SQRT(mc_t2-mc_t1)*I670)</f>
        <v>1304.69375744715</v>
      </c>
      <c r="L670" s="31" t="n">
        <f aca="false">(t1_usd*J670+t2_usd*K670)/1000</f>
        <v>11155.3277727426</v>
      </c>
    </row>
    <row r="671" customFormat="false" ht="15" hidden="false" customHeight="false" outlineLevel="0" collapsed="false">
      <c r="E671" s="54" t="n">
        <v>667</v>
      </c>
      <c r="F671" s="61" t="n">
        <v>0.337071</v>
      </c>
      <c r="G671" s="61" t="n">
        <v>0.377406</v>
      </c>
      <c r="H671" s="34" t="n">
        <f aca="false">NORMSINV(F671)</f>
        <v>-0.420470192615875</v>
      </c>
      <c r="I671" s="34" t="n">
        <f aca="false">NORMSINV(G671)</f>
        <v>-0.312300710678073</v>
      </c>
      <c r="J671" s="59" t="n">
        <f aca="false">mc_s0*EXP((mc_mu-mc_vol^2/2)*mc_t1+mc_vol*SQRT(mc_t1)*H671)</f>
        <v>1101.14000017546</v>
      </c>
      <c r="K671" s="59" t="n">
        <f aca="false">J671*EXP((mc_mu-mc_vol^2/2)*(mc_t2-mc_t1)+mc_vol*SQRT(mc_t2-mc_t1)*I671)</f>
        <v>1067.45385685851</v>
      </c>
      <c r="L671" s="31" t="n">
        <f aca="false">(t1_usd*J671+t2_usd*K671)/1000</f>
        <v>9736.1423292594</v>
      </c>
    </row>
    <row r="672" customFormat="false" ht="15" hidden="false" customHeight="false" outlineLevel="0" collapsed="false">
      <c r="E672" s="54" t="n">
        <v>668</v>
      </c>
      <c r="F672" s="61" t="n">
        <v>0.87286</v>
      </c>
      <c r="G672" s="61" t="n">
        <v>0.384901</v>
      </c>
      <c r="H672" s="34" t="n">
        <f aca="false">NORMSINV(F672)</f>
        <v>1.14001512468621</v>
      </c>
      <c r="I672" s="34" t="n">
        <f aca="false">NORMSINV(G672)</f>
        <v>-0.292633898748303</v>
      </c>
      <c r="J672" s="59" t="n">
        <f aca="false">mc_s0*EXP((mc_mu-mc_vol^2/2)*mc_t1+mc_vol*SQRT(mc_t1)*H672)</f>
        <v>1278.14225573976</v>
      </c>
      <c r="K672" s="59" t="n">
        <f aca="false">J672*EXP((mc_mu-mc_vol^2/2)*(mc_t2-mc_t1)+mc_vol*SQRT(mc_t2-mc_t1)*I672)</f>
        <v>1242.88743538521</v>
      </c>
      <c r="L672" s="31" t="n">
        <f aca="false">(t1_usd*J672+t2_usd*K672)/1000</f>
        <v>11308.4819174102</v>
      </c>
    </row>
    <row r="673" customFormat="false" ht="15" hidden="false" customHeight="false" outlineLevel="0" collapsed="false">
      <c r="E673" s="54" t="n">
        <v>669</v>
      </c>
      <c r="F673" s="61" t="n">
        <v>0.868955</v>
      </c>
      <c r="G673" s="61" t="n">
        <v>0.595317</v>
      </c>
      <c r="H673" s="34" t="n">
        <f aca="false">NORMSINV(F673)</f>
        <v>1.12146495674608</v>
      </c>
      <c r="I673" s="34" t="n">
        <f aca="false">NORMSINV(G673)</f>
        <v>0.241244013760615</v>
      </c>
      <c r="J673" s="59" t="n">
        <f aca="false">mc_s0*EXP((mc_mu-mc_vol^2/2)*mc_t1+mc_vol*SQRT(mc_t1)*H673)</f>
        <v>1275.87944324347</v>
      </c>
      <c r="K673" s="59" t="n">
        <f aca="false">J673*EXP((mc_mu-mc_vol^2/2)*(mc_t2-mc_t1)+mc_vol*SQRT(mc_t2-mc_t1)*I673)</f>
        <v>1349.58996554525</v>
      </c>
      <c r="L673" s="31" t="n">
        <f aca="false">(t1_usd*J673+t2_usd*K673)/1000</f>
        <v>11495.3770372403</v>
      </c>
    </row>
    <row r="674" customFormat="false" ht="15" hidden="false" customHeight="false" outlineLevel="0" collapsed="false">
      <c r="E674" s="54" t="n">
        <v>670</v>
      </c>
      <c r="F674" s="61" t="n">
        <v>0.639889</v>
      </c>
      <c r="G674" s="61" t="n">
        <v>0.602934</v>
      </c>
      <c r="H674" s="34" t="n">
        <f aca="false">NORMSINV(F674)</f>
        <v>0.358162110933852</v>
      </c>
      <c r="I674" s="34" t="n">
        <f aca="false">NORMSINV(G674)</f>
        <v>0.26094878860128</v>
      </c>
      <c r="J674" s="59" t="n">
        <f aca="false">mc_s0*EXP((mc_mu-mc_vol^2/2)*mc_t1+mc_vol*SQRT(mc_t1)*H674)</f>
        <v>1186.16214682015</v>
      </c>
      <c r="K674" s="59" t="n">
        <f aca="false">J674*EXP((mc_mu-mc_vol^2/2)*(mc_t2-mc_t1)+mc_vol*SQRT(mc_t2-mc_t1)*I674)</f>
        <v>1258.59178371017</v>
      </c>
      <c r="L674" s="31" t="n">
        <f aca="false">(t1_usd*J674+t2_usd*K674)/1000</f>
        <v>10694.4594167904</v>
      </c>
    </row>
    <row r="675" customFormat="false" ht="15" hidden="false" customHeight="false" outlineLevel="0" collapsed="false">
      <c r="E675" s="54" t="n">
        <v>671</v>
      </c>
      <c r="F675" s="61" t="n">
        <v>0.366744</v>
      </c>
      <c r="G675" s="61" t="n">
        <v>0.361789</v>
      </c>
      <c r="H675" s="34" t="n">
        <f aca="false">NORMSINV(F675)</f>
        <v>-0.340489405352228</v>
      </c>
      <c r="I675" s="34" t="n">
        <f aca="false">NORMSINV(G675)</f>
        <v>-0.353680950940276</v>
      </c>
      <c r="J675" s="59" t="n">
        <f aca="false">mc_s0*EXP((mc_mu-mc_vol^2/2)*mc_t1+mc_vol*SQRT(mc_t1)*H675)</f>
        <v>1109.58490032134</v>
      </c>
      <c r="K675" s="59" t="n">
        <f aca="false">J675*EXP((mc_mu-mc_vol^2/2)*(mc_t2-mc_t1)+mc_vol*SQRT(mc_t2-mc_t1)*I675)</f>
        <v>1068.64871808693</v>
      </c>
      <c r="L675" s="31" t="n">
        <f aca="false">(t1_usd*J675+t2_usd*K675)/1000</f>
        <v>9797.52686661456</v>
      </c>
    </row>
    <row r="676" customFormat="false" ht="15" hidden="false" customHeight="false" outlineLevel="0" collapsed="false">
      <c r="E676" s="54" t="n">
        <v>672</v>
      </c>
      <c r="F676" s="61" t="n">
        <v>0.662669</v>
      </c>
      <c r="G676" s="61" t="n">
        <v>0.987392</v>
      </c>
      <c r="H676" s="34" t="n">
        <f aca="false">NORMSINV(F676)</f>
        <v>0.419758341928704</v>
      </c>
      <c r="I676" s="34" t="n">
        <f aca="false">NORMSINV(G676)</f>
        <v>2.23807752519359</v>
      </c>
      <c r="J676" s="59" t="n">
        <f aca="false">mc_s0*EXP((mc_mu-mc_vol^2/2)*mc_t1+mc_vol*SQRT(mc_t1)*H676)</f>
        <v>1193.16190011325</v>
      </c>
      <c r="K676" s="59" t="n">
        <f aca="false">J676*EXP((mc_mu-mc_vol^2/2)*(mc_t2-mc_t1)+mc_vol*SQRT(mc_t2-mc_t1)*I676)</f>
        <v>1728.85500143975</v>
      </c>
      <c r="L676" s="31" t="n">
        <f aca="false">(t1_usd*J676+t2_usd*K676)/1000</f>
        <v>11636.9578035283</v>
      </c>
    </row>
    <row r="677" customFormat="false" ht="15" hidden="false" customHeight="false" outlineLevel="0" collapsed="false">
      <c r="E677" s="54" t="n">
        <v>673</v>
      </c>
      <c r="F677" s="61" t="n">
        <v>0.477227</v>
      </c>
      <c r="G677" s="61" t="n">
        <v>0.591154</v>
      </c>
      <c r="H677" s="34" t="n">
        <f aca="false">NORMSINV(F677)</f>
        <v>-0.0571144823604731</v>
      </c>
      <c r="I677" s="34" t="n">
        <f aca="false">NORMSINV(G677)</f>
        <v>0.230514496748022</v>
      </c>
      <c r="J677" s="59" t="n">
        <f aca="false">mc_s0*EXP((mc_mu-mc_vol^2/2)*mc_t1+mc_vol*SQRT(mc_t1)*H677)</f>
        <v>1140.03013726818</v>
      </c>
      <c r="K677" s="59" t="n">
        <f aca="false">J677*EXP((mc_mu-mc_vol^2/2)*(mc_t2-mc_t1)+mc_vol*SQRT(mc_t2-mc_t1)*I677)</f>
        <v>1203.8550101748</v>
      </c>
      <c r="L677" s="31" t="n">
        <f aca="false">(t1_usd*J677+t2_usd*K677)/1000</f>
        <v>10267.5354802093</v>
      </c>
    </row>
    <row r="678" customFormat="false" ht="15" hidden="false" customHeight="false" outlineLevel="0" collapsed="false">
      <c r="E678" s="54" t="n">
        <v>674</v>
      </c>
      <c r="F678" s="61" t="n">
        <v>0.44856</v>
      </c>
      <c r="G678" s="61" t="n">
        <v>0.334324</v>
      </c>
      <c r="H678" s="34" t="n">
        <f aca="false">NORMSINV(F678)</f>
        <v>-0.129300343048218</v>
      </c>
      <c r="I678" s="34" t="n">
        <f aca="false">NORMSINV(G678)</f>
        <v>-0.428004285948284</v>
      </c>
      <c r="J678" s="59" t="n">
        <f aca="false">mc_s0*EXP((mc_mu-mc_vol^2/2)*mc_t1+mc_vol*SQRT(mc_t1)*H678)</f>
        <v>1132.19623286466</v>
      </c>
      <c r="K678" s="59" t="n">
        <f aca="false">J678*EXP((mc_mu-mc_vol^2/2)*(mc_t2-mc_t1)+mc_vol*SQRT(mc_t2-mc_t1)*I678)</f>
        <v>1077.72835568585</v>
      </c>
      <c r="L678" s="31" t="n">
        <f aca="false">(t1_usd*J678+t2_usd*K678)/1000</f>
        <v>9973.05750585572</v>
      </c>
    </row>
    <row r="679" customFormat="false" ht="15" hidden="false" customHeight="false" outlineLevel="0" collapsed="false">
      <c r="E679" s="54" t="n">
        <v>675</v>
      </c>
      <c r="F679" s="61" t="n">
        <v>0.094959</v>
      </c>
      <c r="G679" s="61" t="n">
        <v>0.996676</v>
      </c>
      <c r="H679" s="34" t="n">
        <f aca="false">NORMSINV(F679)</f>
        <v>-1.31082172779137</v>
      </c>
      <c r="I679" s="34" t="n">
        <f aca="false">NORMSINV(G679)</f>
        <v>2.71398089533958</v>
      </c>
      <c r="J679" s="59" t="n">
        <f aca="false">mc_s0*EXP((mc_mu-mc_vol^2/2)*mc_t1+mc_vol*SQRT(mc_t1)*H679)</f>
        <v>1011.36134637117</v>
      </c>
      <c r="K679" s="59" t="n">
        <f aca="false">J679*EXP((mc_mu-mc_vol^2/2)*(mc_t2-mc_t1)+mc_vol*SQRT(mc_t2-mc_t1)*I679)</f>
        <v>1579.56410145052</v>
      </c>
      <c r="L679" s="31" t="n">
        <f aca="false">(t1_usd*J679+t2_usd*K679)/1000</f>
        <v>10080.7012173542</v>
      </c>
    </row>
    <row r="680" customFormat="false" ht="15" hidden="false" customHeight="false" outlineLevel="0" collapsed="false">
      <c r="E680" s="54" t="n">
        <v>676</v>
      </c>
      <c r="F680" s="61" t="n">
        <v>0.759923</v>
      </c>
      <c r="G680" s="61" t="n">
        <v>0.007486</v>
      </c>
      <c r="H680" s="34" t="n">
        <f aca="false">NORMSINV(F680)</f>
        <v>0.706054895083955</v>
      </c>
      <c r="I680" s="34" t="n">
        <f aca="false">NORMSINV(G680)</f>
        <v>-2.43305563988572</v>
      </c>
      <c r="J680" s="59" t="n">
        <f aca="false">mc_s0*EXP((mc_mu-mc_vol^2/2)*mc_t1+mc_vol*SQRT(mc_t1)*H680)</f>
        <v>1226.24253061064</v>
      </c>
      <c r="K680" s="59" t="n">
        <f aca="false">J680*EXP((mc_mu-mc_vol^2/2)*(mc_t2-mc_t1)+mc_vol*SQRT(mc_t2-mc_t1)*I680)</f>
        <v>851.00976086933</v>
      </c>
      <c r="L680" s="31" t="n">
        <f aca="false">(t1_usd*J680+t2_usd*K680)/1000</f>
        <v>10200.6162599262</v>
      </c>
    </row>
    <row r="681" customFormat="false" ht="15" hidden="false" customHeight="false" outlineLevel="0" collapsed="false">
      <c r="E681" s="54" t="n">
        <v>677</v>
      </c>
      <c r="F681" s="61" t="n">
        <v>0.860199</v>
      </c>
      <c r="G681" s="61" t="n">
        <v>0.309344</v>
      </c>
      <c r="H681" s="34" t="n">
        <f aca="false">NORMSINV(F681)</f>
        <v>1.08121384677638</v>
      </c>
      <c r="I681" s="34" t="n">
        <f aca="false">NORMSINV(G681)</f>
        <v>-0.497710650731059</v>
      </c>
      <c r="J681" s="59" t="n">
        <f aca="false">mc_s0*EXP((mc_mu-mc_vol^2/2)*mc_t1+mc_vol*SQRT(mc_t1)*H681)</f>
        <v>1270.98324368501</v>
      </c>
      <c r="K681" s="59" t="n">
        <f aca="false">J681*EXP((mc_mu-mc_vol^2/2)*(mc_t2-mc_t1)+mc_vol*SQRT(mc_t2-mc_t1)*I681)</f>
        <v>1196.62093323397</v>
      </c>
      <c r="L681" s="31" t="n">
        <f aca="false">(t1_usd*J681+t2_usd*K681)/1000</f>
        <v>11170.4624789396</v>
      </c>
    </row>
    <row r="682" customFormat="false" ht="15" hidden="false" customHeight="false" outlineLevel="0" collapsed="false">
      <c r="E682" s="54" t="n">
        <v>678</v>
      </c>
      <c r="F682" s="61" t="n">
        <v>0.595864</v>
      </c>
      <c r="G682" s="61" t="n">
        <v>0.797908</v>
      </c>
      <c r="H682" s="34" t="n">
        <f aca="false">NORMSINV(F682)</f>
        <v>0.242655865342352</v>
      </c>
      <c r="I682" s="34" t="n">
        <f aca="false">NORMSINV(G682)</f>
        <v>0.834172118909047</v>
      </c>
      <c r="J682" s="59" t="n">
        <f aca="false">mc_s0*EXP((mc_mu-mc_vol^2/2)*mc_t1+mc_vol*SQRT(mc_t1)*H682)</f>
        <v>1173.14660969734</v>
      </c>
      <c r="K682" s="59" t="n">
        <f aca="false">J682*EXP((mc_mu-mc_vol^2/2)*(mc_t2-mc_t1)+mc_vol*SQRT(mc_t2-mc_t1)*I682)</f>
        <v>1362.4657405062</v>
      </c>
      <c r="L682" s="31" t="n">
        <f aca="false">(t1_usd*J682+t2_usd*K682)/1000</f>
        <v>10800.7111748432</v>
      </c>
    </row>
    <row r="683" customFormat="false" ht="15" hidden="false" customHeight="false" outlineLevel="0" collapsed="false">
      <c r="E683" s="54" t="n">
        <v>679</v>
      </c>
      <c r="F683" s="61" t="n">
        <v>0.519072</v>
      </c>
      <c r="G683" s="61" t="n">
        <v>0.007327</v>
      </c>
      <c r="H683" s="34" t="n">
        <f aca="false">NORMSINV(F683)</f>
        <v>0.0478246389220555</v>
      </c>
      <c r="I683" s="34" t="n">
        <f aca="false">NORMSINV(G683)</f>
        <v>-2.44081893385437</v>
      </c>
      <c r="J683" s="59" t="n">
        <f aca="false">mc_s0*EXP((mc_mu-mc_vol^2/2)*mc_t1+mc_vol*SQRT(mc_t1)*H683)</f>
        <v>1151.51533615406</v>
      </c>
      <c r="K683" s="59" t="n">
        <f aca="false">J683*EXP((mc_mu-mc_vol^2/2)*(mc_t2-mc_t1)+mc_vol*SQRT(mc_t2-mc_t1)*I683)</f>
        <v>798.172128469821</v>
      </c>
      <c r="L683" s="31" t="n">
        <f aca="false">(t1_usd*J683+t2_usd*K683)/1000</f>
        <v>9577.1343971711</v>
      </c>
    </row>
    <row r="684" customFormat="false" ht="15" hidden="false" customHeight="false" outlineLevel="0" collapsed="false">
      <c r="E684" s="54" t="n">
        <v>680</v>
      </c>
      <c r="F684" s="61" t="n">
        <v>0.737499</v>
      </c>
      <c r="G684" s="61" t="n">
        <v>0.097322</v>
      </c>
      <c r="H684" s="34" t="n">
        <f aca="false">NORMSINV(F684)</f>
        <v>0.635653945876767</v>
      </c>
      <c r="I684" s="34" t="n">
        <f aca="false">NORMSINV(G684)</f>
        <v>-1.29696276133032</v>
      </c>
      <c r="J684" s="59" t="n">
        <f aca="false">mc_s0*EXP((mc_mu-mc_vol^2/2)*mc_t1+mc_vol*SQRT(mc_t1)*H684)</f>
        <v>1218.02385825187</v>
      </c>
      <c r="K684" s="59" t="n">
        <f aca="false">J684*EXP((mc_mu-mc_vol^2/2)*(mc_t2-mc_t1)+mc_vol*SQRT(mc_t2-mc_t1)*I684)</f>
        <v>1011.04449228035</v>
      </c>
      <c r="L684" s="31" t="n">
        <f aca="false">(t1_usd*J684+t2_usd*K684)/1000</f>
        <v>10447.1515430958</v>
      </c>
    </row>
    <row r="685" customFormat="false" ht="15" hidden="false" customHeight="false" outlineLevel="0" collapsed="false">
      <c r="E685" s="54" t="n">
        <v>681</v>
      </c>
      <c r="F685" s="61" t="n">
        <v>0.997619</v>
      </c>
      <c r="G685" s="61" t="n">
        <v>0.926191</v>
      </c>
      <c r="H685" s="34" t="n">
        <f aca="false">NORMSINV(F685)</f>
        <v>2.82270746883491</v>
      </c>
      <c r="I685" s="34" t="n">
        <f aca="false">NORMSINV(G685)</f>
        <v>1.4479966052701</v>
      </c>
      <c r="J685" s="59" t="n">
        <f aca="false">mc_s0*EXP((mc_mu-mc_vol^2/2)*mc_t1+mc_vol*SQRT(mc_t1)*H685)</f>
        <v>1501.01695896818</v>
      </c>
      <c r="K685" s="59" t="n">
        <f aca="false">J685*EXP((mc_mu-mc_vol^2/2)*(mc_t2-mc_t1)+mc_vol*SQRT(mc_t2-mc_t1)*I685)</f>
        <v>1920.3048883266</v>
      </c>
      <c r="L685" s="31" t="n">
        <f aca="false">(t1_usd*J685+t2_usd*K685)/1000</f>
        <v>14155.6980005978</v>
      </c>
    </row>
    <row r="686" customFormat="false" ht="15" hidden="false" customHeight="false" outlineLevel="0" collapsed="false">
      <c r="E686" s="54" t="n">
        <v>682</v>
      </c>
      <c r="F686" s="61" t="n">
        <v>0.881977</v>
      </c>
      <c r="G686" s="61" t="n">
        <v>0.572161</v>
      </c>
      <c r="H686" s="34" t="n">
        <f aca="false">NORMSINV(F686)</f>
        <v>1.18492778655013</v>
      </c>
      <c r="I686" s="34" t="n">
        <f aca="false">NORMSINV(G686)</f>
        <v>0.181878598856473</v>
      </c>
      <c r="J686" s="59" t="n">
        <f aca="false">mc_s0*EXP((mc_mu-mc_vol^2/2)*mc_t1+mc_vol*SQRT(mc_t1)*H686)</f>
        <v>1283.63748948697</v>
      </c>
      <c r="K686" s="59" t="n">
        <f aca="false">J686*EXP((mc_mu-mc_vol^2/2)*(mc_t2-mc_t1)+mc_vol*SQRT(mc_t2-mc_t1)*I686)</f>
        <v>1345.15247041897</v>
      </c>
      <c r="L686" s="31" t="n">
        <f aca="false">(t1_usd*J686+t2_usd*K686)/1000</f>
        <v>11541.2521202049</v>
      </c>
    </row>
    <row r="687" customFormat="false" ht="15" hidden="false" customHeight="false" outlineLevel="0" collapsed="false">
      <c r="E687" s="54" t="n">
        <v>683</v>
      </c>
      <c r="F687" s="61" t="n">
        <v>0.196706</v>
      </c>
      <c r="G687" s="61" t="n">
        <v>0.245417</v>
      </c>
      <c r="H687" s="34" t="n">
        <f aca="false">NORMSINV(F687)</f>
        <v>-0.853446038507334</v>
      </c>
      <c r="I687" s="34" t="n">
        <f aca="false">NORMSINV(G687)</f>
        <v>-0.688982945460924</v>
      </c>
      <c r="J687" s="59" t="n">
        <f aca="false">mc_s0*EXP((mc_mu-mc_vol^2/2)*mc_t1+mc_vol*SQRT(mc_t1)*H687)</f>
        <v>1056.52689824161</v>
      </c>
      <c r="K687" s="59" t="n">
        <f aca="false">J687*EXP((mc_mu-mc_vol^2/2)*(mc_t2-mc_t1)+mc_vol*SQRT(mc_t2-mc_t1)*I687)</f>
        <v>965.175520034364</v>
      </c>
      <c r="L687" s="31" t="n">
        <f aca="false">(t1_usd*J687+t2_usd*K687)/1000</f>
        <v>9229.52177575654</v>
      </c>
    </row>
    <row r="688" customFormat="false" ht="15" hidden="false" customHeight="false" outlineLevel="0" collapsed="false">
      <c r="E688" s="54" t="n">
        <v>684</v>
      </c>
      <c r="F688" s="61" t="n">
        <v>0.597054</v>
      </c>
      <c r="G688" s="61" t="n">
        <v>0.0951</v>
      </c>
      <c r="H688" s="34" t="n">
        <f aca="false">NORMSINV(F688)</f>
        <v>0.245729027916722</v>
      </c>
      <c r="I688" s="34" t="n">
        <f aca="false">NORMSINV(G688)</f>
        <v>-1.30998769005117</v>
      </c>
      <c r="J688" s="59" t="n">
        <f aca="false">mc_s0*EXP((mc_mu-mc_vol^2/2)*mc_t1+mc_vol*SQRT(mc_t1)*H688)</f>
        <v>1173.4910451297</v>
      </c>
      <c r="K688" s="59" t="n">
        <f aca="false">J688*EXP((mc_mu-mc_vol^2/2)*(mc_t2-mc_t1)+mc_vol*SQRT(mc_t2-mc_t1)*I688)</f>
        <v>972.081777620837</v>
      </c>
      <c r="L688" s="31" t="n">
        <f aca="false">(t1_usd*J688+t2_usd*K688)/1000</f>
        <v>10061.3926933875</v>
      </c>
    </row>
    <row r="689" customFormat="false" ht="15" hidden="false" customHeight="false" outlineLevel="0" collapsed="false">
      <c r="E689" s="54" t="n">
        <v>685</v>
      </c>
      <c r="F689" s="61" t="n">
        <v>0.061263</v>
      </c>
      <c r="G689" s="61" t="n">
        <v>0.911568</v>
      </c>
      <c r="H689" s="34" t="n">
        <f aca="false">NORMSINV(F689)</f>
        <v>-1.54425735152066</v>
      </c>
      <c r="I689" s="34" t="n">
        <f aca="false">NORMSINV(G689)</f>
        <v>1.35047396294652</v>
      </c>
      <c r="J689" s="59" t="n">
        <f aca="false">mc_s0*EXP((mc_mu-mc_vol^2/2)*mc_t1+mc_vol*SQRT(mc_t1)*H689)</f>
        <v>989.059198132897</v>
      </c>
      <c r="K689" s="59" t="n">
        <f aca="false">J689*EXP((mc_mu-mc_vol^2/2)*(mc_t2-mc_t1)+mc_vol*SQRT(mc_t2-mc_t1)*I689)</f>
        <v>1246.04074516752</v>
      </c>
      <c r="L689" s="31" t="n">
        <f aca="false">(t1_usd*J689+t2_usd*K689)/1000</f>
        <v>9290.89180274857</v>
      </c>
    </row>
    <row r="690" customFormat="false" ht="15" hidden="false" customHeight="false" outlineLevel="0" collapsed="false">
      <c r="E690" s="54" t="n">
        <v>686</v>
      </c>
      <c r="F690" s="61" t="n">
        <v>0.761634</v>
      </c>
      <c r="G690" s="61" t="n">
        <v>0.972885</v>
      </c>
      <c r="H690" s="34" t="n">
        <f aca="false">NORMSINV(F690)</f>
        <v>0.711568530443436</v>
      </c>
      <c r="I690" s="34" t="n">
        <f aca="false">NORMSINV(G690)</f>
        <v>1.92499487027066</v>
      </c>
      <c r="J690" s="59" t="n">
        <f aca="false">mc_s0*EXP((mc_mu-mc_vol^2/2)*mc_t1+mc_vol*SQRT(mc_t1)*H690)</f>
        <v>1226.8885343571</v>
      </c>
      <c r="K690" s="59" t="n">
        <f aca="false">J690*EXP((mc_mu-mc_vol^2/2)*(mc_t2-mc_t1)+mc_vol*SQRT(mc_t2-mc_t1)*I690)</f>
        <v>1692.14020048939</v>
      </c>
      <c r="L690" s="31" t="n">
        <f aca="false">(t1_usd*J690+t2_usd*K690)/1000</f>
        <v>11803.2861214296</v>
      </c>
    </row>
    <row r="691" customFormat="false" ht="15" hidden="false" customHeight="false" outlineLevel="0" collapsed="false">
      <c r="E691" s="54" t="n">
        <v>687</v>
      </c>
      <c r="F691" s="61" t="n">
        <v>0.444325</v>
      </c>
      <c r="G691" s="61" t="n">
        <v>0.185933</v>
      </c>
      <c r="H691" s="34" t="n">
        <f aca="false">NORMSINV(F691)</f>
        <v>-0.140012644415905</v>
      </c>
      <c r="I691" s="34" t="n">
        <f aca="false">NORMSINV(G691)</f>
        <v>-0.892983516473338</v>
      </c>
      <c r="J691" s="59" t="n">
        <f aca="false">mc_s0*EXP((mc_mu-mc_vol^2/2)*mc_t1+mc_vol*SQRT(mc_t1)*H691)</f>
        <v>1131.03828619972</v>
      </c>
      <c r="K691" s="59" t="n">
        <f aca="false">J691*EXP((mc_mu-mc_vol^2/2)*(mc_t2-mc_t1)+mc_vol*SQRT(mc_t2-mc_t1)*I691)</f>
        <v>1000.55477374812</v>
      </c>
      <c r="L691" s="31" t="n">
        <f aca="false">(t1_usd*J691+t2_usd*K691)/1000</f>
        <v>9818.32207351946</v>
      </c>
    </row>
    <row r="692" customFormat="false" ht="15" hidden="false" customHeight="false" outlineLevel="0" collapsed="false">
      <c r="E692" s="54" t="n">
        <v>688</v>
      </c>
      <c r="F692" s="61" t="n">
        <v>0.276811</v>
      </c>
      <c r="G692" s="61" t="n">
        <v>0.207231</v>
      </c>
      <c r="H692" s="34" t="n">
        <f aca="false">NORMSINV(F692)</f>
        <v>-0.592341397471792</v>
      </c>
      <c r="I692" s="34" t="n">
        <f aca="false">NORMSINV(G692)</f>
        <v>-0.816066679512566</v>
      </c>
      <c r="J692" s="59" t="n">
        <f aca="false">mc_s0*EXP((mc_mu-mc_vol^2/2)*mc_t1+mc_vol*SQRT(mc_t1)*H692)</f>
        <v>1083.20952688615</v>
      </c>
      <c r="K692" s="59" t="n">
        <f aca="false">J692*EXP((mc_mu-mc_vol^2/2)*(mc_t2-mc_t1)+mc_vol*SQRT(mc_t2-mc_t1)*I692)</f>
        <v>969.929937378597</v>
      </c>
      <c r="L692" s="31" t="n">
        <f aca="false">(t1_usd*J692+t2_usd*K692)/1000</f>
        <v>9425.33356922235</v>
      </c>
    </row>
    <row r="693" customFormat="false" ht="15" hidden="false" customHeight="false" outlineLevel="0" collapsed="false">
      <c r="E693" s="54" t="n">
        <v>689</v>
      </c>
      <c r="F693" s="61" t="n">
        <v>0.129934</v>
      </c>
      <c r="G693" s="61" t="n">
        <v>0.589811</v>
      </c>
      <c r="H693" s="34" t="n">
        <f aca="false">NORMSINV(F693)</f>
        <v>-1.12670317407259</v>
      </c>
      <c r="I693" s="34" t="n">
        <f aca="false">NORMSINV(G693)</f>
        <v>0.227058825952511</v>
      </c>
      <c r="J693" s="59" t="n">
        <f aca="false">mc_s0*EXP((mc_mu-mc_vol^2/2)*mc_t1+mc_vol*SQRT(mc_t1)*H693)</f>
        <v>1029.30598954603</v>
      </c>
      <c r="K693" s="59" t="n">
        <f aca="false">J693*EXP((mc_mu-mc_vol^2/2)*(mc_t2-mc_t1)+mc_vol*SQRT(mc_t2-mc_t1)*I693)</f>
        <v>1086.34017194608</v>
      </c>
      <c r="L693" s="31" t="n">
        <f aca="false">(t1_usd*J693+t2_usd*K693)/1000</f>
        <v>9269.18825351978</v>
      </c>
    </row>
    <row r="694" customFormat="false" ht="15" hidden="false" customHeight="false" outlineLevel="0" collapsed="false">
      <c r="E694" s="54" t="n">
        <v>690</v>
      </c>
      <c r="F694" s="61" t="n">
        <v>0.363124</v>
      </c>
      <c r="G694" s="61" t="n">
        <v>0.478787</v>
      </c>
      <c r="H694" s="34" t="n">
        <f aca="false">NORMSINV(F694)</f>
        <v>-0.350120855297101</v>
      </c>
      <c r="I694" s="34" t="n">
        <f aca="false">NORMSINV(G694)</f>
        <v>-0.0531981871708897</v>
      </c>
      <c r="J694" s="59" t="n">
        <f aca="false">mc_s0*EXP((mc_mu-mc_vol^2/2)*mc_t1+mc_vol*SQRT(mc_t1)*H694)</f>
        <v>1108.56452794114</v>
      </c>
      <c r="K694" s="59" t="n">
        <f aca="false">J694*EXP((mc_mu-mc_vol^2/2)*(mc_t2-mc_t1)+mc_vol*SQRT(mc_t2-mc_t1)*I694)</f>
        <v>1119.44047965627</v>
      </c>
      <c r="L694" s="31" t="n">
        <f aca="false">(t1_usd*J694+t2_usd*K694)/1000</f>
        <v>9886.88860693486</v>
      </c>
    </row>
    <row r="695" customFormat="false" ht="15" hidden="false" customHeight="false" outlineLevel="0" collapsed="false">
      <c r="E695" s="54" t="n">
        <v>691</v>
      </c>
      <c r="F695" s="61" t="n">
        <v>0.202053</v>
      </c>
      <c r="G695" s="61" t="n">
        <v>0.803841</v>
      </c>
      <c r="H695" s="34" t="n">
        <f aca="false">NORMSINV(F695)</f>
        <v>-0.834310564788585</v>
      </c>
      <c r="I695" s="34" t="n">
        <f aca="false">NORMSINV(G695)</f>
        <v>0.855421220444343</v>
      </c>
      <c r="J695" s="59" t="n">
        <f aca="false">mc_s0*EXP((mc_mu-mc_vol^2/2)*mc_t1+mc_vol*SQRT(mc_t1)*H695)</f>
        <v>1058.45985884788</v>
      </c>
      <c r="K695" s="59" t="n">
        <f aca="false">J695*EXP((mc_mu-mc_vol^2/2)*(mc_t2-mc_t1)+mc_vol*SQRT(mc_t2-mc_t1)*I695)</f>
        <v>1233.39453895518</v>
      </c>
      <c r="L695" s="31" t="n">
        <f aca="false">(t1_usd*J695+t2_usd*K695)/1000</f>
        <v>9752.66863595</v>
      </c>
    </row>
    <row r="696" customFormat="false" ht="15" hidden="false" customHeight="false" outlineLevel="0" collapsed="false">
      <c r="E696" s="54" t="n">
        <v>692</v>
      </c>
      <c r="F696" s="61" t="n">
        <v>0.924403</v>
      </c>
      <c r="G696" s="61" t="n">
        <v>0.218426</v>
      </c>
      <c r="H696" s="34" t="n">
        <f aca="false">NORMSINV(F696)</f>
        <v>1.43532677985144</v>
      </c>
      <c r="I696" s="34" t="n">
        <f aca="false">NORMSINV(G696)</f>
        <v>-0.777520066815949</v>
      </c>
      <c r="J696" s="59" t="n">
        <f aca="false">mc_s0*EXP((mc_mu-mc_vol^2/2)*mc_t1+mc_vol*SQRT(mc_t1)*H696)</f>
        <v>1314.7106527983</v>
      </c>
      <c r="K696" s="59" t="n">
        <f aca="false">J696*EXP((mc_mu-mc_vol^2/2)*(mc_t2-mc_t1)+mc_vol*SQRT(mc_t2-mc_t1)*I696)</f>
        <v>1184.39421353726</v>
      </c>
      <c r="L696" s="31" t="n">
        <f aca="false">(t1_usd*J696+t2_usd*K696)/1000</f>
        <v>11453.3235753089</v>
      </c>
    </row>
    <row r="697" customFormat="false" ht="15" hidden="false" customHeight="false" outlineLevel="0" collapsed="false">
      <c r="E697" s="54" t="n">
        <v>693</v>
      </c>
      <c r="F697" s="61" t="n">
        <v>0.305349</v>
      </c>
      <c r="G697" s="61" t="n">
        <v>0.242509</v>
      </c>
      <c r="H697" s="34" t="n">
        <f aca="false">NORMSINV(F697)</f>
        <v>-0.509077360573997</v>
      </c>
      <c r="I697" s="34" t="n">
        <f aca="false">NORMSINV(G697)</f>
        <v>-0.698254577727966</v>
      </c>
      <c r="J697" s="59" t="n">
        <f aca="false">mc_s0*EXP((mc_mu-mc_vol^2/2)*mc_t1+mc_vol*SQRT(mc_t1)*H697)</f>
        <v>1091.85929430812</v>
      </c>
      <c r="K697" s="59" t="n">
        <f aca="false">J697*EXP((mc_mu-mc_vol^2/2)*(mc_t2-mc_t1)+mc_vol*SQRT(mc_t2-mc_t1)*I697)</f>
        <v>995.996580946936</v>
      </c>
      <c r="L697" s="31" t="n">
        <f aca="false">(t1_usd*J697+t2_usd*K697)/1000</f>
        <v>9535.40856395602</v>
      </c>
    </row>
    <row r="698" customFormat="false" ht="15" hidden="false" customHeight="false" outlineLevel="0" collapsed="false">
      <c r="E698" s="54" t="n">
        <v>694</v>
      </c>
      <c r="F698" s="61" t="n">
        <v>0.100405</v>
      </c>
      <c r="G698" s="61" t="n">
        <v>0.600092</v>
      </c>
      <c r="H698" s="34" t="n">
        <f aca="false">NORMSINV(F698)</f>
        <v>-1.27924725503212</v>
      </c>
      <c r="I698" s="34" t="n">
        <f aca="false">NORMSINV(G698)</f>
        <v>0.253585240975077</v>
      </c>
      <c r="J698" s="59" t="n">
        <f aca="false">mc_s0*EXP((mc_mu-mc_vol^2/2)*mc_t1+mc_vol*SQRT(mc_t1)*H698)</f>
        <v>1014.41629424979</v>
      </c>
      <c r="K698" s="59" t="n">
        <f aca="false">J698*EXP((mc_mu-mc_vol^2/2)*(mc_t2-mc_t1)+mc_vol*SQRT(mc_t2-mc_t1)*I698)</f>
        <v>1075.11042565252</v>
      </c>
      <c r="L698" s="31" t="n">
        <f aca="false">(t1_usd*J698+t2_usd*K698)/1000</f>
        <v>9143.62386848831</v>
      </c>
    </row>
    <row r="699" customFormat="false" ht="15" hidden="false" customHeight="false" outlineLevel="0" collapsed="false">
      <c r="E699" s="54" t="n">
        <v>695</v>
      </c>
      <c r="F699" s="61" t="n">
        <v>0.131101</v>
      </c>
      <c r="G699" s="61" t="n">
        <v>0.446901</v>
      </c>
      <c r="H699" s="34" t="n">
        <f aca="false">NORMSINV(F699)</f>
        <v>-1.12120173825251</v>
      </c>
      <c r="I699" s="34" t="n">
        <f aca="false">NORMSINV(G699)</f>
        <v>-0.133494896691184</v>
      </c>
      <c r="J699" s="59" t="n">
        <f aca="false">mc_s0*EXP((mc_mu-mc_vol^2/2)*mc_t1+mc_vol*SQRT(mc_t1)*H699)</f>
        <v>1029.84704392766</v>
      </c>
      <c r="K699" s="59" t="n">
        <f aca="false">J699*EXP((mc_mu-mc_vol^2/2)*(mc_t2-mc_t1)+mc_vol*SQRT(mc_t2-mc_t1)*I699)</f>
        <v>1026.87386370488</v>
      </c>
      <c r="L699" s="31" t="n">
        <f aca="false">(t1_usd*J699+t2_usd*K699)/1000</f>
        <v>9159.9896485329</v>
      </c>
    </row>
    <row r="700" customFormat="false" ht="15" hidden="false" customHeight="false" outlineLevel="0" collapsed="false">
      <c r="E700" s="54" t="n">
        <v>696</v>
      </c>
      <c r="F700" s="61" t="n">
        <v>0.61987</v>
      </c>
      <c r="G700" s="61" t="n">
        <v>0.113022</v>
      </c>
      <c r="H700" s="34" t="n">
        <f aca="false">NORMSINV(F700)</f>
        <v>0.305139379461413</v>
      </c>
      <c r="I700" s="34" t="n">
        <f aca="false">NORMSINV(G700)</f>
        <v>-1.21061237294991</v>
      </c>
      <c r="J700" s="59" t="n">
        <f aca="false">mc_s0*EXP((mc_mu-mc_vol^2/2)*mc_t1+mc_vol*SQRT(mc_t1)*H700)</f>
        <v>1180.16957775407</v>
      </c>
      <c r="K700" s="59" t="n">
        <f aca="false">J700*EXP((mc_mu-mc_vol^2/2)*(mc_t2-mc_t1)+mc_vol*SQRT(mc_t2-mc_t1)*I700)</f>
        <v>993.044861890744</v>
      </c>
      <c r="L700" s="31" t="n">
        <f aca="false">(t1_usd*J700+t2_usd*K700)/1000</f>
        <v>10147.9722818709</v>
      </c>
    </row>
    <row r="701" customFormat="false" ht="15" hidden="false" customHeight="false" outlineLevel="0" collapsed="false">
      <c r="E701" s="54" t="n">
        <v>697</v>
      </c>
      <c r="F701" s="61" t="n">
        <v>0.723122</v>
      </c>
      <c r="G701" s="61" t="n">
        <v>0.69992</v>
      </c>
      <c r="H701" s="34" t="n">
        <f aca="false">NORMSINV(F701)</f>
        <v>0.592141259687799</v>
      </c>
      <c r="I701" s="34" t="n">
        <f aca="false">NORMSINV(G701)</f>
        <v>0.524170438293198</v>
      </c>
      <c r="J701" s="59" t="n">
        <f aca="false">mc_s0*EXP((mc_mu-mc_vol^2/2)*mc_t1+mc_vol*SQRT(mc_t1)*H701)</f>
        <v>1212.97171459757</v>
      </c>
      <c r="K701" s="59" t="n">
        <f aca="false">J701*EXP((mc_mu-mc_vol^2/2)*(mc_t2-mc_t1)+mc_vol*SQRT(mc_t2-mc_t1)*I701)</f>
        <v>1341.55006234258</v>
      </c>
      <c r="L701" s="31" t="n">
        <f aca="false">(t1_usd*J701+t2_usd*K701)/1000</f>
        <v>11039.7471206339</v>
      </c>
    </row>
    <row r="702" customFormat="false" ht="15" hidden="false" customHeight="false" outlineLevel="0" collapsed="false">
      <c r="E702" s="54" t="n">
        <v>698</v>
      </c>
      <c r="F702" s="61" t="n">
        <v>0.862538</v>
      </c>
      <c r="G702" s="61" t="n">
        <v>0.446468</v>
      </c>
      <c r="H702" s="34" t="n">
        <f aca="false">NORMSINV(F702)</f>
        <v>1.09179321957542</v>
      </c>
      <c r="I702" s="34" t="n">
        <f aca="false">NORMSINV(G702)</f>
        <v>-0.134590061348993</v>
      </c>
      <c r="J702" s="59" t="n">
        <f aca="false">mc_s0*EXP((mc_mu-mc_vol^2/2)*mc_t1+mc_vol*SQRT(mc_t1)*H702)</f>
        <v>1272.26830975311</v>
      </c>
      <c r="K702" s="59" t="n">
        <f aca="false">J702*EXP((mc_mu-mc_vol^2/2)*(mc_t2-mc_t1)+mc_vol*SQRT(mc_t2-mc_t1)*I702)</f>
        <v>1268.37632795734</v>
      </c>
      <c r="L702" s="31" t="n">
        <f aca="false">(t1_usd*J702+t2_usd*K702)/1000</f>
        <v>11315.7931913907</v>
      </c>
    </row>
    <row r="703" customFormat="false" ht="15" hidden="false" customHeight="false" outlineLevel="0" collapsed="false">
      <c r="E703" s="54" t="n">
        <v>699</v>
      </c>
      <c r="F703" s="61" t="n">
        <v>0.794175</v>
      </c>
      <c r="G703" s="61" t="n">
        <v>0.154679</v>
      </c>
      <c r="H703" s="34" t="n">
        <f aca="false">NORMSINV(F703)</f>
        <v>0.820993448489136</v>
      </c>
      <c r="I703" s="34" t="n">
        <f aca="false">NORMSINV(G703)</f>
        <v>-1.01657006658656</v>
      </c>
      <c r="J703" s="59" t="n">
        <f aca="false">mc_s0*EXP((mc_mu-mc_vol^2/2)*mc_t1+mc_vol*SQRT(mc_t1)*H703)</f>
        <v>1239.77991131343</v>
      </c>
      <c r="K703" s="59" t="n">
        <f aca="false">J703*EXP((mc_mu-mc_vol^2/2)*(mc_t2-mc_t1)+mc_vol*SQRT(mc_t2-mc_t1)*I703)</f>
        <v>1075.59720288883</v>
      </c>
      <c r="L703" s="31" t="n">
        <f aca="false">(t1_usd*J703+t2_usd*K703)/1000</f>
        <v>10722.0940646828</v>
      </c>
    </row>
    <row r="704" customFormat="false" ht="15" hidden="false" customHeight="false" outlineLevel="0" collapsed="false">
      <c r="E704" s="54" t="n">
        <v>700</v>
      </c>
      <c r="F704" s="61" t="n">
        <v>0.071917</v>
      </c>
      <c r="G704" s="61" t="n">
        <v>0.70611</v>
      </c>
      <c r="H704" s="34" t="n">
        <f aca="false">NORMSINV(F704)</f>
        <v>-1.46166147222275</v>
      </c>
      <c r="I704" s="34" t="n">
        <f aca="false">NORMSINV(G704)</f>
        <v>0.54205589637566</v>
      </c>
      <c r="J704" s="59" t="n">
        <f aca="false">mc_s0*EXP((mc_mu-mc_vol^2/2)*mc_t1+mc_vol*SQRT(mc_t1)*H704)</f>
        <v>996.8935177544</v>
      </c>
      <c r="K704" s="59" t="n">
        <f aca="false">J704*EXP((mc_mu-mc_vol^2/2)*(mc_t2-mc_t1)+mc_vol*SQRT(mc_t2-mc_t1)*I704)</f>
        <v>1105.67908902911</v>
      </c>
      <c r="L704" s="31" t="n">
        <f aca="false">(t1_usd*J704+t2_usd*K704)/1000</f>
        <v>9079.04489343612</v>
      </c>
    </row>
    <row r="705" customFormat="false" ht="15" hidden="false" customHeight="false" outlineLevel="0" collapsed="false">
      <c r="E705" s="54" t="n">
        <v>701</v>
      </c>
      <c r="F705" s="61" t="n">
        <v>0.267714</v>
      </c>
      <c r="G705" s="61" t="n">
        <v>0.022293</v>
      </c>
      <c r="H705" s="34" t="n">
        <f aca="false">NORMSINV(F705)</f>
        <v>-0.619741482812582</v>
      </c>
      <c r="I705" s="34" t="n">
        <f aca="false">NORMSINV(G705)</f>
        <v>-2.00853943385498</v>
      </c>
      <c r="J705" s="59" t="n">
        <f aca="false">mc_s0*EXP((mc_mu-mc_vol^2/2)*mc_t1+mc_vol*SQRT(mc_t1)*H705)</f>
        <v>1080.37811915122</v>
      </c>
      <c r="K705" s="59" t="n">
        <f aca="false">J705*EXP((mc_mu-mc_vol^2/2)*(mc_t2-mc_t1)+mc_vol*SQRT(mc_t2-mc_t1)*I705)</f>
        <v>801.657063637101</v>
      </c>
      <c r="L705" s="31" t="n">
        <f aca="false">(t1_usd*J705+t2_usd*K705)/1000</f>
        <v>9085.79525496903</v>
      </c>
    </row>
    <row r="706" customFormat="false" ht="15" hidden="false" customHeight="false" outlineLevel="0" collapsed="false">
      <c r="E706" s="54" t="n">
        <v>702</v>
      </c>
      <c r="F706" s="61" t="n">
        <v>0.614196</v>
      </c>
      <c r="G706" s="61" t="n">
        <v>0.704727</v>
      </c>
      <c r="H706" s="34" t="n">
        <f aca="false">NORMSINV(F706)</f>
        <v>0.290272206394239</v>
      </c>
      <c r="I706" s="34" t="n">
        <f aca="false">NORMSINV(G706)</f>
        <v>0.538044973746634</v>
      </c>
      <c r="J706" s="59" t="n">
        <f aca="false">mc_s0*EXP((mc_mu-mc_vol^2/2)*mc_t1+mc_vol*SQRT(mc_t1)*H706)</f>
        <v>1178.49474781339</v>
      </c>
      <c r="K706" s="59" t="n">
        <f aca="false">J706*EXP((mc_mu-mc_vol^2/2)*(mc_t2-mc_t1)+mc_vol*SQRT(mc_t2-mc_t1)*I706)</f>
        <v>1306.27152671144</v>
      </c>
      <c r="L706" s="31" t="n">
        <f aca="false">(t1_usd*J706+t2_usd*K706)/1000</f>
        <v>10731.3791354454</v>
      </c>
    </row>
    <row r="707" customFormat="false" ht="15" hidden="false" customHeight="false" outlineLevel="0" collapsed="false">
      <c r="E707" s="54" t="n">
        <v>703</v>
      </c>
      <c r="F707" s="61" t="n">
        <v>0.540776</v>
      </c>
      <c r="G707" s="61" t="n">
        <v>0.820695</v>
      </c>
      <c r="H707" s="34" t="n">
        <f aca="false">NORMSINV(F707)</f>
        <v>0.10238889229537</v>
      </c>
      <c r="I707" s="34" t="n">
        <f aca="false">NORMSINV(G707)</f>
        <v>0.918016934772087</v>
      </c>
      <c r="J707" s="59" t="n">
        <f aca="false">mc_s0*EXP((mc_mu-mc_vol^2/2)*mc_t1+mc_vol*SQRT(mc_t1)*H707)</f>
        <v>1157.5328414589</v>
      </c>
      <c r="K707" s="59" t="n">
        <f aca="false">J707*EXP((mc_mu-mc_vol^2/2)*(mc_t2-mc_t1)+mc_vol*SQRT(mc_t2-mc_t1)*I707)</f>
        <v>1362.21330346248</v>
      </c>
      <c r="L707" s="31" t="n">
        <f aca="false">(t1_usd*J707+t2_usd*K707)/1000</f>
        <v>10690.935166791</v>
      </c>
    </row>
    <row r="708" customFormat="false" ht="15" hidden="false" customHeight="false" outlineLevel="0" collapsed="false">
      <c r="E708" s="54" t="n">
        <v>704</v>
      </c>
      <c r="F708" s="61" t="n">
        <v>0.497263</v>
      </c>
      <c r="G708" s="61" t="n">
        <v>0.826348</v>
      </c>
      <c r="H708" s="34" t="n">
        <f aca="false">NORMSINV(F708)</f>
        <v>-0.00686069540845884</v>
      </c>
      <c r="I708" s="34" t="n">
        <f aca="false">NORMSINV(G708)</f>
        <v>0.939831496780485</v>
      </c>
      <c r="J708" s="59" t="n">
        <f aca="false">mc_s0*EXP((mc_mu-mc_vol^2/2)*mc_t1+mc_vol*SQRT(mc_t1)*H708)</f>
        <v>1145.515864139</v>
      </c>
      <c r="K708" s="59" t="n">
        <f aca="false">J708*EXP((mc_mu-mc_vol^2/2)*(mc_t2-mc_t1)+mc_vol*SQRT(mc_t2-mc_t1)*I708)</f>
        <v>1352.71383822548</v>
      </c>
      <c r="L708" s="31" t="n">
        <f aca="false">(t1_usd*J708+t2_usd*K708)/1000</f>
        <v>10588.7673416014</v>
      </c>
    </row>
    <row r="709" customFormat="false" ht="15" hidden="false" customHeight="false" outlineLevel="0" collapsed="false">
      <c r="E709" s="54" t="n">
        <v>705</v>
      </c>
      <c r="F709" s="61" t="n">
        <v>0.371621</v>
      </c>
      <c r="G709" s="61" t="n">
        <v>0.380575</v>
      </c>
      <c r="H709" s="34" t="n">
        <f aca="false">NORMSINV(F709)</f>
        <v>-0.327563134126254</v>
      </c>
      <c r="I709" s="34" t="n">
        <f aca="false">NORMSINV(G709)</f>
        <v>-0.303970980366608</v>
      </c>
      <c r="J709" s="59" t="n">
        <f aca="false">mc_s0*EXP((mc_mu-mc_vol^2/2)*mc_t1+mc_vol*SQRT(mc_t1)*H709)</f>
        <v>1110.9558079781</v>
      </c>
      <c r="K709" s="59" t="n">
        <f aca="false">J709*EXP((mc_mu-mc_vol^2/2)*(mc_t2-mc_t1)+mc_vol*SQRT(mc_t2-mc_t1)*I709)</f>
        <v>1078.38405441729</v>
      </c>
      <c r="L709" s="31" t="n">
        <f aca="false">(t1_usd*J709+t2_usd*K709)/1000</f>
        <v>9825.62035923952</v>
      </c>
    </row>
    <row r="710" customFormat="false" ht="15" hidden="false" customHeight="false" outlineLevel="0" collapsed="false">
      <c r="E710" s="54" t="n">
        <v>706</v>
      </c>
      <c r="F710" s="61" t="n">
        <v>0.17028</v>
      </c>
      <c r="G710" s="61" t="n">
        <v>0.004586</v>
      </c>
      <c r="H710" s="34" t="n">
        <f aca="false">NORMSINV(F710)</f>
        <v>-0.953059351387339</v>
      </c>
      <c r="I710" s="34" t="n">
        <f aca="false">NORMSINV(G710)</f>
        <v>-2.60557571212856</v>
      </c>
      <c r="J710" s="59" t="n">
        <f aca="false">mc_s0*EXP((mc_mu-mc_vol^2/2)*mc_t1+mc_vol*SQRT(mc_t1)*H710)</f>
        <v>1046.52137965193</v>
      </c>
      <c r="K710" s="59" t="n">
        <f aca="false">J710*EXP((mc_mu-mc_vol^2/2)*(mc_t2-mc_t1)+mc_vol*SQRT(mc_t2-mc_t1)*I710)</f>
        <v>706.803477156475</v>
      </c>
      <c r="L710" s="31" t="n">
        <f aca="false">(t1_usd*J710+t2_usd*K710)/1000</f>
        <v>8668.57626416079</v>
      </c>
    </row>
    <row r="711" customFormat="false" ht="15" hidden="false" customHeight="false" outlineLevel="0" collapsed="false">
      <c r="E711" s="54" t="n">
        <v>707</v>
      </c>
      <c r="F711" s="61" t="n">
        <v>0.673819</v>
      </c>
      <c r="G711" s="61" t="n">
        <v>0.753461</v>
      </c>
      <c r="H711" s="34" t="n">
        <f aca="false">NORMSINV(F711)</f>
        <v>0.450483290456212</v>
      </c>
      <c r="I711" s="34" t="n">
        <f aca="false">NORMSINV(G711)</f>
        <v>0.685421469494663</v>
      </c>
      <c r="J711" s="59" t="n">
        <f aca="false">mc_s0*EXP((mc_mu-mc_vol^2/2)*mc_t1+mc_vol*SQRT(mc_t1)*H711)</f>
        <v>1196.66888793432</v>
      </c>
      <c r="K711" s="59" t="n">
        <f aca="false">J711*EXP((mc_mu-mc_vol^2/2)*(mc_t2-mc_t1)+mc_vol*SQRT(mc_t2-mc_t1)*I711)</f>
        <v>1357.58343496432</v>
      </c>
      <c r="L711" s="31" t="n">
        <f aca="false">(t1_usd*J711+t2_usd*K711)/1000</f>
        <v>10956.0907419724</v>
      </c>
    </row>
    <row r="712" customFormat="false" ht="15" hidden="false" customHeight="false" outlineLevel="0" collapsed="false">
      <c r="E712" s="54" t="n">
        <v>708</v>
      </c>
      <c r="F712" s="61" t="n">
        <v>0.006515</v>
      </c>
      <c r="G712" s="61" t="n">
        <v>0.537695</v>
      </c>
      <c r="H712" s="34" t="n">
        <f aca="false">NORMSINV(F712)</f>
        <v>-2.48294829248963</v>
      </c>
      <c r="I712" s="34" t="n">
        <f aca="false">NORMSINV(G712)</f>
        <v>0.0946283888118308</v>
      </c>
      <c r="J712" s="59" t="n">
        <f aca="false">mc_s0*EXP((mc_mu-mc_vol^2/2)*mc_t1+mc_vol*SQRT(mc_t1)*H712)</f>
        <v>904.233807430244</v>
      </c>
      <c r="K712" s="59" t="n">
        <f aca="false">J712*EXP((mc_mu-mc_vol^2/2)*(mc_t2-mc_t1)+mc_vol*SQRT(mc_t2-mc_t1)*I712)</f>
        <v>934.626939934087</v>
      </c>
      <c r="L712" s="31" t="n">
        <f aca="false">(t1_usd*J712+t2_usd*K712)/1000</f>
        <v>8105.42783788647</v>
      </c>
    </row>
    <row r="713" customFormat="false" ht="15" hidden="false" customHeight="false" outlineLevel="0" collapsed="false">
      <c r="E713" s="54" t="n">
        <v>709</v>
      </c>
      <c r="F713" s="61" t="n">
        <v>0.424129</v>
      </c>
      <c r="G713" s="61" t="n">
        <v>0.500507</v>
      </c>
      <c r="H713" s="34" t="n">
        <f aca="false">NORMSINV(F713)</f>
        <v>-0.19134156303597</v>
      </c>
      <c r="I713" s="34" t="n">
        <f aca="false">NORMSINV(G713)</f>
        <v>0.00127086087732981</v>
      </c>
      <c r="J713" s="59" t="n">
        <f aca="false">mc_s0*EXP((mc_mu-mc_vol^2/2)*mc_t1+mc_vol*SQRT(mc_t1)*H713)</f>
        <v>1125.50629581536</v>
      </c>
      <c r="K713" s="59" t="n">
        <f aca="false">J713*EXP((mc_mu-mc_vol^2/2)*(mc_t2-mc_t1)+mc_vol*SQRT(mc_t2-mc_t1)*I713)</f>
        <v>1146.3465303656</v>
      </c>
      <c r="L713" s="31" t="n">
        <f aca="false">(t1_usd*J713+t2_usd*K713)/1000</f>
        <v>10056.6024784022</v>
      </c>
    </row>
    <row r="714" customFormat="false" ht="15" hidden="false" customHeight="false" outlineLevel="0" collapsed="false">
      <c r="E714" s="54" t="n">
        <v>710</v>
      </c>
      <c r="F714" s="61" t="n">
        <v>0.474093</v>
      </c>
      <c r="G714" s="61" t="n">
        <v>0.51834</v>
      </c>
      <c r="H714" s="34" t="n">
        <f aca="false">NORMSINV(F714)</f>
        <v>-0.0649849287544821</v>
      </c>
      <c r="I714" s="34" t="n">
        <f aca="false">NORMSINV(G714)</f>
        <v>0.0459877671435415</v>
      </c>
      <c r="J714" s="59" t="n">
        <f aca="false">mc_s0*EXP((mc_mu-mc_vol^2/2)*mc_t1+mc_vol*SQRT(mc_t1)*H714)</f>
        <v>1139.17337821047</v>
      </c>
      <c r="K714" s="59" t="n">
        <f aca="false">J714*EXP((mc_mu-mc_vol^2/2)*(mc_t2-mc_t1)+mc_vol*SQRT(mc_t2-mc_t1)*I714)</f>
        <v>1168.47204728569</v>
      </c>
      <c r="L714" s="31" t="n">
        <f aca="false">(t1_usd*J714+t2_usd*K714)/1000</f>
        <v>10194.3105373161</v>
      </c>
    </row>
    <row r="715" customFormat="false" ht="15" hidden="false" customHeight="false" outlineLevel="0" collapsed="false">
      <c r="E715" s="54" t="n">
        <v>711</v>
      </c>
      <c r="F715" s="61" t="n">
        <v>0.537103</v>
      </c>
      <c r="G715" s="61" t="n">
        <v>0.111796</v>
      </c>
      <c r="H715" s="34" t="n">
        <f aca="false">NORMSINV(F715)</f>
        <v>0.0931379106182549</v>
      </c>
      <c r="I715" s="34" t="n">
        <f aca="false">NORMSINV(G715)</f>
        <v>-1.21703210752437</v>
      </c>
      <c r="J715" s="59" t="n">
        <f aca="false">mc_s0*EXP((mc_mu-mc_vol^2/2)*mc_t1+mc_vol*SQRT(mc_t1)*H715)</f>
        <v>1156.51040690684</v>
      </c>
      <c r="K715" s="59" t="n">
        <f aca="false">J715*EXP((mc_mu-mc_vol^2/2)*(mc_t2-mc_t1)+mc_vol*SQRT(mc_t2-mc_t1)*I715)</f>
        <v>972.15299837653</v>
      </c>
      <c r="L715" s="31" t="n">
        <f aca="false">(t1_usd*J715+t2_usd*K715)/1000</f>
        <v>9942.66354526332</v>
      </c>
    </row>
    <row r="716" customFormat="false" ht="15" hidden="false" customHeight="false" outlineLevel="0" collapsed="false">
      <c r="E716" s="54" t="n">
        <v>712</v>
      </c>
      <c r="F716" s="61" t="n">
        <v>0.946075</v>
      </c>
      <c r="G716" s="61" t="n">
        <v>0.293359</v>
      </c>
      <c r="H716" s="34" t="n">
        <f aca="false">NORMSINV(F716)</f>
        <v>1.60793233095113</v>
      </c>
      <c r="I716" s="34" t="n">
        <f aca="false">NORMSINV(G716)</f>
        <v>-0.543598198131168</v>
      </c>
      <c r="J716" s="59" t="n">
        <f aca="false">mc_s0*EXP((mc_mu-mc_vol^2/2)*mc_t1+mc_vol*SQRT(mc_t1)*H716)</f>
        <v>1336.56693932341</v>
      </c>
      <c r="K716" s="59" t="n">
        <f aca="false">J716*EXP((mc_mu-mc_vol^2/2)*(mc_t2-mc_t1)+mc_vol*SQRT(mc_t2-mc_t1)*I716)</f>
        <v>1249.3003350919</v>
      </c>
      <c r="L716" s="31" t="n">
        <f aca="false">(t1_usd*J716+t2_usd*K716)/1000</f>
        <v>11729.6392119385</v>
      </c>
    </row>
    <row r="717" customFormat="false" ht="15" hidden="false" customHeight="false" outlineLevel="0" collapsed="false">
      <c r="E717" s="54" t="n">
        <v>713</v>
      </c>
      <c r="F717" s="61" t="n">
        <v>0.680698</v>
      </c>
      <c r="G717" s="61" t="n">
        <v>0.277371</v>
      </c>
      <c r="H717" s="34" t="n">
        <f aca="false">NORMSINV(F717)</f>
        <v>0.469651533592624</v>
      </c>
      <c r="I717" s="34" t="n">
        <f aca="false">NORMSINV(G717)</f>
        <v>-0.590669332434062</v>
      </c>
      <c r="J717" s="59" t="n">
        <f aca="false">mc_s0*EXP((mc_mu-mc_vol^2/2)*mc_t1+mc_vol*SQRT(mc_t1)*H717)</f>
        <v>1198.86199692964</v>
      </c>
      <c r="K717" s="59" t="n">
        <f aca="false">J717*EXP((mc_mu-mc_vol^2/2)*(mc_t2-mc_t1)+mc_vol*SQRT(mc_t2-mc_t1)*I717)</f>
        <v>1112.30451425991</v>
      </c>
      <c r="L717" s="31" t="n">
        <f aca="false">(t1_usd*J717+t2_usd*K717)/1000</f>
        <v>10505.4125556013</v>
      </c>
    </row>
    <row r="718" customFormat="false" ht="15" hidden="false" customHeight="false" outlineLevel="0" collapsed="false">
      <c r="E718" s="54" t="n">
        <v>714</v>
      </c>
      <c r="F718" s="61" t="n">
        <v>0.746936</v>
      </c>
      <c r="G718" s="61" t="n">
        <v>0.516654</v>
      </c>
      <c r="H718" s="34" t="n">
        <f aca="false">NORMSINV(F718)</f>
        <v>0.664878825597534</v>
      </c>
      <c r="I718" s="34" t="n">
        <f aca="false">NORMSINV(G718)</f>
        <v>0.0417575194768507</v>
      </c>
      <c r="J718" s="59" t="n">
        <f aca="false">mc_s0*EXP((mc_mu-mc_vol^2/2)*mc_t1+mc_vol*SQRT(mc_t1)*H718)</f>
        <v>1221.42888959756</v>
      </c>
      <c r="K718" s="59" t="n">
        <f aca="false">J718*EXP((mc_mu-mc_vol^2/2)*(mc_t2-mc_t1)+mc_vol*SQRT(mc_t2-mc_t1)*I718)</f>
        <v>1252.00816772128</v>
      </c>
      <c r="L718" s="31" t="n">
        <f aca="false">(t1_usd*J718+t2_usd*K718)/1000</f>
        <v>10928.8177458534</v>
      </c>
    </row>
    <row r="719" customFormat="false" ht="15" hidden="false" customHeight="false" outlineLevel="0" collapsed="false">
      <c r="E719" s="54" t="n">
        <v>715</v>
      </c>
      <c r="F719" s="61" t="n">
        <v>0.521715</v>
      </c>
      <c r="G719" s="61" t="n">
        <v>0.935395</v>
      </c>
      <c r="H719" s="34" t="n">
        <f aca="false">NORMSINV(F719)</f>
        <v>0.0544583389594774</v>
      </c>
      <c r="I719" s="34" t="n">
        <f aca="false">NORMSINV(G719)</f>
        <v>1.51722455007323</v>
      </c>
      <c r="J719" s="59" t="n">
        <f aca="false">mc_s0*EXP((mc_mu-mc_vol^2/2)*mc_t1+mc_vol*SQRT(mc_t1)*H719)</f>
        <v>1152.24524631929</v>
      </c>
      <c r="K719" s="59" t="n">
        <f aca="false">J719*EXP((mc_mu-mc_vol^2/2)*(mc_t2-mc_t1)+mc_vol*SQRT(mc_t2-mc_t1)*I719)</f>
        <v>1490.27907152516</v>
      </c>
      <c r="L719" s="31" t="n">
        <f aca="false">(t1_usd*J719+t2_usd*K719)/1000</f>
        <v>10897.2469601328</v>
      </c>
    </row>
    <row r="720" customFormat="false" ht="15" hidden="false" customHeight="false" outlineLevel="0" collapsed="false">
      <c r="E720" s="54" t="n">
        <v>716</v>
      </c>
      <c r="F720" s="61" t="n">
        <v>0.344876</v>
      </c>
      <c r="G720" s="61" t="n">
        <v>0.801923</v>
      </c>
      <c r="H720" s="34" t="n">
        <f aca="false">NORMSINV(F720)</f>
        <v>-0.399191643642811</v>
      </c>
      <c r="I720" s="34" t="n">
        <f aca="false">NORMSINV(G720)</f>
        <v>0.848510010242775</v>
      </c>
      <c r="J720" s="59" t="n">
        <f aca="false">mc_s0*EXP((mc_mu-mc_vol^2/2)*mc_t1+mc_vol*SQRT(mc_t1)*H720)</f>
        <v>1103.38043462656</v>
      </c>
      <c r="K720" s="59" t="n">
        <f aca="false">J720*EXP((mc_mu-mc_vol^2/2)*(mc_t2-mc_t1)+mc_vol*SQRT(mc_t2-mc_t1)*I720)</f>
        <v>1284.33965334005</v>
      </c>
      <c r="L720" s="31" t="n">
        <f aca="false">(t1_usd*J720+t2_usd*K720)/1000</f>
        <v>10163.908383732</v>
      </c>
    </row>
    <row r="721" customFormat="false" ht="15" hidden="false" customHeight="false" outlineLevel="0" collapsed="false">
      <c r="E721" s="54" t="n">
        <v>717</v>
      </c>
      <c r="F721" s="61" t="n">
        <v>0.579719</v>
      </c>
      <c r="G721" s="61" t="n">
        <v>0.134359</v>
      </c>
      <c r="H721" s="34" t="n">
        <f aca="false">NORMSINV(F721)</f>
        <v>0.201174666160563</v>
      </c>
      <c r="I721" s="34" t="n">
        <f aca="false">NORMSINV(G721)</f>
        <v>-1.10601968315414</v>
      </c>
      <c r="J721" s="59" t="n">
        <f aca="false">mc_s0*EXP((mc_mu-mc_vol^2/2)*mc_t1+mc_vol*SQRT(mc_t1)*H721)</f>
        <v>1168.50733911202</v>
      </c>
      <c r="K721" s="59" t="n">
        <f aca="false">J721*EXP((mc_mu-mc_vol^2/2)*(mc_t2-mc_t1)+mc_vol*SQRT(mc_t2-mc_t1)*I721)</f>
        <v>999.572767730521</v>
      </c>
      <c r="L721" s="31" t="n">
        <f aca="false">(t1_usd*J721+t2_usd*K721)/1000</f>
        <v>10078.7396324721</v>
      </c>
    </row>
    <row r="722" customFormat="false" ht="15" hidden="false" customHeight="false" outlineLevel="0" collapsed="false">
      <c r="E722" s="54" t="n">
        <v>718</v>
      </c>
      <c r="F722" s="61" t="n">
        <v>0.634818</v>
      </c>
      <c r="G722" s="61" t="n">
        <v>0.16404</v>
      </c>
      <c r="H722" s="34" t="n">
        <f aca="false">NORMSINV(F722)</f>
        <v>0.344641370455836</v>
      </c>
      <c r="I722" s="34" t="n">
        <f aca="false">NORMSINV(G722)</f>
        <v>-0.977988523979584</v>
      </c>
      <c r="J722" s="59" t="n">
        <f aca="false">mc_s0*EXP((mc_mu-mc_vol^2/2)*mc_t1+mc_vol*SQRT(mc_t1)*H722)</f>
        <v>1184.63116383794</v>
      </c>
      <c r="K722" s="59" t="n">
        <f aca="false">J722*EXP((mc_mu-mc_vol^2/2)*(mc_t2-mc_t1)+mc_vol*SQRT(mc_t2-mc_t1)*I722)</f>
        <v>1034.01970465581</v>
      </c>
      <c r="L722" s="31" t="n">
        <f aca="false">(t1_usd*J722+t2_usd*K722)/1000</f>
        <v>10257.0555857116</v>
      </c>
    </row>
    <row r="723" customFormat="false" ht="15" hidden="false" customHeight="false" outlineLevel="0" collapsed="false">
      <c r="E723" s="54" t="n">
        <v>719</v>
      </c>
      <c r="F723" s="61" t="n">
        <v>0.787517</v>
      </c>
      <c r="G723" s="61" t="n">
        <v>0.627644</v>
      </c>
      <c r="H723" s="34" t="n">
        <f aca="false">NORMSINV(F723)</f>
        <v>0.797835426468018</v>
      </c>
      <c r="I723" s="34" t="n">
        <f aca="false">NORMSINV(G723)</f>
        <v>0.325619839305703</v>
      </c>
      <c r="J723" s="59" t="n">
        <f aca="false">mc_s0*EXP((mc_mu-mc_vol^2/2)*mc_t1+mc_vol*SQRT(mc_t1)*H723)</f>
        <v>1237.0404066711</v>
      </c>
      <c r="K723" s="59" t="n">
        <f aca="false">J723*EXP((mc_mu-mc_vol^2/2)*(mc_t2-mc_t1)+mc_vol*SQRT(mc_t2-mc_t1)*I723)</f>
        <v>1326.02259430131</v>
      </c>
      <c r="L723" s="31" t="n">
        <f aca="false">(t1_usd*J723+t2_usd*K723)/1000</f>
        <v>11178.7257758702</v>
      </c>
    </row>
    <row r="724" customFormat="false" ht="15" hidden="false" customHeight="false" outlineLevel="0" collapsed="false">
      <c r="E724" s="54" t="n">
        <v>720</v>
      </c>
      <c r="F724" s="61" t="n">
        <v>0.364187</v>
      </c>
      <c r="G724" s="61" t="n">
        <v>0.59696</v>
      </c>
      <c r="H724" s="34" t="n">
        <f aca="false">NORMSINV(F724)</f>
        <v>-0.347289284700224</v>
      </c>
      <c r="I724" s="34" t="n">
        <f aca="false">NORMSINV(G724)</f>
        <v>0.245486189840908</v>
      </c>
      <c r="J724" s="59" t="n">
        <f aca="false">mc_s0*EXP((mc_mu-mc_vol^2/2)*mc_t1+mc_vol*SQRT(mc_t1)*H724)</f>
        <v>1108.86441198334</v>
      </c>
      <c r="K724" s="59" t="n">
        <f aca="false">J724*EXP((mc_mu-mc_vol^2/2)*(mc_t2-mc_t1)+mc_vol*SQRT(mc_t2-mc_t1)*I724)</f>
        <v>1173.71049551315</v>
      </c>
      <c r="L724" s="31" t="n">
        <f aca="false">(t1_usd*J724+t2_usd*K724)/1000</f>
        <v>9992.10082535839</v>
      </c>
    </row>
    <row r="725" customFormat="false" ht="15" hidden="false" customHeight="false" outlineLevel="0" collapsed="false">
      <c r="E725" s="54" t="n">
        <v>721</v>
      </c>
      <c r="F725" s="61" t="n">
        <v>0.663568</v>
      </c>
      <c r="G725" s="61" t="n">
        <v>0.149651</v>
      </c>
      <c r="H725" s="34" t="n">
        <f aca="false">NORMSINV(F725)</f>
        <v>0.42222060916385</v>
      </c>
      <c r="I725" s="34" t="n">
        <f aca="false">NORMSINV(G725)</f>
        <v>-1.03793138640369</v>
      </c>
      <c r="J725" s="59" t="n">
        <f aca="false">mc_s0*EXP((mc_mu-mc_vol^2/2)*mc_t1+mc_vol*SQRT(mc_t1)*H725)</f>
        <v>1193.44256745859</v>
      </c>
      <c r="K725" s="59" t="n">
        <f aca="false">J725*EXP((mc_mu-mc_vol^2/2)*(mc_t2-mc_t1)+mc_vol*SQRT(mc_t2-mc_t1)*I725)</f>
        <v>1031.91656684607</v>
      </c>
      <c r="L725" s="31" t="n">
        <f aca="false">(t1_usd*J725+t2_usd*K725)/1000</f>
        <v>10314.7394492177</v>
      </c>
    </row>
    <row r="726" customFormat="false" ht="15" hidden="false" customHeight="false" outlineLevel="0" collapsed="false">
      <c r="E726" s="54" t="n">
        <v>722</v>
      </c>
      <c r="F726" s="61" t="n">
        <v>0.20375</v>
      </c>
      <c r="G726" s="61" t="n">
        <v>0.395805</v>
      </c>
      <c r="H726" s="34" t="n">
        <f aca="false">NORMSINV(F726)</f>
        <v>-0.82830110007972</v>
      </c>
      <c r="I726" s="34" t="n">
        <f aca="false">NORMSINV(G726)</f>
        <v>-0.264220520102339</v>
      </c>
      <c r="J726" s="59" t="n">
        <f aca="false">mc_s0*EXP((mc_mu-mc_vol^2/2)*mc_t1+mc_vol*SQRT(mc_t1)*H726)</f>
        <v>1059.06763140713</v>
      </c>
      <c r="K726" s="59" t="n">
        <f aca="false">J726*EXP((mc_mu-mc_vol^2/2)*(mc_t2-mc_t1)+mc_vol*SQRT(mc_t2-mc_t1)*I726)</f>
        <v>1034.47729680819</v>
      </c>
      <c r="L726" s="31" t="n">
        <f aca="false">(t1_usd*J726+t2_usd*K726)/1000</f>
        <v>9378.98028378547</v>
      </c>
    </row>
    <row r="727" customFormat="false" ht="15" hidden="false" customHeight="false" outlineLevel="0" collapsed="false">
      <c r="E727" s="54" t="n">
        <v>723</v>
      </c>
      <c r="F727" s="61" t="n">
        <v>0.497767</v>
      </c>
      <c r="G727" s="61" t="n">
        <v>0.013341</v>
      </c>
      <c r="H727" s="34" t="n">
        <f aca="false">NORMSINV(F727)</f>
        <v>-0.0055973301646039</v>
      </c>
      <c r="I727" s="34" t="n">
        <f aca="false">NORMSINV(G727)</f>
        <v>-2.21613876619972</v>
      </c>
      <c r="J727" s="59" t="n">
        <f aca="false">mc_s0*EXP((mc_mu-mc_vol^2/2)*mc_t1+mc_vol*SQRT(mc_t1)*H727)</f>
        <v>1145.65411329475</v>
      </c>
      <c r="K727" s="59" t="n">
        <f aca="false">J727*EXP((mc_mu-mc_vol^2/2)*(mc_t2-mc_t1)+mc_vol*SQRT(mc_t2-mc_t1)*I727)</f>
        <v>822.731032454098</v>
      </c>
      <c r="L727" s="31" t="n">
        <f aca="false">(t1_usd*J727+t2_usd*K727)/1000</f>
        <v>9582.76775472606</v>
      </c>
    </row>
    <row r="728" customFormat="false" ht="15" hidden="false" customHeight="false" outlineLevel="0" collapsed="false">
      <c r="E728" s="54" t="n">
        <v>724</v>
      </c>
      <c r="F728" s="61" t="n">
        <v>0.123049</v>
      </c>
      <c r="G728" s="61" t="n">
        <v>0.780319</v>
      </c>
      <c r="H728" s="34" t="n">
        <f aca="false">NORMSINV(F728)</f>
        <v>-1.15987918132633</v>
      </c>
      <c r="I728" s="34" t="n">
        <f aca="false">NORMSINV(G728)</f>
        <v>0.773271024874337</v>
      </c>
      <c r="J728" s="59" t="n">
        <f aca="false">mc_s0*EXP((mc_mu-mc_vol^2/2)*mc_t1+mc_vol*SQRT(mc_t1)*H728)</f>
        <v>1026.04922099387</v>
      </c>
      <c r="K728" s="59" t="n">
        <f aca="false">J728*EXP((mc_mu-mc_vol^2/2)*(mc_t2-mc_t1)+mc_vol*SQRT(mc_t2-mc_t1)*I728)</f>
        <v>1180.24810502571</v>
      </c>
      <c r="L728" s="31" t="n">
        <f aca="false">(t1_usd*J728+t2_usd*K728)/1000</f>
        <v>9424.81594650592</v>
      </c>
    </row>
    <row r="729" customFormat="false" ht="15" hidden="false" customHeight="false" outlineLevel="0" collapsed="false">
      <c r="E729" s="54" t="n">
        <v>725</v>
      </c>
      <c r="F729" s="61" t="n">
        <v>0.535165</v>
      </c>
      <c r="G729" s="61" t="n">
        <v>0.104911</v>
      </c>
      <c r="H729" s="34" t="n">
        <f aca="false">NORMSINV(F729)</f>
        <v>0.0882600380197243</v>
      </c>
      <c r="I729" s="34" t="n">
        <f aca="false">NORMSINV(G729)</f>
        <v>-1.25405504151821</v>
      </c>
      <c r="J729" s="59" t="n">
        <f aca="false">mc_s0*EXP((mc_mu-mc_vol^2/2)*mc_t1+mc_vol*SQRT(mc_t1)*H729)</f>
        <v>1155.97165964945</v>
      </c>
      <c r="K729" s="59" t="n">
        <f aca="false">J729*EXP((mc_mu-mc_vol^2/2)*(mc_t2-mc_t1)+mc_vol*SQRT(mc_t2-mc_t1)*I729)</f>
        <v>966.047193913864</v>
      </c>
      <c r="L729" s="31" t="n">
        <f aca="false">(t1_usd*J729+t2_usd*K729)/1000</f>
        <v>9927.29128598248</v>
      </c>
    </row>
    <row r="730" customFormat="false" ht="15" hidden="false" customHeight="false" outlineLevel="0" collapsed="false">
      <c r="E730" s="54" t="n">
        <v>726</v>
      </c>
      <c r="F730" s="61" t="n">
        <v>0.872068</v>
      </c>
      <c r="G730" s="61" t="n">
        <v>0.180276</v>
      </c>
      <c r="H730" s="34" t="n">
        <f aca="false">NORMSINV(F730)</f>
        <v>1.13622120028734</v>
      </c>
      <c r="I730" s="34" t="n">
        <f aca="false">NORMSINV(G730)</f>
        <v>-0.914313764480902</v>
      </c>
      <c r="J730" s="59" t="n">
        <f aca="false">mc_s0*EXP((mc_mu-mc_vol^2/2)*mc_t1+mc_vol*SQRT(mc_t1)*H730)</f>
        <v>1277.67913372945</v>
      </c>
      <c r="K730" s="59" t="n">
        <f aca="false">J730*EXP((mc_mu-mc_vol^2/2)*(mc_t2-mc_t1)+mc_vol*SQRT(mc_t2-mc_t1)*I730)</f>
        <v>1126.48518005589</v>
      </c>
      <c r="L730" s="31" t="n">
        <f aca="false">(t1_usd*J730+t2_usd*K730)/1000</f>
        <v>11084.0757782123</v>
      </c>
    </row>
    <row r="731" customFormat="false" ht="15" hidden="false" customHeight="false" outlineLevel="0" collapsed="false">
      <c r="E731" s="54" t="n">
        <v>727</v>
      </c>
      <c r="F731" s="61" t="n">
        <v>0.901683</v>
      </c>
      <c r="G731" s="61" t="n">
        <v>0.134349</v>
      </c>
      <c r="H731" s="34" t="n">
        <f aca="false">NORMSINV(F731)</f>
        <v>1.29120096670223</v>
      </c>
      <c r="I731" s="34" t="n">
        <f aca="false">NORMSINV(G731)</f>
        <v>-1.10606589281799</v>
      </c>
      <c r="J731" s="59" t="n">
        <f aca="false">mc_s0*EXP((mc_mu-mc_vol^2/2)*mc_t1+mc_vol*SQRT(mc_t1)*H731)</f>
        <v>1296.73469227882</v>
      </c>
      <c r="K731" s="59" t="n">
        <f aca="false">J731*EXP((mc_mu-mc_vol^2/2)*(mc_t2-mc_t1)+mc_vol*SQRT(mc_t2-mc_t1)*I731)</f>
        <v>1109.25383419398</v>
      </c>
      <c r="L731" s="31" t="n">
        <f aca="false">(t1_usd*J731+t2_usd*K731)/1000</f>
        <v>11184.7251309203</v>
      </c>
    </row>
    <row r="732" customFormat="false" ht="15" hidden="false" customHeight="false" outlineLevel="0" collapsed="false">
      <c r="E732" s="54" t="n">
        <v>728</v>
      </c>
      <c r="F732" s="61" t="n">
        <v>0.187571</v>
      </c>
      <c r="G732" s="61" t="n">
        <v>0.182008</v>
      </c>
      <c r="H732" s="34" t="n">
        <f aca="false">NORMSINV(F732)</f>
        <v>-0.886882805260612</v>
      </c>
      <c r="I732" s="34" t="n">
        <f aca="false">NORMSINV(G732)</f>
        <v>-0.907739252845528</v>
      </c>
      <c r="J732" s="59" t="n">
        <f aca="false">mc_s0*EXP((mc_mu-mc_vol^2/2)*mc_t1+mc_vol*SQRT(mc_t1)*H732)</f>
        <v>1053.15776872479</v>
      </c>
      <c r="K732" s="59" t="n">
        <f aca="false">J732*EXP((mc_mu-mc_vol^2/2)*(mc_t2-mc_t1)+mc_vol*SQRT(mc_t2-mc_t1)*I732)</f>
        <v>929.495064013151</v>
      </c>
      <c r="L732" s="31" t="n">
        <f aca="false">(t1_usd*J732+t2_usd*K732)/1000</f>
        <v>9138.14500269854</v>
      </c>
    </row>
    <row r="733" customFormat="false" ht="15" hidden="false" customHeight="false" outlineLevel="0" collapsed="false">
      <c r="E733" s="54" t="n">
        <v>729</v>
      </c>
      <c r="F733" s="61" t="n">
        <v>0.139568</v>
      </c>
      <c r="G733" s="61" t="n">
        <v>0.067196</v>
      </c>
      <c r="H733" s="34" t="n">
        <f aca="false">NORMSINV(F733)</f>
        <v>-1.08226228360561</v>
      </c>
      <c r="I733" s="34" t="n">
        <f aca="false">NORMSINV(G733)</f>
        <v>-1.49700483492984</v>
      </c>
      <c r="J733" s="59" t="n">
        <f aca="false">mc_s0*EXP((mc_mu-mc_vol^2/2)*mc_t1+mc_vol*SQRT(mc_t1)*H733)</f>
        <v>1033.68479491306</v>
      </c>
      <c r="K733" s="59" t="n">
        <f aca="false">J733*EXP((mc_mu-mc_vol^2/2)*(mc_t2-mc_t1)+mc_vol*SQRT(mc_t2-mc_t1)*I733)</f>
        <v>831.402544935698</v>
      </c>
      <c r="L733" s="31" t="n">
        <f aca="false">(t1_usd*J733+t2_usd*K733)/1000</f>
        <v>8815.45839976924</v>
      </c>
    </row>
    <row r="734" customFormat="false" ht="15" hidden="false" customHeight="false" outlineLevel="0" collapsed="false">
      <c r="E734" s="54" t="n">
        <v>730</v>
      </c>
      <c r="F734" s="61" t="n">
        <v>0.184402</v>
      </c>
      <c r="G734" s="61" t="n">
        <v>0.061841</v>
      </c>
      <c r="H734" s="34" t="n">
        <f aca="false">NORMSINV(F734)</f>
        <v>-0.898715910647339</v>
      </c>
      <c r="I734" s="34" t="n">
        <f aca="false">NORMSINV(G734)</f>
        <v>-1.53950113916339</v>
      </c>
      <c r="J734" s="59" t="n">
        <f aca="false">mc_s0*EXP((mc_mu-mc_vol^2/2)*mc_t1+mc_vol*SQRT(mc_t1)*H734)</f>
        <v>1051.96802617853</v>
      </c>
      <c r="K734" s="59" t="n">
        <f aca="false">J734*EXP((mc_mu-mc_vol^2/2)*(mc_t2-mc_t1)+mc_vol*SQRT(mc_t2-mc_t1)*I734)</f>
        <v>840.460361134704</v>
      </c>
      <c r="L734" s="31" t="n">
        <f aca="false">(t1_usd*J734+t2_usd*K734)/1000</f>
        <v>8960.65086940567</v>
      </c>
    </row>
    <row r="735" customFormat="false" ht="15" hidden="false" customHeight="false" outlineLevel="0" collapsed="false">
      <c r="E735" s="54" t="n">
        <v>731</v>
      </c>
      <c r="F735" s="61" t="n">
        <v>0.662554</v>
      </c>
      <c r="G735" s="61" t="n">
        <v>0.499398</v>
      </c>
      <c r="H735" s="34" t="n">
        <f aca="false">NORMSINV(F735)</f>
        <v>0.419443552749475</v>
      </c>
      <c r="I735" s="34" t="n">
        <f aca="false">NORMSINV(G735)</f>
        <v>-0.00150899079400304</v>
      </c>
      <c r="J735" s="59" t="n">
        <f aca="false">mc_s0*EXP((mc_mu-mc_vol^2/2)*mc_t1+mc_vol*SQRT(mc_t1)*H735)</f>
        <v>1193.1260228843</v>
      </c>
      <c r="K735" s="59" t="n">
        <f aca="false">J735*EXP((mc_mu-mc_vol^2/2)*(mc_t2-mc_t1)+mc_vol*SQRT(mc_t2-mc_t1)*I735)</f>
        <v>1214.68607272981</v>
      </c>
      <c r="L735" s="31" t="n">
        <f aca="false">(t1_usd*J735+t2_usd*K735)/1000</f>
        <v>10659.7856983768</v>
      </c>
    </row>
    <row r="736" customFormat="false" ht="15" hidden="false" customHeight="false" outlineLevel="0" collapsed="false">
      <c r="E736" s="54" t="n">
        <v>732</v>
      </c>
      <c r="F736" s="61" t="n">
        <v>0.952617</v>
      </c>
      <c r="G736" s="61" t="n">
        <v>0.812575</v>
      </c>
      <c r="H736" s="34" t="n">
        <f aca="false">NORMSINV(F736)</f>
        <v>1.67077564943674</v>
      </c>
      <c r="I736" s="34" t="n">
        <f aca="false">NORMSINV(G736)</f>
        <v>0.88742523918905</v>
      </c>
      <c r="J736" s="59" t="n">
        <f aca="false">mc_s0*EXP((mc_mu-mc_vol^2/2)*mc_t1+mc_vol*SQRT(mc_t1)*H736)</f>
        <v>1344.61442573254</v>
      </c>
      <c r="K736" s="59" t="n">
        <f aca="false">J736*EXP((mc_mu-mc_vol^2/2)*(mc_t2-mc_t1)+mc_vol*SQRT(mc_t2-mc_t1)*I736)</f>
        <v>1574.76520200423</v>
      </c>
      <c r="L736" s="31" t="n">
        <f aca="false">(t1_usd*J736+t2_usd*K736)/1000</f>
        <v>12404.3548639358</v>
      </c>
    </row>
    <row r="737" customFormat="false" ht="15" hidden="false" customHeight="false" outlineLevel="0" collapsed="false">
      <c r="E737" s="54" t="n">
        <v>733</v>
      </c>
      <c r="F737" s="61" t="n">
        <v>0.290115</v>
      </c>
      <c r="G737" s="61" t="n">
        <v>0.173612</v>
      </c>
      <c r="H737" s="34" t="n">
        <f aca="false">NORMSINV(F737)</f>
        <v>-0.553048792159327</v>
      </c>
      <c r="I737" s="34" t="n">
        <f aca="false">NORMSINV(G737)</f>
        <v>-0.939987446383089</v>
      </c>
      <c r="J737" s="59" t="n">
        <f aca="false">mc_s0*EXP((mc_mu-mc_vol^2/2)*mc_t1+mc_vol*SQRT(mc_t1)*H737)</f>
        <v>1087.28281215807</v>
      </c>
      <c r="K737" s="59" t="n">
        <f aca="false">J737*EXP((mc_mu-mc_vol^2/2)*(mc_t2-mc_t1)+mc_vol*SQRT(mc_t2-mc_t1)*I737)</f>
        <v>954.748640422933</v>
      </c>
      <c r="L737" s="31" t="n">
        <f aca="false">(t1_usd*J737+t2_usd*K737)/1000</f>
        <v>9425.00210191007</v>
      </c>
    </row>
    <row r="738" customFormat="false" ht="15" hidden="false" customHeight="false" outlineLevel="0" collapsed="false">
      <c r="E738" s="54" t="n">
        <v>734</v>
      </c>
      <c r="F738" s="61" t="n">
        <v>0.89209</v>
      </c>
      <c r="G738" s="61" t="n">
        <v>0.604891</v>
      </c>
      <c r="H738" s="34" t="n">
        <f aca="false">NORMSINV(F738)</f>
        <v>1.23771973215601</v>
      </c>
      <c r="I738" s="34" t="n">
        <f aca="false">NORMSINV(G738)</f>
        <v>0.266027538904178</v>
      </c>
      <c r="J738" s="59" t="n">
        <f aca="false">mc_s0*EXP((mc_mu-mc_vol^2/2)*mc_t1+mc_vol*SQRT(mc_t1)*H738)</f>
        <v>1290.12699798349</v>
      </c>
      <c r="K738" s="59" t="n">
        <f aca="false">J738*EXP((mc_mu-mc_vol^2/2)*(mc_t2-mc_t1)+mc_vol*SQRT(mc_t2-mc_t1)*I738)</f>
        <v>1370.00103243159</v>
      </c>
      <c r="L738" s="31" t="n">
        <f aca="false">(t1_usd*J738+t2_usd*K738)/1000</f>
        <v>11633.8909475044</v>
      </c>
    </row>
    <row r="739" customFormat="false" ht="15" hidden="false" customHeight="false" outlineLevel="0" collapsed="false">
      <c r="E739" s="54" t="n">
        <v>735</v>
      </c>
      <c r="F739" s="61" t="n">
        <v>0.827915</v>
      </c>
      <c r="G739" s="61" t="n">
        <v>0.416863</v>
      </c>
      <c r="H739" s="34" t="n">
        <f aca="false">NORMSINV(F739)</f>
        <v>0.945958017040818</v>
      </c>
      <c r="I739" s="34" t="n">
        <f aca="false">NORMSINV(G739)</f>
        <v>-0.209925268774812</v>
      </c>
      <c r="J739" s="59" t="n">
        <f aca="false">mc_s0*EXP((mc_mu-mc_vol^2/2)*mc_t1+mc_vol*SQRT(mc_t1)*H739)</f>
        <v>1254.66777525619</v>
      </c>
      <c r="K739" s="59" t="n">
        <f aca="false">J739*EXP((mc_mu-mc_vol^2/2)*(mc_t2-mc_t1)+mc_vol*SQRT(mc_t2-mc_t1)*I739)</f>
        <v>1236.06719550509</v>
      </c>
      <c r="L739" s="31" t="n">
        <f aca="false">(t1_usd*J739+t2_usd*K739)/1000</f>
        <v>11131.202098253</v>
      </c>
    </row>
    <row r="740" customFormat="false" ht="15" hidden="false" customHeight="false" outlineLevel="0" collapsed="false">
      <c r="E740" s="54" t="n">
        <v>736</v>
      </c>
      <c r="F740" s="61" t="n">
        <v>0.606258</v>
      </c>
      <c r="G740" s="61" t="n">
        <v>0.413291</v>
      </c>
      <c r="H740" s="34" t="n">
        <f aca="false">NORMSINV(F740)</f>
        <v>0.269579205304546</v>
      </c>
      <c r="I740" s="34" t="n">
        <f aca="false">NORMSINV(G740)</f>
        <v>-0.219087355965359</v>
      </c>
      <c r="J740" s="59" t="n">
        <f aca="false">mc_s0*EXP((mc_mu-mc_vol^2/2)*mc_t1+mc_vol*SQRT(mc_t1)*H740)</f>
        <v>1176.16757718004</v>
      </c>
      <c r="K740" s="59" t="n">
        <f aca="false">J740*EXP((mc_mu-mc_vol^2/2)*(mc_t2-mc_t1)+mc_vol*SQRT(mc_t2-mc_t1)*I740)</f>
        <v>1157.0589070409</v>
      </c>
      <c r="L740" s="31" t="n">
        <f aca="false">(t1_usd*J740+t2_usd*K740)/1000</f>
        <v>10431.584963638</v>
      </c>
    </row>
    <row r="741" customFormat="false" ht="15" hidden="false" customHeight="false" outlineLevel="0" collapsed="false">
      <c r="E741" s="54" t="n">
        <v>737</v>
      </c>
      <c r="F741" s="61" t="n">
        <v>0.062303</v>
      </c>
      <c r="G741" s="61" t="n">
        <v>0.565089</v>
      </c>
      <c r="H741" s="34" t="n">
        <f aca="false">NORMSINV(F741)</f>
        <v>-1.53572435154537</v>
      </c>
      <c r="I741" s="34" t="n">
        <f aca="false">NORMSINV(G741)</f>
        <v>0.163884588060922</v>
      </c>
      <c r="J741" s="59" t="n">
        <f aca="false">mc_s0*EXP((mc_mu-mc_vol^2/2)*mc_t1+mc_vol*SQRT(mc_t1)*H741)</f>
        <v>989.865703547414</v>
      </c>
      <c r="K741" s="59" t="n">
        <f aca="false">J741*EXP((mc_mu-mc_vol^2/2)*(mc_t2-mc_t1)+mc_vol*SQRT(mc_t2-mc_t1)*I741)</f>
        <v>1034.36509057045</v>
      </c>
      <c r="L741" s="31" t="n">
        <f aca="false">(t1_usd*J741+t2_usd*K741)/1000</f>
        <v>8894.35359691576</v>
      </c>
    </row>
    <row r="742" customFormat="false" ht="15" hidden="false" customHeight="false" outlineLevel="0" collapsed="false">
      <c r="E742" s="54" t="n">
        <v>738</v>
      </c>
      <c r="F742" s="61" t="n">
        <v>0.382977</v>
      </c>
      <c r="G742" s="61" t="n">
        <v>0.83995</v>
      </c>
      <c r="H742" s="34" t="n">
        <f aca="false">NORMSINV(F742)</f>
        <v>-0.297671365811082</v>
      </c>
      <c r="I742" s="34" t="n">
        <f aca="false">NORMSINV(G742)</f>
        <v>0.994252406515877</v>
      </c>
      <c r="J742" s="59" t="n">
        <f aca="false">mc_s0*EXP((mc_mu-mc_vol^2/2)*mc_t1+mc_vol*SQRT(mc_t1)*H742)</f>
        <v>1114.13249784185</v>
      </c>
      <c r="K742" s="59" t="n">
        <f aca="false">J742*EXP((mc_mu-mc_vol^2/2)*(mc_t2-mc_t1)+mc_vol*SQRT(mc_t2-mc_t1)*I742)</f>
        <v>1326.98598217052</v>
      </c>
      <c r="L742" s="31" t="n">
        <f aca="false">(t1_usd*J742+t2_usd*K742)/1000</f>
        <v>10320.200851017</v>
      </c>
    </row>
    <row r="743" customFormat="false" ht="15" hidden="false" customHeight="false" outlineLevel="0" collapsed="false">
      <c r="E743" s="54" t="n">
        <v>739</v>
      </c>
      <c r="F743" s="61" t="n">
        <v>0.771866</v>
      </c>
      <c r="G743" s="61" t="n">
        <v>0.325717</v>
      </c>
      <c r="H743" s="34" t="n">
        <f aca="false">NORMSINV(F743)</f>
        <v>0.745006153362155</v>
      </c>
      <c r="I743" s="34" t="n">
        <f aca="false">NORMSINV(G743)</f>
        <v>-0.451770949275344</v>
      </c>
      <c r="J743" s="59" t="n">
        <f aca="false">mc_s0*EXP((mc_mu-mc_vol^2/2)*mc_t1+mc_vol*SQRT(mc_t1)*H743)</f>
        <v>1230.81354208945</v>
      </c>
      <c r="K743" s="59" t="n">
        <f aca="false">J743*EXP((mc_mu-mc_vol^2/2)*(mc_t2-mc_t1)+mc_vol*SQRT(mc_t2-mc_t1)*I743)</f>
        <v>1167.22138396623</v>
      </c>
      <c r="L743" s="31" t="n">
        <f aca="false">(t1_usd*J743+t2_usd*K743)/1000</f>
        <v>10833.415424162</v>
      </c>
    </row>
    <row r="744" customFormat="false" ht="15" hidden="false" customHeight="false" outlineLevel="0" collapsed="false">
      <c r="E744" s="54" t="n">
        <v>740</v>
      </c>
      <c r="F744" s="61" t="n">
        <v>0.272925</v>
      </c>
      <c r="G744" s="61" t="n">
        <v>0.106861</v>
      </c>
      <c r="H744" s="34" t="n">
        <f aca="false">NORMSINV(F744)</f>
        <v>-0.603990437173491</v>
      </c>
      <c r="I744" s="34" t="n">
        <f aca="false">NORMSINV(G744)</f>
        <v>-1.24339584677991</v>
      </c>
      <c r="J744" s="59" t="n">
        <f aca="false">mc_s0*EXP((mc_mu-mc_vol^2/2)*mc_t1+mc_vol*SQRT(mc_t1)*H744)</f>
        <v>1082.0048592634</v>
      </c>
      <c r="K744" s="59" t="n">
        <f aca="false">J744*EXP((mc_mu-mc_vol^2/2)*(mc_t2-mc_t1)+mc_vol*SQRT(mc_t2-mc_t1)*I744)</f>
        <v>905.75325361122</v>
      </c>
      <c r="L744" s="31" t="n">
        <f aca="false">(t1_usd*J744+t2_usd*K744)/1000</f>
        <v>9294.96519670515</v>
      </c>
    </row>
    <row r="745" customFormat="false" ht="15" hidden="false" customHeight="false" outlineLevel="0" collapsed="false">
      <c r="E745" s="54" t="n">
        <v>741</v>
      </c>
      <c r="F745" s="61" t="n">
        <v>0.607637</v>
      </c>
      <c r="G745" s="61" t="n">
        <v>0.887565</v>
      </c>
      <c r="H745" s="34" t="n">
        <f aca="false">NORMSINV(F745)</f>
        <v>0.273165498400082</v>
      </c>
      <c r="I745" s="34" t="n">
        <f aca="false">NORMSINV(G745)</f>
        <v>1.21367985483075</v>
      </c>
      <c r="J745" s="59" t="n">
        <f aca="false">mc_s0*EXP((mc_mu-mc_vol^2/2)*mc_t1+mc_vol*SQRT(mc_t1)*H745)</f>
        <v>1176.57056843631</v>
      </c>
      <c r="K745" s="59" t="n">
        <f aca="false">J745*EXP((mc_mu-mc_vol^2/2)*(mc_t2-mc_t1)+mc_vol*SQRT(mc_t2-mc_t1)*I745)</f>
        <v>1450.65952975757</v>
      </c>
      <c r="L745" s="31" t="n">
        <f aca="false">(t1_usd*J745+t2_usd*K745)/1000</f>
        <v>10992.2470855936</v>
      </c>
    </row>
    <row r="746" customFormat="false" ht="15" hidden="false" customHeight="false" outlineLevel="0" collapsed="false">
      <c r="E746" s="54" t="n">
        <v>742</v>
      </c>
      <c r="F746" s="61" t="n">
        <v>0.9039</v>
      </c>
      <c r="G746" s="61" t="n">
        <v>0.203742</v>
      </c>
      <c r="H746" s="34" t="n">
        <f aca="false">NORMSINV(F746)</f>
        <v>1.3040985008213</v>
      </c>
      <c r="I746" s="34" t="n">
        <f aca="false">NORMSINV(G746)</f>
        <v>-0.828329359677234</v>
      </c>
      <c r="J746" s="59" t="n">
        <f aca="false">mc_s0*EXP((mc_mu-mc_vol^2/2)*mc_t1+mc_vol*SQRT(mc_t1)*H746)</f>
        <v>1298.33326213328</v>
      </c>
      <c r="K746" s="59" t="n">
        <f aca="false">J746*EXP((mc_mu-mc_vol^2/2)*(mc_t2-mc_t1)+mc_vol*SQRT(mc_t2-mc_t1)*I746)</f>
        <v>1160.31203304308</v>
      </c>
      <c r="L746" s="31" t="n">
        <f aca="false">(t1_usd*J746+t2_usd*K746)/1000</f>
        <v>11292.9256977148</v>
      </c>
    </row>
    <row r="747" customFormat="false" ht="15" hidden="false" customHeight="false" outlineLevel="0" collapsed="false">
      <c r="E747" s="54" t="n">
        <v>743</v>
      </c>
      <c r="F747" s="61" t="n">
        <v>0.296443</v>
      </c>
      <c r="G747" s="61" t="n">
        <v>0.651645</v>
      </c>
      <c r="H747" s="34" t="n">
        <f aca="false">NORMSINV(F747)</f>
        <v>-0.534658533739353</v>
      </c>
      <c r="I747" s="34" t="n">
        <f aca="false">NORMSINV(G747)</f>
        <v>0.389765442043436</v>
      </c>
      <c r="J747" s="59" t="n">
        <f aca="false">mc_s0*EXP((mc_mu-mc_vol^2/2)*mc_t1+mc_vol*SQRT(mc_t1)*H747)</f>
        <v>1089.19450502331</v>
      </c>
      <c r="K747" s="59" t="n">
        <f aca="false">J747*EXP((mc_mu-mc_vol^2/2)*(mc_t2-mc_t1)+mc_vol*SQRT(mc_t2-mc_t1)*I747)</f>
        <v>1179.40434743772</v>
      </c>
      <c r="L747" s="31" t="n">
        <f aca="false">(t1_usd*J747+t2_usd*K747)/1000</f>
        <v>9865.22979529487</v>
      </c>
    </row>
    <row r="748" customFormat="false" ht="15" hidden="false" customHeight="false" outlineLevel="0" collapsed="false">
      <c r="E748" s="54" t="n">
        <v>744</v>
      </c>
      <c r="F748" s="61" t="n">
        <v>0.287793</v>
      </c>
      <c r="G748" s="61" t="n">
        <v>0.209149</v>
      </c>
      <c r="H748" s="34" t="n">
        <f aca="false">NORMSINV(F748)</f>
        <v>-0.559843778101449</v>
      </c>
      <c r="I748" s="34" t="n">
        <f aca="false">NORMSINV(G748)</f>
        <v>-0.809377569929477</v>
      </c>
      <c r="J748" s="59" t="n">
        <f aca="false">mc_s0*EXP((mc_mu-mc_vol^2/2)*mc_t1+mc_vol*SQRT(mc_t1)*H748)</f>
        <v>1086.57731316641</v>
      </c>
      <c r="K748" s="59" t="n">
        <f aca="false">J748*EXP((mc_mu-mc_vol^2/2)*(mc_t2-mc_t1)+mc_vol*SQRT(mc_t2-mc_t1)*I748)</f>
        <v>973.97170749575</v>
      </c>
      <c r="L748" s="31" t="n">
        <f aca="false">(t1_usd*J748+t2_usd*K748)/1000</f>
        <v>9456.58743640676</v>
      </c>
    </row>
    <row r="749" customFormat="false" ht="15" hidden="false" customHeight="false" outlineLevel="0" collapsed="false">
      <c r="E749" s="54" t="n">
        <v>745</v>
      </c>
      <c r="F749" s="61" t="n">
        <v>0.81778</v>
      </c>
      <c r="G749" s="61" t="n">
        <v>0.639921</v>
      </c>
      <c r="H749" s="34" t="n">
        <f aca="false">NORMSINV(F749)</f>
        <v>0.906937214717551</v>
      </c>
      <c r="I749" s="34" t="n">
        <f aca="false">NORMSINV(G749)</f>
        <v>0.358247637736002</v>
      </c>
      <c r="J749" s="59" t="n">
        <f aca="false">mc_s0*EXP((mc_mu-mc_vol^2/2)*mc_t1+mc_vol*SQRT(mc_t1)*H749)</f>
        <v>1249.99986979942</v>
      </c>
      <c r="K749" s="59" t="n">
        <f aca="false">J749*EXP((mc_mu-mc_vol^2/2)*(mc_t2-mc_t1)+mc_vol*SQRT(mc_t2-mc_t1)*I749)</f>
        <v>1346.82172556496</v>
      </c>
      <c r="L749" s="31" t="n">
        <f aca="false">(t1_usd*J749+t2_usd*K749)/1000</f>
        <v>11308.9603671694</v>
      </c>
    </row>
    <row r="750" customFormat="false" ht="15" hidden="false" customHeight="false" outlineLevel="0" collapsed="false">
      <c r="E750" s="54" t="n">
        <v>746</v>
      </c>
      <c r="F750" s="61" t="n">
        <v>0.313651</v>
      </c>
      <c r="G750" s="61" t="n">
        <v>0.317574</v>
      </c>
      <c r="H750" s="34" t="n">
        <f aca="false">NORMSINV(F750)</f>
        <v>-0.485527796657798</v>
      </c>
      <c r="I750" s="34" t="n">
        <f aca="false">NORMSINV(G750)</f>
        <v>-0.47449354494914</v>
      </c>
      <c r="J750" s="59" t="n">
        <f aca="false">mc_s0*EXP((mc_mu-mc_vol^2/2)*mc_t1+mc_vol*SQRT(mc_t1)*H750)</f>
        <v>1094.31821409542</v>
      </c>
      <c r="K750" s="59" t="n">
        <f aca="false">J750*EXP((mc_mu-mc_vol^2/2)*(mc_t2-mc_t1)+mc_vol*SQRT(mc_t2-mc_t1)*I750)</f>
        <v>1034.06876629318</v>
      </c>
      <c r="L750" s="31" t="n">
        <f aca="false">(t1_usd*J750+t2_usd*K750)/1000</f>
        <v>9624.95815462496</v>
      </c>
    </row>
    <row r="751" customFormat="false" ht="15" hidden="false" customHeight="false" outlineLevel="0" collapsed="false">
      <c r="E751" s="54" t="n">
        <v>747</v>
      </c>
      <c r="F751" s="61" t="n">
        <v>0.853926</v>
      </c>
      <c r="G751" s="61" t="n">
        <v>0.742737</v>
      </c>
      <c r="H751" s="34" t="n">
        <f aca="false">NORMSINV(F751)</f>
        <v>1.05342118272771</v>
      </c>
      <c r="I751" s="34" t="n">
        <f aca="false">NORMSINV(G751)</f>
        <v>0.651806512311756</v>
      </c>
      <c r="J751" s="59" t="n">
        <f aca="false">mc_s0*EXP((mc_mu-mc_vol^2/2)*mc_t1+mc_vol*SQRT(mc_t1)*H751)</f>
        <v>1267.61347654528</v>
      </c>
      <c r="K751" s="59" t="n">
        <f aca="false">J751*EXP((mc_mu-mc_vol^2/2)*(mc_t2-mc_t1)+mc_vol*SQRT(mc_t2-mc_t1)*I751)</f>
        <v>1430.46984721617</v>
      </c>
      <c r="L751" s="31" t="n">
        <f aca="false">(t1_usd*J751+t2_usd*K751)/1000</f>
        <v>11591.1870455277</v>
      </c>
    </row>
    <row r="752" customFormat="false" ht="15" hidden="false" customHeight="false" outlineLevel="0" collapsed="false">
      <c r="E752" s="54" t="n">
        <v>748</v>
      </c>
      <c r="F752" s="61" t="n">
        <v>0.46411</v>
      </c>
      <c r="G752" s="61" t="n">
        <v>0.473026</v>
      </c>
      <c r="H752" s="34" t="n">
        <f aca="false">NORMSINV(F752)</f>
        <v>-0.0900845834873587</v>
      </c>
      <c r="I752" s="34" t="n">
        <f aca="false">NORMSINV(G752)</f>
        <v>-0.0676653911546038</v>
      </c>
      <c r="J752" s="59" t="n">
        <f aca="false">mc_s0*EXP((mc_mu-mc_vol^2/2)*mc_t1+mc_vol*SQRT(mc_t1)*H752)</f>
        <v>1136.44538491275</v>
      </c>
      <c r="K752" s="59" t="n">
        <f aca="false">J752*EXP((mc_mu-mc_vol^2/2)*(mc_t2-mc_t1)+mc_vol*SQRT(mc_t2-mc_t1)*I752)</f>
        <v>1144.9814123341</v>
      </c>
      <c r="L752" s="31" t="n">
        <f aca="false">(t1_usd*J752+t2_usd*K752)/1000</f>
        <v>10130.582377824</v>
      </c>
    </row>
    <row r="753" customFormat="false" ht="15" hidden="false" customHeight="false" outlineLevel="0" collapsed="false">
      <c r="E753" s="54" t="n">
        <v>749</v>
      </c>
      <c r="F753" s="61" t="n">
        <v>0.061353</v>
      </c>
      <c r="G753" s="61" t="n">
        <v>0.665298</v>
      </c>
      <c r="H753" s="34" t="n">
        <f aca="false">NORMSINV(F753)</f>
        <v>-1.54351446743616</v>
      </c>
      <c r="I753" s="34" t="n">
        <f aca="false">NORMSINV(G753)</f>
        <v>0.426966126600364</v>
      </c>
      <c r="J753" s="59" t="n">
        <f aca="false">mc_s0*EXP((mc_mu-mc_vol^2/2)*mc_t1+mc_vol*SQRT(mc_t1)*H753)</f>
        <v>989.129386477386</v>
      </c>
      <c r="K753" s="59" t="n">
        <f aca="false">J753*EXP((mc_mu-mc_vol^2/2)*(mc_t2-mc_t1)+mc_vol*SQRT(mc_t2-mc_t1)*I753)</f>
        <v>1077.34914485204</v>
      </c>
      <c r="L753" s="31" t="n">
        <f aca="false">(t1_usd*J753+t2_usd*K753)/1000</f>
        <v>8970.86908056057</v>
      </c>
    </row>
    <row r="754" customFormat="false" ht="15" hidden="false" customHeight="false" outlineLevel="0" collapsed="false">
      <c r="E754" s="54" t="n">
        <v>750</v>
      </c>
      <c r="F754" s="61" t="n">
        <v>0.55865</v>
      </c>
      <c r="G754" s="61" t="n">
        <v>0.096362</v>
      </c>
      <c r="H754" s="34" t="n">
        <f aca="false">NORMSINV(F754)</f>
        <v>0.147547361115148</v>
      </c>
      <c r="I754" s="34" t="n">
        <f aca="false">NORMSINV(G754)</f>
        <v>-1.30256298985116</v>
      </c>
      <c r="J754" s="59" t="n">
        <f aca="false">mc_s0*EXP((mc_mu-mc_vol^2/2)*mc_t1+mc_vol*SQRT(mc_t1)*H754)</f>
        <v>1162.53682432499</v>
      </c>
      <c r="K754" s="59" t="n">
        <f aca="false">J754*EXP((mc_mu-mc_vol^2/2)*(mc_t2-mc_t1)+mc_vol*SQRT(mc_t2-mc_t1)*I754)</f>
        <v>964.135115386565</v>
      </c>
      <c r="L754" s="31" t="n">
        <f aca="false">(t1_usd*J754+t2_usd*K754)/1000</f>
        <v>9969.61448950944</v>
      </c>
    </row>
    <row r="755" customFormat="false" ht="15" hidden="false" customHeight="false" outlineLevel="0" collapsed="false">
      <c r="E755" s="54" t="n">
        <v>751</v>
      </c>
      <c r="F755" s="61" t="n">
        <v>0.412118</v>
      </c>
      <c r="G755" s="61" t="n">
        <v>0.9543</v>
      </c>
      <c r="H755" s="34" t="n">
        <f aca="false">NORMSINV(F755)</f>
        <v>-0.222100048634703</v>
      </c>
      <c r="I755" s="34" t="n">
        <f aca="false">NORMSINV(G755)</f>
        <v>1.68805849885612</v>
      </c>
      <c r="J755" s="59" t="n">
        <f aca="false">mc_s0*EXP((mc_mu-mc_vol^2/2)*mc_t1+mc_vol*SQRT(mc_t1)*H755)</f>
        <v>1122.20426382727</v>
      </c>
      <c r="K755" s="59" t="n">
        <f aca="false">J755*EXP((mc_mu-mc_vol^2/2)*(mc_t2-mc_t1)+mc_vol*SQRT(mc_t2-mc_t1)*I755)</f>
        <v>1491.03138333376</v>
      </c>
      <c r="L755" s="31" t="n">
        <f aca="false">(t1_usd*J755+t2_usd*K755)/1000</f>
        <v>10688.3894751251</v>
      </c>
    </row>
    <row r="756" customFormat="false" ht="15" hidden="false" customHeight="false" outlineLevel="0" collapsed="false">
      <c r="E756" s="54" t="n">
        <v>752</v>
      </c>
      <c r="F756" s="61" t="n">
        <v>0.421402</v>
      </c>
      <c r="G756" s="61" t="n">
        <v>0.890683</v>
      </c>
      <c r="H756" s="34" t="n">
        <f aca="false">NORMSINV(F756)</f>
        <v>-0.198308118735143</v>
      </c>
      <c r="I756" s="34" t="n">
        <f aca="false">NORMSINV(G756)</f>
        <v>1.23016853486716</v>
      </c>
      <c r="J756" s="59" t="n">
        <f aca="false">mc_s0*EXP((mc_mu-mc_vol^2/2)*mc_t1+mc_vol*SQRT(mc_t1)*H756)</f>
        <v>1124.75756139948</v>
      </c>
      <c r="K756" s="59" t="n">
        <f aca="false">J756*EXP((mc_mu-mc_vol^2/2)*(mc_t2-mc_t1)+mc_vol*SQRT(mc_t2-mc_t1)*I756)</f>
        <v>1390.38461090794</v>
      </c>
      <c r="L756" s="31" t="n">
        <f aca="false">(t1_usd*J756+t2_usd*K756)/1000</f>
        <v>10515.0336905215</v>
      </c>
    </row>
    <row r="757" customFormat="false" ht="15" hidden="false" customHeight="false" outlineLevel="0" collapsed="false">
      <c r="E757" s="54" t="n">
        <v>753</v>
      </c>
      <c r="F757" s="61" t="n">
        <v>0.562742</v>
      </c>
      <c r="G757" s="61" t="n">
        <v>0.529266</v>
      </c>
      <c r="H757" s="34" t="n">
        <f aca="false">NORMSINV(F757)</f>
        <v>0.157924870697837</v>
      </c>
      <c r="I757" s="34" t="n">
        <f aca="false">NORMSINV(G757)</f>
        <v>0.0734249046946734</v>
      </c>
      <c r="J757" s="59" t="n">
        <f aca="false">mc_s0*EXP((mc_mu-mc_vol^2/2)*mc_t1+mc_vol*SQRT(mc_t1)*H757)</f>
        <v>1163.68980328921</v>
      </c>
      <c r="K757" s="59" t="n">
        <f aca="false">J757*EXP((mc_mu-mc_vol^2/2)*(mc_t2-mc_t1)+mc_vol*SQRT(mc_t2-mc_t1)*I757)</f>
        <v>1198.79128700259</v>
      </c>
      <c r="L757" s="31" t="n">
        <f aca="false">(t1_usd*J757+t2_usd*K757)/1000</f>
        <v>10423.5320683294</v>
      </c>
    </row>
    <row r="758" customFormat="false" ht="15" hidden="false" customHeight="false" outlineLevel="0" collapsed="false">
      <c r="E758" s="54" t="n">
        <v>754</v>
      </c>
      <c r="F758" s="61" t="n">
        <v>0.134828</v>
      </c>
      <c r="G758" s="61" t="n">
        <v>0.948624</v>
      </c>
      <c r="H758" s="34" t="n">
        <f aca="false">NORMSINV(F758)</f>
        <v>-1.10385509676827</v>
      </c>
      <c r="I758" s="34" t="n">
        <f aca="false">NORMSINV(G758)</f>
        <v>1.63165587685068</v>
      </c>
      <c r="J758" s="59" t="n">
        <f aca="false">mc_s0*EXP((mc_mu-mc_vol^2/2)*mc_t1+mc_vol*SQRT(mc_t1)*H758)</f>
        <v>1031.55491168912</v>
      </c>
      <c r="K758" s="59" t="n">
        <f aca="false">J758*EXP((mc_mu-mc_vol^2/2)*(mc_t2-mc_t1)+mc_vol*SQRT(mc_t2-mc_t1)*I758)</f>
        <v>1358.46020685351</v>
      </c>
      <c r="L758" s="31" t="n">
        <f aca="false">(t1_usd*J758+t2_usd*K758)/1000</f>
        <v>9801.9587748455</v>
      </c>
    </row>
    <row r="759" customFormat="false" ht="15" hidden="false" customHeight="false" outlineLevel="0" collapsed="false">
      <c r="E759" s="54" t="n">
        <v>755</v>
      </c>
      <c r="F759" s="61" t="n">
        <v>0.988889</v>
      </c>
      <c r="G759" s="61" t="n">
        <v>0.968243</v>
      </c>
      <c r="H759" s="34" t="n">
        <f aca="false">NORMSINV(F759)</f>
        <v>2.28655175461083</v>
      </c>
      <c r="I759" s="34" t="n">
        <f aca="false">NORMSINV(G759)</f>
        <v>1.85557612046856</v>
      </c>
      <c r="J759" s="59" t="n">
        <f aca="false">mc_s0*EXP((mc_mu-mc_vol^2/2)*mc_t1+mc_vol*SQRT(mc_t1)*H759)</f>
        <v>1426.07775865395</v>
      </c>
      <c r="K759" s="59" t="n">
        <f aca="false">J759*EXP((mc_mu-mc_vol^2/2)*(mc_t2-mc_t1)+mc_vol*SQRT(mc_t2-mc_t1)*I759)</f>
        <v>1945.46442570937</v>
      </c>
      <c r="L759" s="31" t="n">
        <f aca="false">(t1_usd*J759+t2_usd*K759)/1000</f>
        <v>13678.9267194254</v>
      </c>
    </row>
    <row r="760" customFormat="false" ht="15" hidden="false" customHeight="false" outlineLevel="0" collapsed="false">
      <c r="E760" s="54" t="n">
        <v>756</v>
      </c>
      <c r="F760" s="61" t="n">
        <v>0.417238</v>
      </c>
      <c r="G760" s="61" t="n">
        <v>0.780755</v>
      </c>
      <c r="H760" s="34" t="n">
        <f aca="false">NORMSINV(F760)</f>
        <v>-0.208964438126237</v>
      </c>
      <c r="I760" s="34" t="n">
        <f aca="false">NORMSINV(G760)</f>
        <v>0.774745600103065</v>
      </c>
      <c r="J760" s="59" t="n">
        <f aca="false">mc_s0*EXP((mc_mu-mc_vol^2/2)*mc_t1+mc_vol*SQRT(mc_t1)*H760)</f>
        <v>1123.61323114624</v>
      </c>
      <c r="K760" s="59" t="n">
        <f aca="false">J760*EXP((mc_mu-mc_vol^2/2)*(mc_t2-mc_t1)+mc_vol*SQRT(mc_t2-mc_t1)*I760)</f>
        <v>1292.77481868785</v>
      </c>
      <c r="L760" s="31" t="n">
        <f aca="false">(t1_usd*J760+t2_usd*K760)/1000</f>
        <v>10321.5647735306</v>
      </c>
    </row>
    <row r="761" customFormat="false" ht="15" hidden="false" customHeight="false" outlineLevel="0" collapsed="false">
      <c r="E761" s="54" t="n">
        <v>757</v>
      </c>
      <c r="F761" s="61" t="n">
        <v>0.919196</v>
      </c>
      <c r="G761" s="61" t="n">
        <v>0.412624</v>
      </c>
      <c r="H761" s="34" t="n">
        <f aca="false">NORMSINV(F761)</f>
        <v>1.39968389037924</v>
      </c>
      <c r="I761" s="34" t="n">
        <f aca="false">NORMSINV(G761)</f>
        <v>-0.220800210077027</v>
      </c>
      <c r="J761" s="59" t="n">
        <f aca="false">mc_s0*EXP((mc_mu-mc_vol^2/2)*mc_t1+mc_vol*SQRT(mc_t1)*H761)</f>
        <v>1310.24206574301</v>
      </c>
      <c r="K761" s="59" t="n">
        <f aca="false">J761*EXP((mc_mu-mc_vol^2/2)*(mc_t2-mc_t1)+mc_vol*SQRT(mc_t2-mc_t1)*I761)</f>
        <v>1288.60726110722</v>
      </c>
      <c r="L761" s="31" t="n">
        <f aca="false">(t1_usd*J761+t2_usd*K761)/1000</f>
        <v>11620.0482563048</v>
      </c>
    </row>
    <row r="762" customFormat="false" ht="15" hidden="false" customHeight="false" outlineLevel="0" collapsed="false">
      <c r="E762" s="54" t="n">
        <v>758</v>
      </c>
      <c r="F762" s="61" t="n">
        <v>0.475355</v>
      </c>
      <c r="G762" s="61" t="n">
        <v>0.275479</v>
      </c>
      <c r="H762" s="34" t="n">
        <f aca="false">NORMSINV(F762)</f>
        <v>-0.0618151984769819</v>
      </c>
      <c r="I762" s="34" t="n">
        <f aca="false">NORMSINV(G762)</f>
        <v>-0.596325199185258</v>
      </c>
      <c r="J762" s="59" t="n">
        <f aca="false">mc_s0*EXP((mc_mu-mc_vol^2/2)*mc_t1+mc_vol*SQRT(mc_t1)*H762)</f>
        <v>1139.51835043918</v>
      </c>
      <c r="K762" s="59" t="n">
        <f aca="false">J762*EXP((mc_mu-mc_vol^2/2)*(mc_t2-mc_t1)+mc_vol*SQRT(mc_t2-mc_t1)*I762)</f>
        <v>1056.30353088179</v>
      </c>
      <c r="L762" s="31" t="n">
        <f aca="false">(t1_usd*J762+t2_usd*K762)/1000</f>
        <v>9983.60516174965</v>
      </c>
    </row>
    <row r="763" customFormat="false" ht="15" hidden="false" customHeight="false" outlineLevel="0" collapsed="false">
      <c r="E763" s="54" t="n">
        <v>759</v>
      </c>
      <c r="F763" s="61" t="n">
        <v>0.964878</v>
      </c>
      <c r="G763" s="61" t="n">
        <v>0.72788</v>
      </c>
      <c r="H763" s="34" t="n">
        <f aca="false">NORMSINV(F763)</f>
        <v>1.81033404845855</v>
      </c>
      <c r="I763" s="34" t="n">
        <f aca="false">NORMSINV(G763)</f>
        <v>0.606413810465919</v>
      </c>
      <c r="J763" s="59" t="n">
        <f aca="false">mc_s0*EXP((mc_mu-mc_vol^2/2)*mc_t1+mc_vol*SQRT(mc_t1)*H763)</f>
        <v>1362.65947186327</v>
      </c>
      <c r="K763" s="59" t="n">
        <f aca="false">J763*EXP((mc_mu-mc_vol^2/2)*(mc_t2-mc_t1)+mc_vol*SQRT(mc_t2-mc_t1)*I763)</f>
        <v>1526.76585464914</v>
      </c>
      <c r="L763" s="31" t="n">
        <f aca="false">(t1_usd*J763+t2_usd*K763)/1000</f>
        <v>12439.4714268763</v>
      </c>
    </row>
    <row r="764" customFormat="false" ht="15" hidden="false" customHeight="false" outlineLevel="0" collapsed="false">
      <c r="E764" s="54" t="n">
        <v>760</v>
      </c>
      <c r="F764" s="61" t="n">
        <v>0.110477</v>
      </c>
      <c r="G764" s="61" t="n">
        <v>0.94733</v>
      </c>
      <c r="H764" s="34" t="n">
        <f aca="false">NORMSINV(F764)</f>
        <v>-1.22399530146885</v>
      </c>
      <c r="I764" s="34" t="n">
        <f aca="false">NORMSINV(G764)</f>
        <v>1.61949872778168</v>
      </c>
      <c r="J764" s="59" t="n">
        <f aca="false">mc_s0*EXP((mc_mu-mc_vol^2/2)*mc_t1+mc_vol*SQRT(mc_t1)*H764)</f>
        <v>1019.78434570675</v>
      </c>
      <c r="K764" s="59" t="n">
        <f aca="false">J764*EXP((mc_mu-mc_vol^2/2)*(mc_t2-mc_t1)+mc_vol*SQRT(mc_t2-mc_t1)*I764)</f>
        <v>1340.38899381274</v>
      </c>
      <c r="L764" s="31" t="n">
        <f aca="false">(t1_usd*J764+t2_usd*K764)/1000</f>
        <v>9685.22950819147</v>
      </c>
    </row>
    <row r="765" customFormat="false" ht="15" hidden="false" customHeight="false" outlineLevel="0" collapsed="false">
      <c r="E765" s="54" t="n">
        <v>761</v>
      </c>
      <c r="F765" s="61" t="n">
        <v>0.937463</v>
      </c>
      <c r="G765" s="61" t="n">
        <v>0.204804</v>
      </c>
      <c r="H765" s="34" t="n">
        <f aca="false">NORMSINV(F765)</f>
        <v>1.5338197614785</v>
      </c>
      <c r="I765" s="34" t="n">
        <f aca="false">NORMSINV(G765)</f>
        <v>-0.824583662268518</v>
      </c>
      <c r="J765" s="59" t="n">
        <f aca="false">mc_s0*EXP((mc_mu-mc_vol^2/2)*mc_t1+mc_vol*SQRT(mc_t1)*H765)</f>
        <v>1327.13822531361</v>
      </c>
      <c r="K765" s="59" t="n">
        <f aca="false">J765*EXP((mc_mu-mc_vol^2/2)*(mc_t2-mc_t1)+mc_vol*SQRT(mc_t2-mc_t1)*I765)</f>
        <v>1186.75517282978</v>
      </c>
      <c r="L765" s="31" t="n">
        <f aca="false">(t1_usd*J765+t2_usd*K765)/1000</f>
        <v>11544.8024055718</v>
      </c>
    </row>
    <row r="766" customFormat="false" ht="15" hidden="false" customHeight="false" outlineLevel="0" collapsed="false">
      <c r="E766" s="54" t="n">
        <v>762</v>
      </c>
      <c r="F766" s="61" t="n">
        <v>0.295347</v>
      </c>
      <c r="G766" s="61" t="n">
        <v>0.299593</v>
      </c>
      <c r="H766" s="34" t="n">
        <f aca="false">NORMSINV(F766)</f>
        <v>-0.537830606176146</v>
      </c>
      <c r="I766" s="34" t="n">
        <f aca="false">NORMSINV(G766)</f>
        <v>-0.525571446590384</v>
      </c>
      <c r="J766" s="59" t="n">
        <f aca="false">mc_s0*EXP((mc_mu-mc_vol^2/2)*mc_t1+mc_vol*SQRT(mc_t1)*H766)</f>
        <v>1088.86452397935</v>
      </c>
      <c r="K766" s="59" t="n">
        <f aca="false">J766*EXP((mc_mu-mc_vol^2/2)*(mc_t2-mc_t1)+mc_vol*SQRT(mc_t2-mc_t1)*I766)</f>
        <v>1020.66629803187</v>
      </c>
      <c r="L766" s="31" t="n">
        <f aca="false">(t1_usd*J766+t2_usd*K766)/1000</f>
        <v>9561.31763411602</v>
      </c>
    </row>
    <row r="767" customFormat="false" ht="15" hidden="false" customHeight="false" outlineLevel="0" collapsed="false">
      <c r="E767" s="54" t="n">
        <v>763</v>
      </c>
      <c r="F767" s="61" t="n">
        <v>0.603774</v>
      </c>
      <c r="G767" s="61" t="n">
        <v>0.124666</v>
      </c>
      <c r="H767" s="34" t="n">
        <f aca="false">NORMSINV(F767)</f>
        <v>0.263127900433406</v>
      </c>
      <c r="I767" s="34" t="n">
        <f aca="false">NORMSINV(G767)</f>
        <v>-1.15197341001203</v>
      </c>
      <c r="J767" s="59" t="n">
        <f aca="false">mc_s0*EXP((mc_mu-mc_vol^2/2)*mc_t1+mc_vol*SQRT(mc_t1)*H767)</f>
        <v>1175.44299239679</v>
      </c>
      <c r="K767" s="59" t="n">
        <f aca="false">J767*EXP((mc_mu-mc_vol^2/2)*(mc_t2-mc_t1)+mc_vol*SQRT(mc_t2-mc_t1)*I767)</f>
        <v>998.250149960427</v>
      </c>
      <c r="L767" s="31" t="n">
        <f aca="false">(t1_usd*J767+t2_usd*K767)/1000</f>
        <v>10124.7762317024</v>
      </c>
    </row>
    <row r="768" customFormat="false" ht="15" hidden="false" customHeight="false" outlineLevel="0" collapsed="false">
      <c r="E768" s="54" t="n">
        <v>764</v>
      </c>
      <c r="F768" s="61" t="n">
        <v>0.239112</v>
      </c>
      <c r="G768" s="61" t="n">
        <v>0.608717</v>
      </c>
      <c r="H768" s="34" t="n">
        <f aca="false">NORMSINV(F768)</f>
        <v>-0.709161922288979</v>
      </c>
      <c r="I768" s="34" t="n">
        <f aca="false">NORMSINV(G768)</f>
        <v>0.275976650828931</v>
      </c>
      <c r="J768" s="59" t="n">
        <f aca="false">mc_s0*EXP((mc_mu-mc_vol^2/2)*mc_t1+mc_vol*SQRT(mc_t1)*H768)</f>
        <v>1071.18918058144</v>
      </c>
      <c r="K768" s="59" t="n">
        <f aca="false">J768*EXP((mc_mu-mc_vol^2/2)*(mc_t2-mc_t1)+mc_vol*SQRT(mc_t2-mc_t1)*I768)</f>
        <v>1139.29330159999</v>
      </c>
      <c r="L768" s="31" t="n">
        <f aca="false">(t1_usd*J768+t2_usd*K768)/1000</f>
        <v>9662.98153711007</v>
      </c>
    </row>
    <row r="769" customFormat="false" ht="15" hidden="false" customHeight="false" outlineLevel="0" collapsed="false">
      <c r="E769" s="54" t="n">
        <v>765</v>
      </c>
      <c r="F769" s="61" t="n">
        <v>0.370933</v>
      </c>
      <c r="G769" s="61" t="n">
        <v>0.002867</v>
      </c>
      <c r="H769" s="34" t="n">
        <f aca="false">NORMSINV(F769)</f>
        <v>-0.32938328526343</v>
      </c>
      <c r="I769" s="34" t="n">
        <f aca="false">NORMSINV(G769)</f>
        <v>-2.76261703870527</v>
      </c>
      <c r="J769" s="59" t="n">
        <f aca="false">mc_s0*EXP((mc_mu-mc_vol^2/2)*mc_t1+mc_vol*SQRT(mc_t1)*H769)</f>
        <v>1110.76266775422</v>
      </c>
      <c r="K769" s="59" t="n">
        <f aca="false">J769*EXP((mc_mu-mc_vol^2/2)*(mc_t2-mc_t1)+mc_vol*SQRT(mc_t2-mc_t1)*I769)</f>
        <v>731.852645717553</v>
      </c>
      <c r="L769" s="31" t="n">
        <f aca="false">(t1_usd*J769+t2_usd*K769)/1000</f>
        <v>9165.85870114288</v>
      </c>
    </row>
    <row r="770" customFormat="false" ht="15" hidden="false" customHeight="false" outlineLevel="0" collapsed="false">
      <c r="E770" s="54" t="n">
        <v>766</v>
      </c>
      <c r="F770" s="61" t="n">
        <v>0.21598</v>
      </c>
      <c r="G770" s="61" t="n">
        <v>0.853948</v>
      </c>
      <c r="H770" s="34" t="n">
        <f aca="false">NORMSINV(F770)</f>
        <v>-0.785842097937271</v>
      </c>
      <c r="I770" s="34" t="n">
        <f aca="false">NORMSINV(G770)</f>
        <v>1.05351723376349</v>
      </c>
      <c r="J770" s="59" t="n">
        <f aca="false">mc_s0*EXP((mc_mu-mc_vol^2/2)*mc_t1+mc_vol*SQRT(mc_t1)*H770)</f>
        <v>1063.37171531987</v>
      </c>
      <c r="K770" s="59" t="n">
        <f aca="false">J770*EXP((mc_mu-mc_vol^2/2)*(mc_t2-mc_t1)+mc_vol*SQRT(mc_t2-mc_t1)*I770)</f>
        <v>1278.41186307312</v>
      </c>
      <c r="L770" s="31" t="n">
        <f aca="false">(t1_usd*J770+t2_usd*K770)/1000</f>
        <v>9872.58454707804</v>
      </c>
    </row>
    <row r="771" customFormat="false" ht="15" hidden="false" customHeight="false" outlineLevel="0" collapsed="false">
      <c r="E771" s="54" t="n">
        <v>767</v>
      </c>
      <c r="F771" s="61" t="n">
        <v>0.943685</v>
      </c>
      <c r="G771" s="61" t="n">
        <v>0.156949</v>
      </c>
      <c r="H771" s="34" t="n">
        <f aca="false">NORMSINV(F771)</f>
        <v>1.58648205368236</v>
      </c>
      <c r="I771" s="34" t="n">
        <f aca="false">NORMSINV(G771)</f>
        <v>-1.00707652753291</v>
      </c>
      <c r="J771" s="59" t="n">
        <f aca="false">mc_s0*EXP((mc_mu-mc_vol^2/2)*mc_t1+mc_vol*SQRT(mc_t1)*H771)</f>
        <v>1333.83113508442</v>
      </c>
      <c r="K771" s="59" t="n">
        <f aca="false">J771*EXP((mc_mu-mc_vol^2/2)*(mc_t2-mc_t1)+mc_vol*SQRT(mc_t2-mc_t1)*I771)</f>
        <v>1158.9259177317</v>
      </c>
      <c r="L771" s="31" t="n">
        <f aca="false">(t1_usd*J771+t2_usd*K771)/1000</f>
        <v>11538.7771892812</v>
      </c>
    </row>
    <row r="772" customFormat="false" ht="15" hidden="false" customHeight="false" outlineLevel="0" collapsed="false">
      <c r="E772" s="54" t="n">
        <v>768</v>
      </c>
      <c r="F772" s="61" t="n">
        <v>0.973383</v>
      </c>
      <c r="G772" s="61" t="n">
        <v>0.860292</v>
      </c>
      <c r="H772" s="34" t="n">
        <f aca="false">NORMSINV(F772)</f>
        <v>1.93301784120214</v>
      </c>
      <c r="I772" s="34" t="n">
        <f aca="false">NORMSINV(G772)</f>
        <v>1.08163217899219</v>
      </c>
      <c r="J772" s="59" t="n">
        <f aca="false">mc_s0*EXP((mc_mu-mc_vol^2/2)*mc_t1+mc_vol*SQRT(mc_t1)*H772)</f>
        <v>1378.7225226655</v>
      </c>
      <c r="K772" s="59" t="n">
        <f aca="false">J772*EXP((mc_mu-mc_vol^2/2)*(mc_t2-mc_t1)+mc_vol*SQRT(mc_t2-mc_t1)*I772)</f>
        <v>1664.89480059501</v>
      </c>
      <c r="L772" s="31" t="n">
        <f aca="false">(t1_usd*J772+t2_usd*K772)/1000</f>
        <v>12814.357779789</v>
      </c>
    </row>
    <row r="773" customFormat="false" ht="15" hidden="false" customHeight="false" outlineLevel="0" collapsed="false">
      <c r="E773" s="54" t="n">
        <v>769</v>
      </c>
      <c r="F773" s="61" t="n">
        <v>0.066082</v>
      </c>
      <c r="G773" s="61" t="n">
        <v>0.128613</v>
      </c>
      <c r="H773" s="34" t="n">
        <f aca="false">NORMSINV(F773)</f>
        <v>-1.50562292488527</v>
      </c>
      <c r="I773" s="34" t="n">
        <f aca="false">NORMSINV(G773)</f>
        <v>-1.13297202835897</v>
      </c>
      <c r="J773" s="59" t="n">
        <f aca="false">mc_s0*EXP((mc_mu-mc_vol^2/2)*mc_t1+mc_vol*SQRT(mc_t1)*H773)</f>
        <v>992.716026918009</v>
      </c>
      <c r="K773" s="59" t="n">
        <f aca="false">J773*EXP((mc_mu-mc_vol^2/2)*(mc_t2-mc_t1)+mc_vol*SQRT(mc_t2-mc_t1)*I773)</f>
        <v>845.596810439339</v>
      </c>
      <c r="L773" s="31" t="n">
        <f aca="false">(t1_usd*J773+t2_usd*K773)/1000</f>
        <v>8555.64612826081</v>
      </c>
    </row>
    <row r="774" customFormat="false" ht="15" hidden="false" customHeight="false" outlineLevel="0" collapsed="false">
      <c r="E774" s="54" t="n">
        <v>770</v>
      </c>
      <c r="F774" s="61" t="n">
        <v>0.940409</v>
      </c>
      <c r="G774" s="61" t="n">
        <v>0.997276</v>
      </c>
      <c r="H774" s="34" t="n">
        <f aca="false">NORMSINV(F774)</f>
        <v>1.55821622527121</v>
      </c>
      <c r="I774" s="34" t="n">
        <f aca="false">NORMSINV(G774)</f>
        <v>2.7792772733992</v>
      </c>
      <c r="J774" s="59" t="n">
        <f aca="false">mc_s0*EXP((mc_mu-mc_vol^2/2)*mc_t1+mc_vol*SQRT(mc_t1)*H774)</f>
        <v>1330.23461369953</v>
      </c>
      <c r="K774" s="59" t="n">
        <f aca="false">J774*EXP((mc_mu-mc_vol^2/2)*(mc_t2-mc_t1)+mc_vol*SQRT(mc_t2-mc_t1)*I774)</f>
        <v>2099.07595381537</v>
      </c>
      <c r="L774" s="31" t="n">
        <f aca="false">(t1_usd*J774+t2_usd*K774)/1000</f>
        <v>13299.8866081459</v>
      </c>
    </row>
    <row r="775" customFormat="false" ht="15" hidden="false" customHeight="false" outlineLevel="0" collapsed="false">
      <c r="E775" s="54" t="n">
        <v>771</v>
      </c>
      <c r="F775" s="61" t="n">
        <v>0.184011</v>
      </c>
      <c r="G775" s="61" t="n">
        <v>0.316409</v>
      </c>
      <c r="H775" s="34" t="n">
        <f aca="false">NORMSINV(F775)</f>
        <v>-0.900184637926572</v>
      </c>
      <c r="I775" s="34" t="n">
        <f aca="false">NORMSINV(G775)</f>
        <v>-0.477764262290637</v>
      </c>
      <c r="J775" s="59" t="n">
        <f aca="false">mc_s0*EXP((mc_mu-mc_vol^2/2)*mc_t1+mc_vol*SQRT(mc_t1)*H775)</f>
        <v>1051.8204489039</v>
      </c>
      <c r="K775" s="59" t="n">
        <f aca="false">J775*EXP((mc_mu-mc_vol^2/2)*(mc_t2-mc_t1)+mc_vol*SQRT(mc_t2-mc_t1)*I775)</f>
        <v>993.398611698651</v>
      </c>
      <c r="L775" s="31" t="n">
        <f aca="false">(t1_usd*J775+t2_usd*K775)/1000</f>
        <v>9250.20050455474</v>
      </c>
    </row>
    <row r="776" customFormat="false" ht="15" hidden="false" customHeight="false" outlineLevel="0" collapsed="false">
      <c r="E776" s="54" t="n">
        <v>772</v>
      </c>
      <c r="F776" s="61" t="n">
        <v>0.127436</v>
      </c>
      <c r="G776" s="61" t="n">
        <v>0.205821</v>
      </c>
      <c r="H776" s="34" t="n">
        <f aca="false">NORMSINV(F776)</f>
        <v>-1.13859527522489</v>
      </c>
      <c r="I776" s="34" t="n">
        <f aca="false">NORMSINV(G776)</f>
        <v>-0.821007493311052</v>
      </c>
      <c r="J776" s="59" t="n">
        <f aca="false">mc_s0*EXP((mc_mu-mc_vol^2/2)*mc_t1+mc_vol*SQRT(mc_t1)*H776)</f>
        <v>1028.13739812002</v>
      </c>
      <c r="K776" s="59" t="n">
        <f aca="false">J776*EXP((mc_mu-mc_vol^2/2)*(mc_t2-mc_t1)+mc_vol*SQRT(mc_t2-mc_t1)*I776)</f>
        <v>919.900577548366</v>
      </c>
      <c r="L776" s="31" t="n">
        <f aca="false">(t1_usd*J776+t2_usd*K776)/1000</f>
        <v>8944.77288418207</v>
      </c>
    </row>
    <row r="777" customFormat="false" ht="15" hidden="false" customHeight="false" outlineLevel="0" collapsed="false">
      <c r="E777" s="54" t="n">
        <v>773</v>
      </c>
      <c r="F777" s="61" t="n">
        <v>0.168904</v>
      </c>
      <c r="G777" s="61" t="n">
        <v>0.350439</v>
      </c>
      <c r="H777" s="34" t="n">
        <f aca="false">NORMSINV(F777)</f>
        <v>-0.958505340122648</v>
      </c>
      <c r="I777" s="34" t="n">
        <f aca="false">NORMSINV(G777)</f>
        <v>-0.384135528312092</v>
      </c>
      <c r="J777" s="59" t="n">
        <f aca="false">mc_s0*EXP((mc_mu-mc_vol^2/2)*mc_t1+mc_vol*SQRT(mc_t1)*H777)</f>
        <v>1045.97710496751</v>
      </c>
      <c r="K777" s="59" t="n">
        <f aca="false">J777*EXP((mc_mu-mc_vol^2/2)*(mc_t2-mc_t1)+mc_vol*SQRT(mc_t2-mc_t1)*I777)</f>
        <v>1002.56431355814</v>
      </c>
      <c r="L777" s="31" t="n">
        <f aca="false">(t1_usd*J777+t2_usd*K777)/1000</f>
        <v>9226.71193053306</v>
      </c>
    </row>
    <row r="778" customFormat="false" ht="15" hidden="false" customHeight="false" outlineLevel="0" collapsed="false">
      <c r="E778" s="54" t="n">
        <v>774</v>
      </c>
      <c r="F778" s="61" t="n">
        <v>0.047694</v>
      </c>
      <c r="G778" s="61" t="n">
        <v>0.406892</v>
      </c>
      <c r="H778" s="34" t="n">
        <f aca="false">NORMSINV(F778)</f>
        <v>-1.66763603655607</v>
      </c>
      <c r="I778" s="34" t="n">
        <f aca="false">NORMSINV(G778)</f>
        <v>-0.235547262983538</v>
      </c>
      <c r="J778" s="59" t="n">
        <f aca="false">mc_s0*EXP((mc_mu-mc_vol^2/2)*mc_t1+mc_vol*SQRT(mc_t1)*H778)</f>
        <v>977.471104200892</v>
      </c>
      <c r="K778" s="59" t="n">
        <f aca="false">J778*EXP((mc_mu-mc_vol^2/2)*(mc_t2-mc_t1)+mc_vol*SQRT(mc_t2-mc_t1)*I778)</f>
        <v>959.099462862767</v>
      </c>
      <c r="L778" s="31" t="n">
        <f aca="false">(t1_usd*J778+t2_usd*K778)/1000</f>
        <v>8664.5867088455</v>
      </c>
    </row>
    <row r="779" customFormat="false" ht="15" hidden="false" customHeight="false" outlineLevel="0" collapsed="false">
      <c r="E779" s="54" t="n">
        <v>775</v>
      </c>
      <c r="F779" s="61" t="n">
        <v>0.482102</v>
      </c>
      <c r="G779" s="61" t="n">
        <v>0.988027</v>
      </c>
      <c r="H779" s="34" t="n">
        <f aca="false">NORMSINV(F779)</f>
        <v>-0.0448786933168588</v>
      </c>
      <c r="I779" s="34" t="n">
        <f aca="false">NORMSINV(G779)</f>
        <v>2.25799453743367</v>
      </c>
      <c r="J779" s="59" t="n">
        <f aca="false">mc_s0*EXP((mc_mu-mc_vol^2/2)*mc_t1+mc_vol*SQRT(mc_t1)*H779)</f>
        <v>1141.36337742971</v>
      </c>
      <c r="K779" s="59" t="n">
        <f aca="false">J779*EXP((mc_mu-mc_vol^2/2)*(mc_t2-mc_t1)+mc_vol*SQRT(mc_t2-mc_t1)*I779)</f>
        <v>1658.99961117621</v>
      </c>
      <c r="L779" s="31" t="n">
        <f aca="false">(t1_usd*J779+t2_usd*K779)/1000</f>
        <v>11141.6429032428</v>
      </c>
    </row>
    <row r="780" customFormat="false" ht="15" hidden="false" customHeight="false" outlineLevel="0" collapsed="false">
      <c r="E780" s="54" t="n">
        <v>776</v>
      </c>
      <c r="F780" s="61" t="n">
        <v>0.111073</v>
      </c>
      <c r="G780" s="61" t="n">
        <v>0.916253</v>
      </c>
      <c r="H780" s="34" t="n">
        <f aca="false">NORMSINV(F780)</f>
        <v>-1.22084159899801</v>
      </c>
      <c r="I780" s="34" t="n">
        <f aca="false">NORMSINV(G780)</f>
        <v>1.38030095843694</v>
      </c>
      <c r="J780" s="59" t="n">
        <f aca="false">mc_s0*EXP((mc_mu-mc_vol^2/2)*mc_t1+mc_vol*SQRT(mc_t1)*H780)</f>
        <v>1020.09160195682</v>
      </c>
      <c r="K780" s="59" t="n">
        <f aca="false">J780*EXP((mc_mu-mc_vol^2/2)*(mc_t2-mc_t1)+mc_vol*SQRT(mc_t2-mc_t1)*I780)</f>
        <v>1291.1911623027</v>
      </c>
      <c r="L780" s="31" t="n">
        <f aca="false">(t1_usd*J780+t2_usd*K780)/1000</f>
        <v>9593.90442207289</v>
      </c>
    </row>
    <row r="781" customFormat="false" ht="15" hidden="false" customHeight="false" outlineLevel="0" collapsed="false">
      <c r="E781" s="54" t="n">
        <v>777</v>
      </c>
      <c r="F781" s="61" t="n">
        <v>0.898217</v>
      </c>
      <c r="G781" s="61" t="n">
        <v>0.740279</v>
      </c>
      <c r="H781" s="34" t="n">
        <f aca="false">NORMSINV(F781)</f>
        <v>1.27145732519065</v>
      </c>
      <c r="I781" s="34" t="n">
        <f aca="false">NORMSINV(G781)</f>
        <v>0.644205785125762</v>
      </c>
      <c r="J781" s="59" t="n">
        <f aca="false">mc_s0*EXP((mc_mu-mc_vol^2/2)*mc_t1+mc_vol*SQRT(mc_t1)*H781)</f>
        <v>1294.29140142955</v>
      </c>
      <c r="K781" s="59" t="n">
        <f aca="false">J781*EXP((mc_mu-mc_vol^2/2)*(mc_t2-mc_t1)+mc_vol*SQRT(mc_t2-mc_t1)*I781)</f>
        <v>1458.82674972897</v>
      </c>
      <c r="L781" s="31" t="n">
        <f aca="false">(t1_usd*J781+t2_usd*K781)/1000</f>
        <v>11831.8106344919</v>
      </c>
    </row>
    <row r="782" customFormat="false" ht="15" hidden="false" customHeight="false" outlineLevel="0" collapsed="false">
      <c r="E782" s="54" t="n">
        <v>778</v>
      </c>
      <c r="F782" s="61" t="n">
        <v>0.278442</v>
      </c>
      <c r="G782" s="61" t="n">
        <v>0.336964</v>
      </c>
      <c r="H782" s="34" t="n">
        <f aca="false">NORMSINV(F782)</f>
        <v>-0.587476096080372</v>
      </c>
      <c r="I782" s="34" t="n">
        <f aca="false">NORMSINV(G782)</f>
        <v>-0.420763208428332</v>
      </c>
      <c r="J782" s="59" t="n">
        <f aca="false">mc_s0*EXP((mc_mu-mc_vol^2/2)*mc_t1+mc_vol*SQRT(mc_t1)*H782)</f>
        <v>1083.71306157098</v>
      </c>
      <c r="K782" s="59" t="n">
        <f aca="false">J782*EXP((mc_mu-mc_vol^2/2)*(mc_t2-mc_t1)+mc_vol*SQRT(mc_t2-mc_t1)*I782)</f>
        <v>1032.75547166318</v>
      </c>
      <c r="L782" s="31" t="n">
        <f aca="false">(t1_usd*J782+t2_usd*K782)/1000</f>
        <v>9548.2268271569</v>
      </c>
    </row>
    <row r="783" customFormat="false" ht="15" hidden="false" customHeight="false" outlineLevel="0" collapsed="false">
      <c r="E783" s="54" t="n">
        <v>779</v>
      </c>
      <c r="F783" s="61" t="n">
        <v>0.318673</v>
      </c>
      <c r="G783" s="61" t="n">
        <v>0.767812</v>
      </c>
      <c r="H783" s="34" t="n">
        <f aca="false">NORMSINV(F783)</f>
        <v>-0.471412767881927</v>
      </c>
      <c r="I783" s="34" t="n">
        <f aca="false">NORMSINV(G783)</f>
        <v>0.731660191010057</v>
      </c>
      <c r="J783" s="59" t="n">
        <f aca="false">mc_s0*EXP((mc_mu-mc_vol^2/2)*mc_t1+mc_vol*SQRT(mc_t1)*H783)</f>
        <v>1095.79468352211</v>
      </c>
      <c r="K783" s="59" t="n">
        <f aca="false">J783*EXP((mc_mu-mc_vol^2/2)*(mc_t2-mc_t1)+mc_vol*SQRT(mc_t2-mc_t1)*I783)</f>
        <v>1252.23657136186</v>
      </c>
      <c r="L783" s="31" t="n">
        <f aca="false">(t1_usd*J783+t2_usd*K783)/1000</f>
        <v>10049.8122702423</v>
      </c>
    </row>
    <row r="784" customFormat="false" ht="15" hidden="false" customHeight="false" outlineLevel="0" collapsed="false">
      <c r="E784" s="54" t="n">
        <v>780</v>
      </c>
      <c r="F784" s="61" t="n">
        <v>0.066073</v>
      </c>
      <c r="G784" s="61" t="n">
        <v>0.337267</v>
      </c>
      <c r="H784" s="34" t="n">
        <f aca="false">NORMSINV(F784)</f>
        <v>-1.5056930068909</v>
      </c>
      <c r="I784" s="34" t="n">
        <f aca="false">NORMSINV(G784)</f>
        <v>-0.419933546965365</v>
      </c>
      <c r="J784" s="59" t="n">
        <f aca="false">mc_s0*EXP((mc_mu-mc_vol^2/2)*mc_t1+mc_vol*SQRT(mc_t1)*H784)</f>
        <v>992.709381285053</v>
      </c>
      <c r="K784" s="59" t="n">
        <f aca="false">J784*EXP((mc_mu-mc_vol^2/2)*(mc_t2-mc_t1)+mc_vol*SQRT(mc_t2-mc_t1)*I784)</f>
        <v>946.154602820128</v>
      </c>
      <c r="L784" s="31" t="n">
        <f aca="false">(t1_usd*J784+t2_usd*K784)/1000</f>
        <v>8746.65941435362</v>
      </c>
    </row>
    <row r="785" customFormat="false" ht="15" hidden="false" customHeight="false" outlineLevel="0" collapsed="false">
      <c r="E785" s="54" t="n">
        <v>781</v>
      </c>
      <c r="F785" s="61" t="n">
        <v>0.006794</v>
      </c>
      <c r="G785" s="61" t="n">
        <v>0.332282</v>
      </c>
      <c r="H785" s="34" t="n">
        <f aca="false">NORMSINV(F785)</f>
        <v>-2.46797449724719</v>
      </c>
      <c r="I785" s="34" t="n">
        <f aca="false">NORMSINV(G785)</f>
        <v>-0.433620562987379</v>
      </c>
      <c r="J785" s="59" t="n">
        <f aca="false">mc_s0*EXP((mc_mu-mc_vol^2/2)*mc_t1+mc_vol*SQRT(mc_t1)*H785)</f>
        <v>905.528091215412</v>
      </c>
      <c r="K785" s="59" t="n">
        <f aca="false">J785*EXP((mc_mu-mc_vol^2/2)*(mc_t2-mc_t1)+mc_vol*SQRT(mc_t2-mc_t1)*I785)</f>
        <v>861.202224819172</v>
      </c>
      <c r="L785" s="31" t="n">
        <f aca="false">(t1_usd*J785+t2_usd*K785)/1000</f>
        <v>7974.98086566431</v>
      </c>
    </row>
    <row r="786" customFormat="false" ht="15" hidden="false" customHeight="false" outlineLevel="0" collapsed="false">
      <c r="E786" s="54" t="n">
        <v>782</v>
      </c>
      <c r="F786" s="61" t="n">
        <v>0.233568</v>
      </c>
      <c r="G786" s="61" t="n">
        <v>0.054273</v>
      </c>
      <c r="H786" s="34" t="n">
        <f aca="false">NORMSINV(F786)</f>
        <v>-0.727146852263247</v>
      </c>
      <c r="I786" s="34" t="n">
        <f aca="false">NORMSINV(G786)</f>
        <v>-1.60476287046525</v>
      </c>
      <c r="J786" s="59" t="n">
        <f aca="false">mc_s0*EXP((mc_mu-mc_vol^2/2)*mc_t1+mc_vol*SQRT(mc_t1)*H786)</f>
        <v>1069.35049199842</v>
      </c>
      <c r="K786" s="59" t="n">
        <f aca="false">J786*EXP((mc_mu-mc_vol^2/2)*(mc_t2-mc_t1)+mc_vol*SQRT(mc_t2-mc_t1)*I786)</f>
        <v>845.606154264142</v>
      </c>
      <c r="L786" s="31" t="n">
        <f aca="false">(t1_usd*J786+t2_usd*K786)/1000</f>
        <v>9092.10513709083</v>
      </c>
    </row>
    <row r="787" customFormat="false" ht="15" hidden="false" customHeight="false" outlineLevel="0" collapsed="false">
      <c r="E787" s="54" t="n">
        <v>783</v>
      </c>
      <c r="F787" s="61" t="n">
        <v>0.2267</v>
      </c>
      <c r="G787" s="61" t="n">
        <v>0.644892</v>
      </c>
      <c r="H787" s="34" t="n">
        <f aca="false">NORMSINV(F787)</f>
        <v>-0.749758777738355</v>
      </c>
      <c r="I787" s="34" t="n">
        <f aca="false">NORMSINV(G787)</f>
        <v>0.371566010090377</v>
      </c>
      <c r="J787" s="59" t="n">
        <f aca="false">mc_s0*EXP((mc_mu-mc_vol^2/2)*mc_t1+mc_vol*SQRT(mc_t1)*H787)</f>
        <v>1067.04324055995</v>
      </c>
      <c r="K787" s="59" t="n">
        <f aca="false">J787*EXP((mc_mu-mc_vol^2/2)*(mc_t2-mc_t1)+mc_vol*SQRT(mc_t2-mc_t1)*I787)</f>
        <v>1152.10934353903</v>
      </c>
      <c r="L787" s="31" t="n">
        <f aca="false">(t1_usd*J787+t2_usd*K787)/1000</f>
        <v>9658.3104366438</v>
      </c>
    </row>
    <row r="788" customFormat="false" ht="15" hidden="false" customHeight="false" outlineLevel="0" collapsed="false">
      <c r="E788" s="54" t="n">
        <v>784</v>
      </c>
      <c r="F788" s="61" t="n">
        <v>0.142759</v>
      </c>
      <c r="G788" s="61" t="n">
        <v>0.748361</v>
      </c>
      <c r="H788" s="34" t="n">
        <f aca="false">NORMSINV(F788)</f>
        <v>-1.06800556838088</v>
      </c>
      <c r="I788" s="34" t="n">
        <f aca="false">NORMSINV(G788)</f>
        <v>0.669340966232773</v>
      </c>
      <c r="J788" s="59" t="n">
        <f aca="false">mc_s0*EXP((mc_mu-mc_vol^2/2)*mc_t1+mc_vol*SQRT(mc_t1)*H788)</f>
        <v>1035.09346601418</v>
      </c>
      <c r="K788" s="59" t="n">
        <f aca="false">J788*EXP((mc_mu-mc_vol^2/2)*(mc_t2-mc_t1)+mc_vol*SQRT(mc_t2-mc_t1)*I788)</f>
        <v>1171.30910107725</v>
      </c>
      <c r="L788" s="31" t="n">
        <f aca="false">(t1_usd*J788+t2_usd*K788)/1000</f>
        <v>9471.14155414602</v>
      </c>
    </row>
    <row r="789" customFormat="false" ht="15" hidden="false" customHeight="false" outlineLevel="0" collapsed="false">
      <c r="E789" s="54" t="n">
        <v>785</v>
      </c>
      <c r="F789" s="61" t="n">
        <v>0.70167</v>
      </c>
      <c r="G789" s="61" t="n">
        <v>0.598856</v>
      </c>
      <c r="H789" s="34" t="n">
        <f aca="false">NORMSINV(F789)</f>
        <v>0.529209683426929</v>
      </c>
      <c r="I789" s="34" t="n">
        <f aca="false">NORMSINV(G789)</f>
        <v>0.250387106039795</v>
      </c>
      <c r="J789" s="59" t="n">
        <f aca="false">mc_s0*EXP((mc_mu-mc_vol^2/2)*mc_t1+mc_vol*SQRT(mc_t1)*H789)</f>
        <v>1205.70194193554</v>
      </c>
      <c r="K789" s="59" t="n">
        <f aca="false">J789*EXP((mc_mu-mc_vol^2/2)*(mc_t2-mc_t1)+mc_vol*SQRT(mc_t2-mc_t1)*I789)</f>
        <v>1277.19712109309</v>
      </c>
      <c r="L789" s="31" t="n">
        <f aca="false">(t1_usd*J789+t2_usd*K789)/1000</f>
        <v>10866.5881236257</v>
      </c>
    </row>
    <row r="790" customFormat="false" ht="15" hidden="false" customHeight="false" outlineLevel="0" collapsed="false">
      <c r="E790" s="54" t="n">
        <v>786</v>
      </c>
      <c r="F790" s="61" t="n">
        <v>0.369902</v>
      </c>
      <c r="G790" s="61" t="n">
        <v>0.942938</v>
      </c>
      <c r="H790" s="34" t="n">
        <f aca="false">NORMSINV(F790)</f>
        <v>-0.332112912802291</v>
      </c>
      <c r="I790" s="34" t="n">
        <f aca="false">NORMSINV(G790)</f>
        <v>1.57992518867383</v>
      </c>
      <c r="J790" s="59" t="n">
        <f aca="false">mc_s0*EXP((mc_mu-mc_vol^2/2)*mc_t1+mc_vol*SQRT(mc_t1)*H790)</f>
        <v>1110.47308393125</v>
      </c>
      <c r="K790" s="59" t="n">
        <f aca="false">J790*EXP((mc_mu-mc_vol^2/2)*(mc_t2-mc_t1)+mc_vol*SQRT(mc_t2-mc_t1)*I790)</f>
        <v>1450.51445809807</v>
      </c>
      <c r="L790" s="31" t="n">
        <f aca="false">(t1_usd*J790+t2_usd*K790)/1000</f>
        <v>10529.2890579051</v>
      </c>
    </row>
    <row r="791" customFormat="false" ht="15" hidden="false" customHeight="false" outlineLevel="0" collapsed="false">
      <c r="E791" s="54" t="n">
        <v>787</v>
      </c>
      <c r="F791" s="61" t="n">
        <v>0.01181</v>
      </c>
      <c r="G791" s="61" t="n">
        <v>0.135746</v>
      </c>
      <c r="H791" s="34" t="n">
        <f aca="false">NORMSINV(F791)</f>
        <v>-2.26325458685223</v>
      </c>
      <c r="I791" s="34" t="n">
        <f aca="false">NORMSINV(G791)</f>
        <v>-1.09963313230236</v>
      </c>
      <c r="J791" s="59" t="n">
        <f aca="false">mc_s0*EXP((mc_mu-mc_vol^2/2)*mc_t1+mc_vol*SQRT(mc_t1)*H791)</f>
        <v>923.410317123211</v>
      </c>
      <c r="K791" s="59" t="n">
        <f aca="false">J791*EXP((mc_mu-mc_vol^2/2)*(mc_t2-mc_t1)+mc_vol*SQRT(mc_t2-mc_t1)*I791)</f>
        <v>790.705575682885</v>
      </c>
      <c r="L791" s="31" t="n">
        <f aca="false">(t1_usd*J791+t2_usd*K791)/1000</f>
        <v>7966.21281365996</v>
      </c>
    </row>
    <row r="792" customFormat="false" ht="15" hidden="false" customHeight="false" outlineLevel="0" collapsed="false">
      <c r="E792" s="54" t="n">
        <v>788</v>
      </c>
      <c r="F792" s="61" t="n">
        <v>0.5203</v>
      </c>
      <c r="G792" s="61" t="n">
        <v>0.29708</v>
      </c>
      <c r="H792" s="34" t="n">
        <f aca="false">NORMSINV(F792)</f>
        <v>0.0509065325990466</v>
      </c>
      <c r="I792" s="34" t="n">
        <f aca="false">NORMSINV(G792)</f>
        <v>-0.532817382379942</v>
      </c>
      <c r="J792" s="59" t="n">
        <f aca="false">mc_s0*EXP((mc_mu-mc_vol^2/2)*mc_t1+mc_vol*SQRT(mc_t1)*H792)</f>
        <v>1151.85438131882</v>
      </c>
      <c r="K792" s="59" t="n">
        <f aca="false">J792*EXP((mc_mu-mc_vol^2/2)*(mc_t2-mc_t1)+mc_vol*SQRT(mc_t2-mc_t1)*I792)</f>
        <v>1078.47871857211</v>
      </c>
      <c r="L792" s="31" t="n">
        <f aca="false">(t1_usd*J792+t2_usd*K792)/1000</f>
        <v>10112.0902345187</v>
      </c>
    </row>
    <row r="793" customFormat="false" ht="15" hidden="false" customHeight="false" outlineLevel="0" collapsed="false">
      <c r="E793" s="54" t="n">
        <v>789</v>
      </c>
      <c r="F793" s="61" t="n">
        <v>0.193393</v>
      </c>
      <c r="G793" s="61" t="n">
        <v>0.314559</v>
      </c>
      <c r="H793" s="34" t="n">
        <f aca="false">NORMSINV(F793)</f>
        <v>-0.865460658700213</v>
      </c>
      <c r="I793" s="34" t="n">
        <f aca="false">NORMSINV(G793)</f>
        <v>-0.482968644510206</v>
      </c>
      <c r="J793" s="59" t="n">
        <f aca="false">mc_s0*EXP((mc_mu-mc_vol^2/2)*mc_t1+mc_vol*SQRT(mc_t1)*H793)</f>
        <v>1055.31505159661</v>
      </c>
      <c r="K793" s="59" t="n">
        <f aca="false">J793*EXP((mc_mu-mc_vol^2/2)*(mc_t2-mc_t1)+mc_vol*SQRT(mc_t2-mc_t1)*I793)</f>
        <v>995.881978971638</v>
      </c>
      <c r="L793" s="31" t="n">
        <f aca="false">(t1_usd*J793+t2_usd*K793)/1000</f>
        <v>9279.3811212224</v>
      </c>
    </row>
    <row r="794" customFormat="false" ht="15" hidden="false" customHeight="false" outlineLevel="0" collapsed="false">
      <c r="E794" s="54" t="n">
        <v>790</v>
      </c>
      <c r="F794" s="61" t="n">
        <v>0.01769</v>
      </c>
      <c r="G794" s="61" t="n">
        <v>0.076965</v>
      </c>
      <c r="H794" s="34" t="n">
        <f aca="false">NORMSINV(F794)</f>
        <v>-2.1039821970727</v>
      </c>
      <c r="I794" s="34" t="n">
        <f aca="false">NORMSINV(G794)</f>
        <v>-1.42578642690346</v>
      </c>
      <c r="J794" s="59" t="n">
        <f aca="false">mc_s0*EXP((mc_mu-mc_vol^2/2)*mc_t1+mc_vol*SQRT(mc_t1)*H794)</f>
        <v>937.566604171801</v>
      </c>
      <c r="K794" s="59" t="n">
        <f aca="false">J794*EXP((mc_mu-mc_vol^2/2)*(mc_t2-mc_t1)+mc_vol*SQRT(mc_t2-mc_t1)*I794)</f>
        <v>762.6050399364</v>
      </c>
      <c r="L794" s="31" t="n">
        <f aca="false">(t1_usd*J794+t2_usd*K794)/1000</f>
        <v>8011.91580508176</v>
      </c>
    </row>
    <row r="795" customFormat="false" ht="15" hidden="false" customHeight="false" outlineLevel="0" collapsed="false">
      <c r="E795" s="54" t="n">
        <v>791</v>
      </c>
      <c r="F795" s="61" t="n">
        <v>0.382846</v>
      </c>
      <c r="G795" s="61" t="n">
        <v>0.896531</v>
      </c>
      <c r="H795" s="34" t="n">
        <f aca="false">NORMSINV(F795)</f>
        <v>-0.298014626809488</v>
      </c>
      <c r="I795" s="34" t="n">
        <f aca="false">NORMSINV(G795)</f>
        <v>1.26202997657504</v>
      </c>
      <c r="J795" s="59" t="n">
        <f aca="false">mc_s0*EXP((mc_mu-mc_vol^2/2)*mc_t1+mc_vol*SQRT(mc_t1)*H795)</f>
        <v>1114.09596693673</v>
      </c>
      <c r="K795" s="59" t="n">
        <f aca="false">J795*EXP((mc_mu-mc_vol^2/2)*(mc_t2-mc_t1)+mc_vol*SQRT(mc_t2-mc_t1)*I795)</f>
        <v>1384.1376723601</v>
      </c>
      <c r="L795" s="31" t="n">
        <f aca="false">(t1_usd*J795+t2_usd*K795)/1000</f>
        <v>10428.5333460413</v>
      </c>
    </row>
    <row r="796" customFormat="false" ht="15" hidden="false" customHeight="false" outlineLevel="0" collapsed="false">
      <c r="E796" s="54" t="n">
        <v>792</v>
      </c>
      <c r="F796" s="61" t="n">
        <v>0.309024</v>
      </c>
      <c r="G796" s="61" t="n">
        <v>0.461021</v>
      </c>
      <c r="H796" s="34" t="n">
        <f aca="false">NORMSINV(F796)</f>
        <v>-0.498618740816653</v>
      </c>
      <c r="I796" s="34" t="n">
        <f aca="false">NORMSINV(G796)</f>
        <v>-0.0978618422151577</v>
      </c>
      <c r="J796" s="59" t="n">
        <f aca="false">mc_s0*EXP((mc_mu-mc_vol^2/2)*mc_t1+mc_vol*SQRT(mc_t1)*H796)</f>
        <v>1092.95064481379</v>
      </c>
      <c r="K796" s="59" t="n">
        <f aca="false">J796*EXP((mc_mu-mc_vol^2/2)*(mc_t2-mc_t1)+mc_vol*SQRT(mc_t2-mc_t1)*I796)</f>
        <v>1095.93227375922</v>
      </c>
      <c r="L796" s="31" t="n">
        <f aca="false">(t1_usd*J796+t2_usd*K796)/1000</f>
        <v>9732.92583383907</v>
      </c>
    </row>
    <row r="797" customFormat="false" ht="15" hidden="false" customHeight="false" outlineLevel="0" collapsed="false">
      <c r="E797" s="54" t="n">
        <v>793</v>
      </c>
      <c r="F797" s="61" t="n">
        <v>0.352865</v>
      </c>
      <c r="G797" s="61" t="n">
        <v>0.782544</v>
      </c>
      <c r="H797" s="34" t="n">
        <f aca="false">NORMSINV(F797)</f>
        <v>-0.377596991439631</v>
      </c>
      <c r="I797" s="34" t="n">
        <f aca="false">NORMSINV(G797)</f>
        <v>0.780813827803611</v>
      </c>
      <c r="J797" s="59" t="n">
        <f aca="false">mc_s0*EXP((mc_mu-mc_vol^2/2)*mc_t1+mc_vol*SQRT(mc_t1)*H797)</f>
        <v>1105.65881245278</v>
      </c>
      <c r="K797" s="59" t="n">
        <f aca="false">J797*EXP((mc_mu-mc_vol^2/2)*(mc_t2-mc_t1)+mc_vol*SQRT(mc_t2-mc_t1)*I797)</f>
        <v>1273.33445865787</v>
      </c>
      <c r="L797" s="31" t="n">
        <f aca="false">(t1_usd*J797+t2_usd*K797)/1000</f>
        <v>10158.9471586194</v>
      </c>
    </row>
    <row r="798" customFormat="false" ht="15" hidden="false" customHeight="false" outlineLevel="0" collapsed="false">
      <c r="E798" s="54" t="n">
        <v>794</v>
      </c>
      <c r="F798" s="61" t="n">
        <v>0.051627</v>
      </c>
      <c r="G798" s="61" t="n">
        <v>0.213813</v>
      </c>
      <c r="H798" s="34" t="n">
        <f aca="false">NORMSINV(F798)</f>
        <v>-1.62927885657123</v>
      </c>
      <c r="I798" s="34" t="n">
        <f aca="false">NORMSINV(G798)</f>
        <v>-0.793260612107067</v>
      </c>
      <c r="J798" s="59" t="n">
        <f aca="false">mc_s0*EXP((mc_mu-mc_vol^2/2)*mc_t1+mc_vol*SQRT(mc_t1)*H798)</f>
        <v>981.059106504124</v>
      </c>
      <c r="K798" s="59" t="n">
        <f aca="false">J798*EXP((mc_mu-mc_vol^2/2)*(mc_t2-mc_t1)+mc_vol*SQRT(mc_t2-mc_t1)*I798)</f>
        <v>881.625120567428</v>
      </c>
      <c r="L798" s="31" t="n">
        <f aca="false">(t1_usd*J798+t2_usd*K798)/1000</f>
        <v>8542.50147460698</v>
      </c>
    </row>
    <row r="799" customFormat="false" ht="15" hidden="false" customHeight="false" outlineLevel="0" collapsed="false">
      <c r="E799" s="54" t="n">
        <v>795</v>
      </c>
      <c r="F799" s="61" t="n">
        <v>0.558518</v>
      </c>
      <c r="G799" s="61" t="n">
        <v>0.620308</v>
      </c>
      <c r="H799" s="34" t="n">
        <f aca="false">NORMSINV(F799)</f>
        <v>0.147212873146815</v>
      </c>
      <c r="I799" s="34" t="n">
        <f aca="false">NORMSINV(G799)</f>
        <v>0.306289806165653</v>
      </c>
      <c r="J799" s="59" t="n">
        <f aca="false">mc_s0*EXP((mc_mu-mc_vol^2/2)*mc_t1+mc_vol*SQRT(mc_t1)*H799)</f>
        <v>1162.49968050806</v>
      </c>
      <c r="K799" s="59" t="n">
        <f aca="false">J799*EXP((mc_mu-mc_vol^2/2)*(mc_t2-mc_t1)+mc_vol*SQRT(mc_t2-mc_t1)*I799)</f>
        <v>1242.32978422342</v>
      </c>
      <c r="L799" s="31" t="n">
        <f aca="false">(t1_usd*J799+t2_usd*K799)/1000</f>
        <v>10497.9243535809</v>
      </c>
    </row>
    <row r="800" customFormat="false" ht="15" hidden="false" customHeight="false" outlineLevel="0" collapsed="false">
      <c r="E800" s="54" t="n">
        <v>796</v>
      </c>
      <c r="F800" s="61" t="n">
        <v>0.144516</v>
      </c>
      <c r="G800" s="61" t="n">
        <v>0.72378</v>
      </c>
      <c r="H800" s="34" t="n">
        <f aca="false">NORMSINV(F800)</f>
        <v>-1.06024753656301</v>
      </c>
      <c r="I800" s="34" t="n">
        <f aca="false">NORMSINV(G800)</f>
        <v>0.594107821313725</v>
      </c>
      <c r="J800" s="59" t="n">
        <f aca="false">mc_s0*EXP((mc_mu-mc_vol^2/2)*mc_t1+mc_vol*SQRT(mc_t1)*H800)</f>
        <v>1035.86082450606</v>
      </c>
      <c r="K800" s="59" t="n">
        <f aca="false">J800*EXP((mc_mu-mc_vol^2/2)*(mc_t2-mc_t1)+mc_vol*SQRT(mc_t2-mc_t1)*I800)</f>
        <v>1158.36189627493</v>
      </c>
      <c r="L800" s="31" t="n">
        <f aca="false">(t1_usd*J800+t2_usd*K800)/1000</f>
        <v>9451.91337446476</v>
      </c>
    </row>
    <row r="801" customFormat="false" ht="15" hidden="false" customHeight="false" outlineLevel="0" collapsed="false">
      <c r="E801" s="54" t="n">
        <v>797</v>
      </c>
      <c r="F801" s="61" t="n">
        <v>0.561743</v>
      </c>
      <c r="G801" s="61" t="n">
        <v>0.952231</v>
      </c>
      <c r="H801" s="34" t="n">
        <f aca="false">NORMSINV(F801)</f>
        <v>0.155389831608193</v>
      </c>
      <c r="I801" s="34" t="n">
        <f aca="false">NORMSINV(G801)</f>
        <v>1.66688135009492</v>
      </c>
      <c r="J801" s="59" t="n">
        <f aca="false">mc_s0*EXP((mc_mu-mc_vol^2/2)*mc_t1+mc_vol*SQRT(mc_t1)*H801)</f>
        <v>1163.40804574285</v>
      </c>
      <c r="K801" s="59" t="n">
        <f aca="false">J801*EXP((mc_mu-mc_vol^2/2)*(mc_t2-mc_t1)+mc_vol*SQRT(mc_t2-mc_t1)*I801)</f>
        <v>1540.62708837265</v>
      </c>
      <c r="L801" s="31" t="n">
        <f aca="false">(t1_usd*J801+t2_usd*K801)/1000</f>
        <v>11071.047788108</v>
      </c>
    </row>
    <row r="802" customFormat="false" ht="15" hidden="false" customHeight="false" outlineLevel="0" collapsed="false">
      <c r="E802" s="54" t="n">
        <v>798</v>
      </c>
      <c r="F802" s="61" t="n">
        <v>0.27127</v>
      </c>
      <c r="G802" s="61" t="n">
        <v>0.343749</v>
      </c>
      <c r="H802" s="34" t="n">
        <f aca="false">NORMSINV(F802)</f>
        <v>-0.60897652352058</v>
      </c>
      <c r="I802" s="34" t="n">
        <f aca="false">NORMSINV(G802)</f>
        <v>-0.402252783173113</v>
      </c>
      <c r="J802" s="59" t="n">
        <f aca="false">mc_s0*EXP((mc_mu-mc_vol^2/2)*mc_t1+mc_vol*SQRT(mc_t1)*H802)</f>
        <v>1081.4896403042</v>
      </c>
      <c r="K802" s="59" t="n">
        <f aca="false">J802*EXP((mc_mu-mc_vol^2/2)*(mc_t2-mc_t1)+mc_vol*SQRT(mc_t2-mc_t1)*I802)</f>
        <v>1033.64747562708</v>
      </c>
      <c r="L802" s="31" t="n">
        <f aca="false">(t1_usd*J802+t2_usd*K802)/1000</f>
        <v>9534.35768582084</v>
      </c>
    </row>
    <row r="803" customFormat="false" ht="15" hidden="false" customHeight="false" outlineLevel="0" collapsed="false">
      <c r="E803" s="54" t="n">
        <v>799</v>
      </c>
      <c r="F803" s="61" t="n">
        <v>0.104908</v>
      </c>
      <c r="G803" s="61" t="n">
        <v>0.417754</v>
      </c>
      <c r="H803" s="34" t="n">
        <f aca="false">NORMSINV(F803)</f>
        <v>-1.25407155022947</v>
      </c>
      <c r="I803" s="34" t="n">
        <f aca="false">NORMSINV(G803)</f>
        <v>-0.207642650249006</v>
      </c>
      <c r="J803" s="59" t="n">
        <f aca="false">mc_s0*EXP((mc_mu-mc_vol^2/2)*mc_t1+mc_vol*SQRT(mc_t1)*H803)</f>
        <v>1016.85874836966</v>
      </c>
      <c r="K803" s="59" t="n">
        <f aca="false">J803*EXP((mc_mu-mc_vol^2/2)*(mc_t2-mc_t1)+mc_vol*SQRT(mc_t2-mc_t1)*I803)</f>
        <v>1002.14414370549</v>
      </c>
      <c r="L803" s="31" t="n">
        <f aca="false">(t1_usd*J803+t2_usd*K803)/1000</f>
        <v>9022.08511162804</v>
      </c>
    </row>
    <row r="804" customFormat="false" ht="15" hidden="false" customHeight="false" outlineLevel="0" collapsed="false">
      <c r="E804" s="54" t="n">
        <v>800</v>
      </c>
      <c r="F804" s="61" t="n">
        <v>0.820901</v>
      </c>
      <c r="G804" s="61" t="n">
        <v>0.74864</v>
      </c>
      <c r="H804" s="34" t="n">
        <f aca="false">NORMSINV(F804)</f>
        <v>0.918804190933944</v>
      </c>
      <c r="I804" s="34" t="n">
        <f aca="false">NORMSINV(G804)</f>
        <v>0.670216165851816</v>
      </c>
      <c r="J804" s="59" t="n">
        <f aca="false">mc_s0*EXP((mc_mu-mc_vol^2/2)*mc_t1+mc_vol*SQRT(mc_t1)*H804)</f>
        <v>1251.41762896205</v>
      </c>
      <c r="K804" s="59" t="n">
        <f aca="false">J804*EXP((mc_mu-mc_vol^2/2)*(mc_t2-mc_t1)+mc_vol*SQRT(mc_t2-mc_t1)*I804)</f>
        <v>1416.2962968126</v>
      </c>
      <c r="L804" s="31" t="n">
        <f aca="false">(t1_usd*J804+t2_usd*K804)/1000</f>
        <v>11450.8863666783</v>
      </c>
    </row>
    <row r="805" customFormat="false" ht="15" hidden="false" customHeight="false" outlineLevel="0" collapsed="false">
      <c r="E805" s="54" t="n">
        <v>801</v>
      </c>
      <c r="F805" s="61" t="n">
        <v>0.091388</v>
      </c>
      <c r="G805" s="61" t="n">
        <v>0.834782</v>
      </c>
      <c r="H805" s="34" t="n">
        <f aca="false">NORMSINV(F805)</f>
        <v>-1.33225624462192</v>
      </c>
      <c r="I805" s="34" t="n">
        <f aca="false">NORMSINV(G805)</f>
        <v>0.973236045207428</v>
      </c>
      <c r="J805" s="59" t="n">
        <f aca="false">mc_s0*EXP((mc_mu-mc_vol^2/2)*mc_t1+mc_vol*SQRT(mc_t1)*H805)</f>
        <v>1009.29272136821</v>
      </c>
      <c r="K805" s="59" t="n">
        <f aca="false">J805*EXP((mc_mu-mc_vol^2/2)*(mc_t2-mc_t1)+mc_vol*SQRT(mc_t2-mc_t1)*I805)</f>
        <v>1198.14184304376</v>
      </c>
      <c r="L805" s="31" t="n">
        <f aca="false">(t1_usd*J805+t2_usd*K805)/1000</f>
        <v>9341.51855136059</v>
      </c>
    </row>
    <row r="806" customFormat="false" ht="15" hidden="false" customHeight="false" outlineLevel="0" collapsed="false">
      <c r="E806" s="54" t="n">
        <v>802</v>
      </c>
      <c r="F806" s="61" t="n">
        <v>0.257989</v>
      </c>
      <c r="G806" s="61" t="n">
        <v>0.856975</v>
      </c>
      <c r="H806" s="34" t="n">
        <f aca="false">NORMSINV(F806)</f>
        <v>-0.649557644321711</v>
      </c>
      <c r="I806" s="34" t="n">
        <f aca="false">NORMSINV(G806)</f>
        <v>1.06682692007999</v>
      </c>
      <c r="J806" s="59" t="n">
        <f aca="false">mc_s0*EXP((mc_mu-mc_vol^2/2)*mc_t1+mc_vol*SQRT(mc_t1)*H806)</f>
        <v>1077.30545249778</v>
      </c>
      <c r="K806" s="59" t="n">
        <f aca="false">J806*EXP((mc_mu-mc_vol^2/2)*(mc_t2-mc_t1)+mc_vol*SQRT(mc_t2-mc_t1)*I806)</f>
        <v>1297.88282464719</v>
      </c>
      <c r="L806" s="31" t="n">
        <f aca="false">(t1_usd*J806+t2_usd*K806)/1000</f>
        <v>10007.1155343141</v>
      </c>
    </row>
    <row r="807" customFormat="false" ht="15" hidden="false" customHeight="false" outlineLevel="0" collapsed="false">
      <c r="E807" s="54" t="n">
        <v>803</v>
      </c>
      <c r="F807" s="61" t="n">
        <v>0.779744</v>
      </c>
      <c r="G807" s="61" t="n">
        <v>0.808626</v>
      </c>
      <c r="H807" s="34" t="n">
        <f aca="false">NORMSINV(F807)</f>
        <v>0.771328911052652</v>
      </c>
      <c r="I807" s="34" t="n">
        <f aca="false">NORMSINV(G807)</f>
        <v>0.872844207602698</v>
      </c>
      <c r="J807" s="59" t="n">
        <f aca="false">mc_s0*EXP((mc_mu-mc_vol^2/2)*mc_t1+mc_vol*SQRT(mc_t1)*H807)</f>
        <v>1233.9122169927</v>
      </c>
      <c r="K807" s="59" t="n">
        <f aca="false">J807*EXP((mc_mu-mc_vol^2/2)*(mc_t2-mc_t1)+mc_vol*SQRT(mc_t2-mc_t1)*I807)</f>
        <v>1441.79778687364</v>
      </c>
      <c r="L807" s="31" t="n">
        <f aca="false">(t1_usd*J807+t2_usd*K807)/1000</f>
        <v>11376.8013140088</v>
      </c>
    </row>
    <row r="808" customFormat="false" ht="15" hidden="false" customHeight="false" outlineLevel="0" collapsed="false">
      <c r="E808" s="54" t="n">
        <v>804</v>
      </c>
      <c r="F808" s="61" t="n">
        <v>0.907252</v>
      </c>
      <c r="G808" s="61" t="n">
        <v>0.668875</v>
      </c>
      <c r="H808" s="34" t="n">
        <f aca="false">NORMSINV(F808)</f>
        <v>1.3240212120809</v>
      </c>
      <c r="I808" s="34" t="n">
        <f aca="false">NORMSINV(G808)</f>
        <v>0.436808822750624</v>
      </c>
      <c r="J808" s="59" t="n">
        <f aca="false">mc_s0*EXP((mc_mu-mc_vol^2/2)*mc_t1+mc_vol*SQRT(mc_t1)*H808)</f>
        <v>1300.80643336097</v>
      </c>
      <c r="K808" s="59" t="n">
        <f aca="false">J808*EXP((mc_mu-mc_vol^2/2)*(mc_t2-mc_t1)+mc_vol*SQRT(mc_t2-mc_t1)*I808)</f>
        <v>1419.02385084678</v>
      </c>
      <c r="L808" s="31" t="n">
        <f aca="false">(t1_usd*J808+t2_usd*K808)/1000</f>
        <v>11801.7903501357</v>
      </c>
    </row>
    <row r="809" customFormat="false" ht="15" hidden="false" customHeight="false" outlineLevel="0" collapsed="false">
      <c r="E809" s="54" t="n">
        <v>805</v>
      </c>
      <c r="F809" s="61" t="n">
        <v>0.956522</v>
      </c>
      <c r="G809" s="61" t="n">
        <v>0.079097</v>
      </c>
      <c r="H809" s="34" t="n">
        <f aca="false">NORMSINV(F809)</f>
        <v>1.71167813607302</v>
      </c>
      <c r="I809" s="34" t="n">
        <f aca="false">NORMSINV(G809)</f>
        <v>-1.41117167473153</v>
      </c>
      <c r="J809" s="59" t="n">
        <f aca="false">mc_s0*EXP((mc_mu-mc_vol^2/2)*mc_t1+mc_vol*SQRT(mc_t1)*H809)</f>
        <v>1349.8782626059</v>
      </c>
      <c r="K809" s="59" t="n">
        <f aca="false">J809*EXP((mc_mu-mc_vol^2/2)*(mc_t2-mc_t1)+mc_vol*SQRT(mc_t2-mc_t1)*I809)</f>
        <v>1100.50597861396</v>
      </c>
      <c r="L809" s="31" t="n">
        <f aca="false">(t1_usd*J809+t2_usd*K809)/1000</f>
        <v>11540.1091976078</v>
      </c>
    </row>
    <row r="810" customFormat="false" ht="15" hidden="false" customHeight="false" outlineLevel="0" collapsed="false">
      <c r="E810" s="54" t="n">
        <v>806</v>
      </c>
      <c r="F810" s="61" t="n">
        <v>0.883897</v>
      </c>
      <c r="G810" s="61" t="n">
        <v>0.170195</v>
      </c>
      <c r="H810" s="34" t="n">
        <f aca="false">NORMSINV(F810)</f>
        <v>1.19469555442311</v>
      </c>
      <c r="I810" s="34" t="n">
        <f aca="false">NORMSINV(G810)</f>
        <v>-0.953394948304911</v>
      </c>
      <c r="J810" s="59" t="n">
        <f aca="false">mc_s0*EXP((mc_mu-mc_vol^2/2)*mc_t1+mc_vol*SQRT(mc_t1)*H810)</f>
        <v>1284.8357371631</v>
      </c>
      <c r="K810" s="59" t="n">
        <f aca="false">J810*EXP((mc_mu-mc_vol^2/2)*(mc_t2-mc_t1)+mc_vol*SQRT(mc_t2-mc_t1)*I810)</f>
        <v>1125.83954558697</v>
      </c>
      <c r="L810" s="31" t="n">
        <f aca="false">(t1_usd*J810+t2_usd*K810)/1000</f>
        <v>11132.945296757</v>
      </c>
    </row>
    <row r="811" customFormat="false" ht="15" hidden="false" customHeight="false" outlineLevel="0" collapsed="false">
      <c r="E811" s="54" t="n">
        <v>807</v>
      </c>
      <c r="F811" s="61" t="n">
        <v>0.041341</v>
      </c>
      <c r="G811" s="61" t="n">
        <v>0.577884</v>
      </c>
      <c r="H811" s="34" t="n">
        <f aca="false">NORMSINV(F811)</f>
        <v>-1.73533209544461</v>
      </c>
      <c r="I811" s="34" t="n">
        <f aca="false">NORMSINV(G811)</f>
        <v>0.196483175521616</v>
      </c>
      <c r="J811" s="59" t="n">
        <f aca="false">mc_s0*EXP((mc_mu-mc_vol^2/2)*mc_t1+mc_vol*SQRT(mc_t1)*H811)</f>
        <v>971.170674999889</v>
      </c>
      <c r="K811" s="59" t="n">
        <f aca="false">J811*EXP((mc_mu-mc_vol^2/2)*(mc_t2-mc_t1)+mc_vol*SQRT(mc_t2-mc_t1)*I811)</f>
        <v>1020.05654232538</v>
      </c>
      <c r="L811" s="31" t="n">
        <f aca="false">(t1_usd*J811+t2_usd*K811)/1000</f>
        <v>8736.30215541745</v>
      </c>
    </row>
    <row r="812" customFormat="false" ht="15" hidden="false" customHeight="false" outlineLevel="0" collapsed="false">
      <c r="E812" s="54" t="n">
        <v>808</v>
      </c>
      <c r="F812" s="61" t="n">
        <v>0.55198</v>
      </c>
      <c r="G812" s="61" t="n">
        <v>0.794617</v>
      </c>
      <c r="H812" s="34" t="n">
        <f aca="false">NORMSINV(F812)</f>
        <v>0.13066540558751</v>
      </c>
      <c r="I812" s="34" t="n">
        <f aca="false">NORMSINV(G812)</f>
        <v>0.822546382521854</v>
      </c>
      <c r="J812" s="59" t="n">
        <f aca="false">mc_s0*EXP((mc_mu-mc_vol^2/2)*mc_t1+mc_vol*SQRT(mc_t1)*H812)</f>
        <v>1160.66361809683</v>
      </c>
      <c r="K812" s="59" t="n">
        <f aca="false">J812*EXP((mc_mu-mc_vol^2/2)*(mc_t2-mc_t1)+mc_vol*SQRT(mc_t2-mc_t1)*I812)</f>
        <v>1345.50087696001</v>
      </c>
      <c r="L812" s="31" t="n">
        <f aca="false">(t1_usd*J812+t2_usd*K812)/1000</f>
        <v>10681.0969929018</v>
      </c>
    </row>
    <row r="813" customFormat="false" ht="15" hidden="false" customHeight="false" outlineLevel="0" collapsed="false">
      <c r="E813" s="54" t="n">
        <v>809</v>
      </c>
      <c r="F813" s="61" t="n">
        <v>0.990927</v>
      </c>
      <c r="G813" s="61" t="n">
        <v>0.09861</v>
      </c>
      <c r="H813" s="34" t="n">
        <f aca="false">NORMSINV(F813)</f>
        <v>2.36262542423765</v>
      </c>
      <c r="I813" s="34" t="n">
        <f aca="false">NORMSINV(G813)</f>
        <v>-1.28951242377349</v>
      </c>
      <c r="J813" s="59" t="n">
        <f aca="false">mc_s0*EXP((mc_mu-mc_vol^2/2)*mc_t1+mc_vol*SQRT(mc_t1)*H813)</f>
        <v>1436.4784625834</v>
      </c>
      <c r="K813" s="59" t="n">
        <f aca="false">J813*EXP((mc_mu-mc_vol^2/2)*(mc_t2-mc_t1)+mc_vol*SQRT(mc_t2-mc_t1)*I813)</f>
        <v>1193.77782206573</v>
      </c>
      <c r="L813" s="31" t="n">
        <f aca="false">(t1_usd*J813+t2_usd*K813)/1000</f>
        <v>12323.5271000087</v>
      </c>
    </row>
    <row r="814" customFormat="false" ht="15" hidden="false" customHeight="false" outlineLevel="0" collapsed="false">
      <c r="E814" s="54" t="n">
        <v>810</v>
      </c>
      <c r="F814" s="61" t="n">
        <v>0.894727</v>
      </c>
      <c r="G814" s="61" t="n">
        <v>0.088339</v>
      </c>
      <c r="H814" s="34" t="n">
        <f aca="false">NORMSINV(F814)</f>
        <v>1.25206549369353</v>
      </c>
      <c r="I814" s="34" t="n">
        <f aca="false">NORMSINV(G814)</f>
        <v>-1.35105442240916</v>
      </c>
      <c r="J814" s="59" t="n">
        <f aca="false">mc_s0*EXP((mc_mu-mc_vol^2/2)*mc_t1+mc_vol*SQRT(mc_t1)*H814)</f>
        <v>1291.89612869179</v>
      </c>
      <c r="K814" s="59" t="n">
        <f aca="false">J814*EXP((mc_mu-mc_vol^2/2)*(mc_t2-mc_t1)+mc_vol*SQRT(mc_t2-mc_t1)*I814)</f>
        <v>1063.26112528526</v>
      </c>
      <c r="L814" s="31" t="n">
        <f aca="false">(t1_usd*J814+t2_usd*K814)/1000</f>
        <v>11063.4690388846</v>
      </c>
    </row>
    <row r="815" customFormat="false" ht="15" hidden="false" customHeight="false" outlineLevel="0" collapsed="false">
      <c r="E815" s="54" t="n">
        <v>811</v>
      </c>
      <c r="F815" s="61" t="n">
        <v>0.542528</v>
      </c>
      <c r="G815" s="61" t="n">
        <v>0.43608</v>
      </c>
      <c r="H815" s="34" t="n">
        <f aca="false">NORMSINV(F815)</f>
        <v>0.106804597580556</v>
      </c>
      <c r="I815" s="34" t="n">
        <f aca="false">NORMSINV(G815)</f>
        <v>-0.16091544180445</v>
      </c>
      <c r="J815" s="59" t="n">
        <f aca="false">mc_s0*EXP((mc_mu-mc_vol^2/2)*mc_t1+mc_vol*SQRT(mc_t1)*H815)</f>
        <v>1158.02119152026</v>
      </c>
      <c r="K815" s="59" t="n">
        <f aca="false">J815*EXP((mc_mu-mc_vol^2/2)*(mc_t2-mc_t1)+mc_vol*SQRT(mc_t2-mc_t1)*I815)</f>
        <v>1149.69903650624</v>
      </c>
      <c r="L815" s="31" t="n">
        <f aca="false">(t1_usd*J815+t2_usd*K815)/1000</f>
        <v>10290.5765100036</v>
      </c>
    </row>
    <row r="816" customFormat="false" ht="15" hidden="false" customHeight="false" outlineLevel="0" collapsed="false">
      <c r="E816" s="54" t="n">
        <v>812</v>
      </c>
      <c r="F816" s="61" t="n">
        <v>0.162255</v>
      </c>
      <c r="G816" s="61" t="n">
        <v>0.757179</v>
      </c>
      <c r="H816" s="34" t="n">
        <f aca="false">NORMSINV(F816)</f>
        <v>-0.985232255716181</v>
      </c>
      <c r="I816" s="34" t="n">
        <f aca="false">NORMSINV(G816)</f>
        <v>0.697256956874588</v>
      </c>
      <c r="J816" s="59" t="n">
        <f aca="false">mc_s0*EXP((mc_mu-mc_vol^2/2)*mc_t1+mc_vol*SQRT(mc_t1)*H816)</f>
        <v>1043.31010503025</v>
      </c>
      <c r="K816" s="59" t="n">
        <f aca="false">J816*EXP((mc_mu-mc_vol^2/2)*(mc_t2-mc_t1)+mc_vol*SQRT(mc_t2-mc_t1)*I816)</f>
        <v>1185.81239787773</v>
      </c>
      <c r="L816" s="31" t="n">
        <f aca="false">(t1_usd*J816+t2_usd*K816)/1000</f>
        <v>9556.21429117944</v>
      </c>
    </row>
    <row r="817" customFormat="false" ht="15" hidden="false" customHeight="false" outlineLevel="0" collapsed="false">
      <c r="E817" s="54" t="n">
        <v>813</v>
      </c>
      <c r="F817" s="61" t="n">
        <v>0.021438</v>
      </c>
      <c r="G817" s="61" t="n">
        <v>0.623937</v>
      </c>
      <c r="H817" s="34" t="n">
        <f aca="false">NORMSINV(F817)</f>
        <v>-2.02491590628906</v>
      </c>
      <c r="I817" s="34" t="n">
        <f aca="false">NORMSINV(G817)</f>
        <v>0.315837306356008</v>
      </c>
      <c r="J817" s="59" t="n">
        <f aca="false">mc_s0*EXP((mc_mu-mc_vol^2/2)*mc_t1+mc_vol*SQRT(mc_t1)*H817)</f>
        <v>944.674495950866</v>
      </c>
      <c r="K817" s="59" t="n">
        <f aca="false">J817*EXP((mc_mu-mc_vol^2/2)*(mc_t2-mc_t1)+mc_vol*SQRT(mc_t2-mc_t1)*I817)</f>
        <v>1011.06643789962</v>
      </c>
      <c r="L817" s="31" t="n">
        <f aca="false">(t1_usd*J817+t2_usd*K817)/1000</f>
        <v>8533.74770366535</v>
      </c>
    </row>
    <row r="818" customFormat="false" ht="15" hidden="false" customHeight="false" outlineLevel="0" collapsed="false">
      <c r="E818" s="54" t="n">
        <v>814</v>
      </c>
      <c r="F818" s="61" t="n">
        <v>0.99341</v>
      </c>
      <c r="G818" s="61" t="n">
        <v>0.563438</v>
      </c>
      <c r="H818" s="34" t="n">
        <f aca="false">NORMSINV(F818)</f>
        <v>2.47886819594813</v>
      </c>
      <c r="I818" s="34" t="n">
        <f aca="false">NORMSINV(G818)</f>
        <v>0.159691623118975</v>
      </c>
      <c r="J818" s="59" t="n">
        <f aca="false">mc_s0*EXP((mc_mu-mc_vol^2/2)*mc_t1+mc_vol*SQRT(mc_t1)*H818)</f>
        <v>1452.51773703632</v>
      </c>
      <c r="K818" s="59" t="n">
        <f aca="false">J818*EXP((mc_mu-mc_vol^2/2)*(mc_t2-mc_t1)+mc_vol*SQRT(mc_t2-mc_t1)*I818)</f>
        <v>1516.81301911119</v>
      </c>
      <c r="L818" s="31" t="n">
        <f aca="false">(t1_usd*J818+t2_usd*K818)/1000</f>
        <v>13049.5688955655</v>
      </c>
    </row>
    <row r="819" customFormat="false" ht="15" hidden="false" customHeight="false" outlineLevel="0" collapsed="false">
      <c r="E819" s="54" t="n">
        <v>815</v>
      </c>
      <c r="F819" s="61" t="n">
        <v>0.184315</v>
      </c>
      <c r="G819" s="61" t="n">
        <v>0.036275</v>
      </c>
      <c r="H819" s="34" t="n">
        <f aca="false">NORMSINV(F819)</f>
        <v>-0.899042544094485</v>
      </c>
      <c r="I819" s="34" t="n">
        <f aca="false">NORMSINV(G819)</f>
        <v>-1.7956512475709</v>
      </c>
      <c r="J819" s="59" t="n">
        <f aca="false">mc_s0*EXP((mc_mu-mc_vol^2/2)*mc_t1+mc_vol*SQRT(mc_t1)*H819)</f>
        <v>1051.93520435786</v>
      </c>
      <c r="K819" s="59" t="n">
        <f aca="false">J819*EXP((mc_mu-mc_vol^2/2)*(mc_t2-mc_t1)+mc_vol*SQRT(mc_t2-mc_t1)*I819)</f>
        <v>807.183537886233</v>
      </c>
      <c r="L819" s="31" t="n">
        <f aca="false">(t1_usd*J819+t2_usd*K819)/1000</f>
        <v>8897.19515248886</v>
      </c>
    </row>
    <row r="820" customFormat="false" ht="15" hidden="false" customHeight="false" outlineLevel="0" collapsed="false">
      <c r="E820" s="54" t="n">
        <v>816</v>
      </c>
      <c r="F820" s="61" t="n">
        <v>0.164093</v>
      </c>
      <c r="G820" s="61" t="n">
        <v>0.443118</v>
      </c>
      <c r="H820" s="34" t="n">
        <f aca="false">NORMSINV(F820)</f>
        <v>-0.977774228364697</v>
      </c>
      <c r="I820" s="34" t="n">
        <f aca="false">NORMSINV(G820)</f>
        <v>-0.14306860425883</v>
      </c>
      <c r="J820" s="59" t="n">
        <f aca="false">mc_s0*EXP((mc_mu-mc_vol^2/2)*mc_t1+mc_vol*SQRT(mc_t1)*H820)</f>
        <v>1044.05363476622</v>
      </c>
      <c r="K820" s="59" t="n">
        <f aca="false">J820*EXP((mc_mu-mc_vol^2/2)*(mc_t2-mc_t1)+mc_vol*SQRT(mc_t2-mc_t1)*I820)</f>
        <v>1039.46995472354</v>
      </c>
      <c r="L820" s="31" t="n">
        <f aca="false">(t1_usd*J820+t2_usd*K820)/1000</f>
        <v>9283.36835733824</v>
      </c>
    </row>
    <row r="821" customFormat="false" ht="15" hidden="false" customHeight="false" outlineLevel="0" collapsed="false">
      <c r="E821" s="54" t="n">
        <v>817</v>
      </c>
      <c r="F821" s="61" t="n">
        <v>0.864666</v>
      </c>
      <c r="G821" s="61" t="n">
        <v>0.275968</v>
      </c>
      <c r="H821" s="34" t="n">
        <f aca="false">NORMSINV(F821)</f>
        <v>1.10152552878</v>
      </c>
      <c r="I821" s="34" t="n">
        <f aca="false">NORMSINV(G821)</f>
        <v>-0.594861581050694</v>
      </c>
      <c r="J821" s="59" t="n">
        <f aca="false">mc_s0*EXP((mc_mu-mc_vol^2/2)*mc_t1+mc_vol*SQRT(mc_t1)*H821)</f>
        <v>1273.45163122544</v>
      </c>
      <c r="K821" s="59" t="n">
        <f aca="false">J821*EXP((mc_mu-mc_vol^2/2)*(mc_t2-mc_t1)+mc_vol*SQRT(mc_t2-mc_t1)*I821)</f>
        <v>1180.72846948602</v>
      </c>
      <c r="L821" s="31" t="n">
        <f aca="false">(t1_usd*J821+t2_usd*K821)/1000</f>
        <v>11157.5455106015</v>
      </c>
    </row>
    <row r="822" customFormat="false" ht="15" hidden="false" customHeight="false" outlineLevel="0" collapsed="false">
      <c r="E822" s="54" t="n">
        <v>818</v>
      </c>
      <c r="F822" s="61" t="n">
        <v>0.498952</v>
      </c>
      <c r="G822" s="61" t="n">
        <v>0.0064</v>
      </c>
      <c r="H822" s="34" t="n">
        <f aca="false">NORMSINV(F822)</f>
        <v>-0.00262694945318005</v>
      </c>
      <c r="I822" s="34" t="n">
        <f aca="false">NORMSINV(G822)</f>
        <v>-2.48928586478724</v>
      </c>
      <c r="J822" s="59" t="n">
        <f aca="false">mc_s0*EXP((mc_mu-mc_vol^2/2)*mc_t1+mc_vol*SQRT(mc_t1)*H822)</f>
        <v>1145.97922566816</v>
      </c>
      <c r="K822" s="59" t="n">
        <f aca="false">J822*EXP((mc_mu-mc_vol^2/2)*(mc_t2-mc_t1)+mc_vol*SQRT(mc_t2-mc_t1)*I822)</f>
        <v>788.290713166497</v>
      </c>
      <c r="L822" s="31" t="n">
        <f aca="false">(t1_usd*J822+t2_usd*K822)/1000</f>
        <v>9519.60693469346</v>
      </c>
    </row>
    <row r="823" customFormat="false" ht="15" hidden="false" customHeight="false" outlineLevel="0" collapsed="false">
      <c r="E823" s="54" t="n">
        <v>819</v>
      </c>
      <c r="F823" s="61" t="n">
        <v>0.490223</v>
      </c>
      <c r="G823" s="61" t="n">
        <v>0.4547</v>
      </c>
      <c r="H823" s="34" t="n">
        <f aca="false">NORMSINV(F823)</f>
        <v>-0.0245097583706904</v>
      </c>
      <c r="I823" s="34" t="n">
        <f aca="false">NORMSINV(G823)</f>
        <v>-0.113795381298835</v>
      </c>
      <c r="J823" s="59" t="n">
        <f aca="false">mc_s0*EXP((mc_mu-mc_vol^2/2)*mc_t1+mc_vol*SQRT(mc_t1)*H823)</f>
        <v>1143.58628330848</v>
      </c>
      <c r="K823" s="59" t="n">
        <f aca="false">J823*EXP((mc_mu-mc_vol^2/2)*(mc_t2-mc_t1)+mc_vol*SQRT(mc_t2-mc_t1)*I823)</f>
        <v>1143.83026228198</v>
      </c>
      <c r="L823" s="31" t="n">
        <f aca="false">(t1_usd*J823+t2_usd*K823)/1000</f>
        <v>10178.3814814951</v>
      </c>
    </row>
    <row r="824" customFormat="false" ht="15" hidden="false" customHeight="false" outlineLevel="0" collapsed="false">
      <c r="E824" s="54" t="n">
        <v>820</v>
      </c>
      <c r="F824" s="61" t="n">
        <v>0.816745</v>
      </c>
      <c r="G824" s="61" t="n">
        <v>0.040095</v>
      </c>
      <c r="H824" s="34" t="n">
        <f aca="false">NORMSINV(F824)</f>
        <v>0.903029949419745</v>
      </c>
      <c r="I824" s="34" t="n">
        <f aca="false">NORMSINV(G824)</f>
        <v>-1.7495847099256</v>
      </c>
      <c r="J824" s="59" t="n">
        <f aca="false">mc_s0*EXP((mc_mu-mc_vol^2/2)*mc_t1+mc_vol*SQRT(mc_t1)*H824)</f>
        <v>1249.53341660305</v>
      </c>
      <c r="K824" s="59" t="n">
        <f aca="false">J824*EXP((mc_mu-mc_vol^2/2)*(mc_t2-mc_t1)+mc_vol*SQRT(mc_t2-mc_t1)*I824)</f>
        <v>965.793016956373</v>
      </c>
      <c r="L824" s="31" t="n">
        <f aca="false">(t1_usd*J824+t2_usd*K824)/1000</f>
        <v>10581.7406484385</v>
      </c>
    </row>
    <row r="825" customFormat="false" ht="15" hidden="false" customHeight="false" outlineLevel="0" collapsed="false">
      <c r="E825" s="54" t="n">
        <v>821</v>
      </c>
      <c r="F825" s="61" t="n">
        <v>0.232912</v>
      </c>
      <c r="G825" s="61" t="n">
        <v>0.535121</v>
      </c>
      <c r="H825" s="34" t="n">
        <f aca="false">NORMSINV(F825)</f>
        <v>-0.729290470878323</v>
      </c>
      <c r="I825" s="34" t="n">
        <f aca="false">NORMSINV(G825)</f>
        <v>0.0881493165019301</v>
      </c>
      <c r="J825" s="59" t="n">
        <f aca="false">mc_s0*EXP((mc_mu-mc_vol^2/2)*mc_t1+mc_vol*SQRT(mc_t1)*H825)</f>
        <v>1069.13154984796</v>
      </c>
      <c r="K825" s="59" t="n">
        <f aca="false">J825*EXP((mc_mu-mc_vol^2/2)*(mc_t2-mc_t1)+mc_vol*SQRT(mc_t2-mc_t1)*I825)</f>
        <v>1103.93946838104</v>
      </c>
      <c r="L825" s="31" t="n">
        <f aca="false">(t1_usd*J825+t2_usd*K825)/1000</f>
        <v>9581.40583885968</v>
      </c>
    </row>
    <row r="826" customFormat="false" ht="15" hidden="false" customHeight="false" outlineLevel="0" collapsed="false">
      <c r="E826" s="54" t="n">
        <v>822</v>
      </c>
      <c r="F826" s="61" t="n">
        <v>0.184312</v>
      </c>
      <c r="G826" s="61" t="n">
        <v>0.121191</v>
      </c>
      <c r="H826" s="34" t="n">
        <f aca="false">NORMSINV(F826)</f>
        <v>-0.899053809027569</v>
      </c>
      <c r="I826" s="34" t="n">
        <f aca="false">NORMSINV(G826)</f>
        <v>-1.16905369113514</v>
      </c>
      <c r="J826" s="59" t="n">
        <f aca="false">mc_s0*EXP((mc_mu-mc_vol^2/2)*mc_t1+mc_vol*SQRT(mc_t1)*H826)</f>
        <v>1051.9340724173</v>
      </c>
      <c r="K826" s="59" t="n">
        <f aca="false">J826*EXP((mc_mu-mc_vol^2/2)*(mc_t2-mc_t1)+mc_vol*SQRT(mc_t2-mc_t1)*I826)</f>
        <v>890.958199490474</v>
      </c>
      <c r="L826" s="31" t="n">
        <f aca="false">(t1_usd*J826+t2_usd*K826)/1000</f>
        <v>9056.35908595301</v>
      </c>
    </row>
    <row r="827" customFormat="false" ht="15" hidden="false" customHeight="false" outlineLevel="0" collapsed="false">
      <c r="E827" s="54" t="n">
        <v>823</v>
      </c>
      <c r="F827" s="61" t="n">
        <v>0.004696</v>
      </c>
      <c r="G827" s="61" t="n">
        <v>0.332769</v>
      </c>
      <c r="H827" s="34" t="n">
        <f aca="false">NORMSINV(F827)</f>
        <v>-2.59744558498697</v>
      </c>
      <c r="I827" s="34" t="n">
        <f aca="false">NORMSINV(G827)</f>
        <v>-0.432279891782316</v>
      </c>
      <c r="J827" s="59" t="n">
        <f aca="false">mc_s0*EXP((mc_mu-mc_vol^2/2)*mc_t1+mc_vol*SQRT(mc_t1)*H827)</f>
        <v>894.39801366081</v>
      </c>
      <c r="K827" s="59" t="n">
        <f aca="false">J827*EXP((mc_mu-mc_vol^2/2)*(mc_t2-mc_t1)+mc_vol*SQRT(mc_t2-mc_t1)*I827)</f>
        <v>850.796705739345</v>
      </c>
      <c r="L827" s="31" t="n">
        <f aca="false">(t1_usd*J827+t2_usd*K827)/1000</f>
        <v>7877.29983653042</v>
      </c>
    </row>
    <row r="828" customFormat="false" ht="15" hidden="false" customHeight="false" outlineLevel="0" collapsed="false">
      <c r="E828" s="54" t="n">
        <v>824</v>
      </c>
      <c r="F828" s="61" t="n">
        <v>0.971409</v>
      </c>
      <c r="G828" s="61" t="n">
        <v>0.829946</v>
      </c>
      <c r="H828" s="34" t="n">
        <f aca="false">NORMSINV(F828)</f>
        <v>1.90191704852366</v>
      </c>
      <c r="I828" s="34" t="n">
        <f aca="false">NORMSINV(G828)</f>
        <v>0.953951881288403</v>
      </c>
      <c r="J828" s="59" t="n">
        <f aca="false">mc_s0*EXP((mc_mu-mc_vol^2/2)*mc_t1+mc_vol*SQRT(mc_t1)*H828)</f>
        <v>1374.63265147687</v>
      </c>
      <c r="K828" s="59" t="n">
        <f aca="false">J828*EXP((mc_mu-mc_vol^2/2)*(mc_t2-mc_t1)+mc_vol*SQRT(mc_t2-mc_t1)*I828)</f>
        <v>1626.88893569335</v>
      </c>
      <c r="L828" s="31" t="n">
        <f aca="false">(t1_usd*J828+t2_usd*K828)/1000</f>
        <v>12713.5175381555</v>
      </c>
    </row>
    <row r="829" customFormat="false" ht="15" hidden="false" customHeight="false" outlineLevel="0" collapsed="false">
      <c r="E829" s="54" t="n">
        <v>825</v>
      </c>
      <c r="F829" s="61" t="n">
        <v>0.610949</v>
      </c>
      <c r="G829" s="61" t="n">
        <v>0.86306</v>
      </c>
      <c r="H829" s="34" t="n">
        <f aca="false">NORMSINV(F829)</f>
        <v>0.281793311295966</v>
      </c>
      <c r="I829" s="34" t="n">
        <f aca="false">NORMSINV(G829)</f>
        <v>1.09417097210723</v>
      </c>
      <c r="J829" s="59" t="n">
        <f aca="false">mc_s0*EXP((mc_mu-mc_vol^2/2)*mc_t1+mc_vol*SQRT(mc_t1)*H829)</f>
        <v>1177.54064033174</v>
      </c>
      <c r="K829" s="59" t="n">
        <f aca="false">J829*EXP((mc_mu-mc_vol^2/2)*(mc_t2-mc_t1)+mc_vol*SQRT(mc_t2-mc_t1)*I829)</f>
        <v>1424.76753246948</v>
      </c>
      <c r="L829" s="31" t="n">
        <f aca="false">(t1_usd*J829+t2_usd*K829)/1000</f>
        <v>10949.8427940142</v>
      </c>
    </row>
    <row r="830" customFormat="false" ht="15" hidden="false" customHeight="false" outlineLevel="0" collapsed="false">
      <c r="E830" s="54" t="n">
        <v>826</v>
      </c>
      <c r="F830" s="61" t="n">
        <v>0.325374</v>
      </c>
      <c r="G830" s="61" t="n">
        <v>0.352909</v>
      </c>
      <c r="H830" s="34" t="n">
        <f aca="false">NORMSINV(F830)</f>
        <v>-0.45272329939618</v>
      </c>
      <c r="I830" s="34" t="n">
        <f aca="false">NORMSINV(G830)</f>
        <v>-0.377478552736653</v>
      </c>
      <c r="J830" s="59" t="n">
        <f aca="false">mc_s0*EXP((mc_mu-mc_vol^2/2)*mc_t1+mc_vol*SQRT(mc_t1)*H830)</f>
        <v>1097.75271699721</v>
      </c>
      <c r="K830" s="59" t="n">
        <f aca="false">J830*EXP((mc_mu-mc_vol^2/2)*(mc_t2-mc_t1)+mc_vol*SQRT(mc_t2-mc_t1)*I830)</f>
        <v>1053.29542955544</v>
      </c>
      <c r="L830" s="31" t="n">
        <f aca="false">(t1_usd*J830+t2_usd*K830)/1000</f>
        <v>9685.53033513577</v>
      </c>
    </row>
    <row r="831" customFormat="false" ht="15" hidden="false" customHeight="false" outlineLevel="0" collapsed="false">
      <c r="E831" s="54" t="n">
        <v>827</v>
      </c>
      <c r="F831" s="61" t="n">
        <v>0.695923</v>
      </c>
      <c r="G831" s="61" t="n">
        <v>0.508597</v>
      </c>
      <c r="H831" s="34" t="n">
        <f aca="false">NORMSINV(F831)</f>
        <v>0.51271027664618</v>
      </c>
      <c r="I831" s="34" t="n">
        <f aca="false">NORMSINV(G831)</f>
        <v>0.0215511514071376</v>
      </c>
      <c r="J831" s="59" t="n">
        <f aca="false">mc_s0*EXP((mc_mu-mc_vol^2/2)*mc_t1+mc_vol*SQRT(mc_t1)*H831)</f>
        <v>1203.80317200288</v>
      </c>
      <c r="K831" s="59" t="n">
        <f aca="false">J831*EXP((mc_mu-mc_vol^2/2)*(mc_t2-mc_t1)+mc_vol*SQRT(mc_t2-mc_t1)*I831)</f>
        <v>1230.01808305154</v>
      </c>
      <c r="L831" s="31" t="n">
        <f aca="false">(t1_usd*J831+t2_usd*K831)/1000</f>
        <v>10763.6565618181</v>
      </c>
    </row>
    <row r="832" customFormat="false" ht="15" hidden="false" customHeight="false" outlineLevel="0" collapsed="false">
      <c r="E832" s="54" t="n">
        <v>828</v>
      </c>
      <c r="F832" s="61" t="n">
        <v>0.995788</v>
      </c>
      <c r="G832" s="61" t="n">
        <v>0.004165</v>
      </c>
      <c r="H832" s="34" t="n">
        <f aca="false">NORMSINV(F832)</f>
        <v>2.6345858413058</v>
      </c>
      <c r="I832" s="34" t="n">
        <f aca="false">NORMSINV(G832)</f>
        <v>-2.63839293240114</v>
      </c>
      <c r="J832" s="59" t="n">
        <f aca="false">mc_s0*EXP((mc_mu-mc_vol^2/2)*mc_t1+mc_vol*SQRT(mc_t1)*H832)</f>
        <v>1474.28478301597</v>
      </c>
      <c r="K832" s="59" t="n">
        <f aca="false">J832*EXP((mc_mu-mc_vol^2/2)*(mc_t2-mc_t1)+mc_vol*SQRT(mc_t2-mc_t1)*I832)</f>
        <v>990.571625737994</v>
      </c>
      <c r="L832" s="31" t="n">
        <f aca="false">(t1_usd*J832+t2_usd*K832)/1000</f>
        <v>12202.079570014</v>
      </c>
    </row>
    <row r="833" customFormat="false" ht="15" hidden="false" customHeight="false" outlineLevel="0" collapsed="false">
      <c r="E833" s="54" t="n">
        <v>829</v>
      </c>
      <c r="F833" s="61" t="n">
        <v>0.813365</v>
      </c>
      <c r="G833" s="61" t="n">
        <v>0.424569</v>
      </c>
      <c r="H833" s="34" t="n">
        <f aca="false">NORMSINV(F833)</f>
        <v>0.890364868485082</v>
      </c>
      <c r="I833" s="34" t="n">
        <f aca="false">NORMSINV(G833)</f>
        <v>-0.190218391365698</v>
      </c>
      <c r="J833" s="59" t="n">
        <f aca="false">mc_s0*EXP((mc_mu-mc_vol^2/2)*mc_t1+mc_vol*SQRT(mc_t1)*H833)</f>
        <v>1248.02264290564</v>
      </c>
      <c r="K833" s="59" t="n">
        <f aca="false">J833*EXP((mc_mu-mc_vol^2/2)*(mc_t2-mc_t1)+mc_vol*SQRT(mc_t2-mc_t1)*I833)</f>
        <v>1233.34499854799</v>
      </c>
      <c r="L833" s="31" t="n">
        <f aca="false">(t1_usd*J833+t2_usd*K833)/1000</f>
        <v>11079.5139975807</v>
      </c>
    </row>
    <row r="834" customFormat="false" ht="15" hidden="false" customHeight="false" outlineLevel="0" collapsed="false">
      <c r="E834" s="54" t="n">
        <v>830</v>
      </c>
      <c r="F834" s="61" t="n">
        <v>0.834282</v>
      </c>
      <c r="G834" s="61" t="n">
        <v>0.675755</v>
      </c>
      <c r="H834" s="34" t="n">
        <f aca="false">NORMSINV(F834)</f>
        <v>0.971225496451432</v>
      </c>
      <c r="I834" s="34" t="n">
        <f aca="false">NORMSINV(G834)</f>
        <v>0.455860910772571</v>
      </c>
      <c r="J834" s="59" t="n">
        <f aca="false">mc_s0*EXP((mc_mu-mc_vol^2/2)*mc_t1+mc_vol*SQRT(mc_t1)*H834)</f>
        <v>1257.69971893066</v>
      </c>
      <c r="K834" s="59" t="n">
        <f aca="false">J834*EXP((mc_mu-mc_vol^2/2)*(mc_t2-mc_t1)+mc_vol*SQRT(mc_t2-mc_t1)*I834)</f>
        <v>1376.12518500111</v>
      </c>
      <c r="L834" s="31" t="n">
        <f aca="false">(t1_usd*J834+t2_usd*K834)/1000</f>
        <v>11418.5358840167</v>
      </c>
    </row>
    <row r="835" customFormat="false" ht="15" hidden="false" customHeight="false" outlineLevel="0" collapsed="false">
      <c r="E835" s="54" t="n">
        <v>831</v>
      </c>
      <c r="F835" s="61" t="n">
        <v>0.577666</v>
      </c>
      <c r="G835" s="61" t="n">
        <v>0.307502</v>
      </c>
      <c r="H835" s="34" t="n">
        <f aca="false">NORMSINV(F835)</f>
        <v>0.195926110627625</v>
      </c>
      <c r="I835" s="34" t="n">
        <f aca="false">NORMSINV(G835)</f>
        <v>-0.502943494731564</v>
      </c>
      <c r="J835" s="59" t="n">
        <f aca="false">mc_s0*EXP((mc_mu-mc_vol^2/2)*mc_t1+mc_vol*SQRT(mc_t1)*H835)</f>
        <v>1167.92164800901</v>
      </c>
      <c r="K835" s="59" t="n">
        <f aca="false">J835*EXP((mc_mu-mc_vol^2/2)*(mc_t2-mc_t1)+mc_vol*SQRT(mc_t2-mc_t1)*I835)</f>
        <v>1098.6828206593</v>
      </c>
      <c r="L835" s="31" t="n">
        <f aca="false">(t1_usd*J835+t2_usd*K835)/1000</f>
        <v>10262.9488953157</v>
      </c>
    </row>
    <row r="836" customFormat="false" ht="15" hidden="false" customHeight="false" outlineLevel="0" collapsed="false">
      <c r="E836" s="54" t="n">
        <v>832</v>
      </c>
      <c r="F836" s="61" t="n">
        <v>0.45042</v>
      </c>
      <c r="G836" s="61" t="n">
        <v>0.733271</v>
      </c>
      <c r="H836" s="34" t="n">
        <f aca="false">NORMSINV(F836)</f>
        <v>-0.124600288484878</v>
      </c>
      <c r="I836" s="34" t="n">
        <f aca="false">NORMSINV(G836)</f>
        <v>0.622736032668934</v>
      </c>
      <c r="J836" s="59" t="n">
        <f aca="false">mc_s0*EXP((mc_mu-mc_vol^2/2)*mc_t1+mc_vol*SQRT(mc_t1)*H836)</f>
        <v>1132.70465956408</v>
      </c>
      <c r="K836" s="59" t="n">
        <f aca="false">J836*EXP((mc_mu-mc_vol^2/2)*(mc_t2-mc_t1)+mc_vol*SQRT(mc_t2-mc_t1)*I836)</f>
        <v>1272.38608076257</v>
      </c>
      <c r="L836" s="31" t="n">
        <f aca="false">(t1_usd*J836+t2_usd*K836)/1000</f>
        <v>10346.4661703974</v>
      </c>
    </row>
    <row r="837" customFormat="false" ht="15" hidden="false" customHeight="false" outlineLevel="0" collapsed="false">
      <c r="E837" s="54" t="n">
        <v>833</v>
      </c>
      <c r="F837" s="61" t="n">
        <v>0.814467</v>
      </c>
      <c r="G837" s="61" t="n">
        <v>0.258591</v>
      </c>
      <c r="H837" s="34" t="n">
        <f aca="false">NORMSINV(F837)</f>
        <v>0.89447836565149</v>
      </c>
      <c r="I837" s="34" t="n">
        <f aca="false">NORMSINV(G837)</f>
        <v>-0.647695369140602</v>
      </c>
      <c r="J837" s="59" t="n">
        <f aca="false">mc_s0*EXP((mc_mu-mc_vol^2/2)*mc_t1+mc_vol*SQRT(mc_t1)*H837)</f>
        <v>1248.5131273558</v>
      </c>
      <c r="K837" s="59" t="n">
        <f aca="false">J837*EXP((mc_mu-mc_vol^2/2)*(mc_t2-mc_t1)+mc_vol*SQRT(mc_t2-mc_t1)*I837)</f>
        <v>1148.00730460484</v>
      </c>
      <c r="L837" s="31" t="n">
        <f aca="false">(t1_usd*J837+t2_usd*K837)/1000</f>
        <v>10920.8057702398</v>
      </c>
    </row>
    <row r="838" customFormat="false" ht="15" hidden="false" customHeight="false" outlineLevel="0" collapsed="false">
      <c r="E838" s="54" t="n">
        <v>834</v>
      </c>
      <c r="F838" s="61" t="n">
        <v>0.331605</v>
      </c>
      <c r="G838" s="61" t="n">
        <v>0.553927</v>
      </c>
      <c r="H838" s="34" t="n">
        <f aca="false">NORMSINV(F838)</f>
        <v>-0.435485584954689</v>
      </c>
      <c r="I838" s="34" t="n">
        <f aca="false">NORMSINV(G838)</f>
        <v>0.135589255341851</v>
      </c>
      <c r="J838" s="59" t="n">
        <f aca="false">mc_s0*EXP((mc_mu-mc_vol^2/2)*mc_t1+mc_vol*SQRT(mc_t1)*H838)</f>
        <v>1099.56175651438</v>
      </c>
      <c r="K838" s="59" t="n">
        <f aca="false">J838*EXP((mc_mu-mc_vol^2/2)*(mc_t2-mc_t1)+mc_vol*SQRT(mc_t2-mc_t1)*I838)</f>
        <v>1143.88040076639</v>
      </c>
      <c r="L838" s="31" t="n">
        <f aca="false">(t1_usd*J838+t2_usd*K838)/1000</f>
        <v>9870.30505705679</v>
      </c>
    </row>
    <row r="839" customFormat="false" ht="15" hidden="false" customHeight="false" outlineLevel="0" collapsed="false">
      <c r="E839" s="54" t="n">
        <v>835</v>
      </c>
      <c r="F839" s="61" t="n">
        <v>0.315255</v>
      </c>
      <c r="G839" s="61" t="n">
        <v>0.570414</v>
      </c>
      <c r="H839" s="34" t="n">
        <f aca="false">NORMSINV(F839)</f>
        <v>-0.481009143832669</v>
      </c>
      <c r="I839" s="34" t="n">
        <f aca="false">NORMSINV(G839)</f>
        <v>0.177428274237603</v>
      </c>
      <c r="J839" s="59" t="n">
        <f aca="false">mc_s0*EXP((mc_mu-mc_vol^2/2)*mc_t1+mc_vol*SQRT(mc_t1)*H839)</f>
        <v>1094.79066053842</v>
      </c>
      <c r="K839" s="59" t="n">
        <f aca="false">J839*EXP((mc_mu-mc_vol^2/2)*(mc_t2-mc_t1)+mc_vol*SQRT(mc_t2-mc_t1)*I839)</f>
        <v>1146.45131420153</v>
      </c>
      <c r="L839" s="31" t="n">
        <f aca="false">(t1_usd*J839+t2_usd*K839)/1000</f>
        <v>9841.79212075186</v>
      </c>
    </row>
    <row r="840" customFormat="false" ht="15" hidden="false" customHeight="false" outlineLevel="0" collapsed="false">
      <c r="E840" s="54" t="n">
        <v>836</v>
      </c>
      <c r="F840" s="61" t="n">
        <v>0.311394</v>
      </c>
      <c r="G840" s="61" t="n">
        <v>0.65059</v>
      </c>
      <c r="H840" s="34" t="n">
        <f aca="false">NORMSINV(F840)</f>
        <v>-0.491902883171449</v>
      </c>
      <c r="I840" s="34" t="n">
        <f aca="false">NORMSINV(G840)</f>
        <v>0.386913832962152</v>
      </c>
      <c r="J840" s="59" t="n">
        <f aca="false">mc_s0*EXP((mc_mu-mc_vol^2/2)*mc_t1+mc_vol*SQRT(mc_t1)*H840)</f>
        <v>1093.65201547122</v>
      </c>
      <c r="K840" s="59" t="n">
        <f aca="false">J840*EXP((mc_mu-mc_vol^2/2)*(mc_t2-mc_t1)+mc_vol*SQRT(mc_t2-mc_t1)*I840)</f>
        <v>1183.6989731739</v>
      </c>
      <c r="L840" s="31" t="n">
        <f aca="false">(t1_usd*J840+t2_usd*K840)/1000</f>
        <v>9904.59215732893</v>
      </c>
    </row>
    <row r="841" customFormat="false" ht="15" hidden="false" customHeight="false" outlineLevel="0" collapsed="false">
      <c r="E841" s="54" t="n">
        <v>837</v>
      </c>
      <c r="F841" s="61" t="n">
        <v>0.898598</v>
      </c>
      <c r="G841" s="61" t="n">
        <v>0.856211</v>
      </c>
      <c r="H841" s="34" t="n">
        <f aca="false">NORMSINV(F841)</f>
        <v>1.27360341884443</v>
      </c>
      <c r="I841" s="34" t="n">
        <f aca="false">NORMSINV(G841)</f>
        <v>1.06344984199123</v>
      </c>
      <c r="J841" s="59" t="n">
        <f aca="false">mc_s0*EXP((mc_mu-mc_vol^2/2)*mc_t1+mc_vol*SQRT(mc_t1)*H841)</f>
        <v>1294.55675901183</v>
      </c>
      <c r="K841" s="59" t="n">
        <f aca="false">J841*EXP((mc_mu-mc_vol^2/2)*(mc_t2-mc_t1)+mc_vol*SQRT(mc_t2-mc_t1)*I841)</f>
        <v>1558.78633683138</v>
      </c>
      <c r="L841" s="31" t="n">
        <f aca="false">(t1_usd*J841+t2_usd*K841)/1000</f>
        <v>12023.5913530624</v>
      </c>
    </row>
    <row r="842" customFormat="false" ht="15" hidden="false" customHeight="false" outlineLevel="0" collapsed="false">
      <c r="E842" s="54" t="n">
        <v>838</v>
      </c>
      <c r="F842" s="61" t="n">
        <v>0.447999</v>
      </c>
      <c r="G842" s="61" t="n">
        <v>0.753782</v>
      </c>
      <c r="H842" s="34" t="n">
        <f aca="false">NORMSINV(F842)</f>
        <v>-0.130718496255252</v>
      </c>
      <c r="I842" s="34" t="n">
        <f aca="false">NORMSINV(G842)</f>
        <v>0.686439504920387</v>
      </c>
      <c r="J842" s="59" t="n">
        <f aca="false">mc_s0*EXP((mc_mu-mc_vol^2/2)*mc_t1+mc_vol*SQRT(mc_t1)*H842)</f>
        <v>1132.04286947792</v>
      </c>
      <c r="K842" s="59" t="n">
        <f aca="false">J842*EXP((mc_mu-mc_vol^2/2)*(mc_t2-mc_t1)+mc_vol*SQRT(mc_t2-mc_t1)*I842)</f>
        <v>1284.47329633714</v>
      </c>
      <c r="L842" s="31" t="n">
        <f aca="false">(t1_usd*J842+t2_usd*K842)/1000</f>
        <v>10364.799349386</v>
      </c>
    </row>
    <row r="843" customFormat="false" ht="15" hidden="false" customHeight="false" outlineLevel="0" collapsed="false">
      <c r="E843" s="54" t="n">
        <v>839</v>
      </c>
      <c r="F843" s="61" t="n">
        <v>0.235022</v>
      </c>
      <c r="G843" s="61" t="n">
        <v>0.170329</v>
      </c>
      <c r="H843" s="34" t="n">
        <f aca="false">NORMSINV(F843)</f>
        <v>-0.722407462807375</v>
      </c>
      <c r="I843" s="34" t="n">
        <f aca="false">NORMSINV(G843)</f>
        <v>-0.952865938400146</v>
      </c>
      <c r="J843" s="59" t="n">
        <f aca="false">mc_s0*EXP((mc_mu-mc_vol^2/2)*mc_t1+mc_vol*SQRT(mc_t1)*H843)</f>
        <v>1069.83471680152</v>
      </c>
      <c r="K843" s="59" t="n">
        <f aca="false">J843*EXP((mc_mu-mc_vol^2/2)*(mc_t2-mc_t1)+mc_vol*SQRT(mc_t2-mc_t1)*I843)</f>
        <v>937.522684656438</v>
      </c>
      <c r="L843" s="31" t="n">
        <f aca="false">(t1_usd*J843+t2_usd*K843)/1000</f>
        <v>9270.13611845787</v>
      </c>
    </row>
    <row r="844" customFormat="false" ht="15" hidden="false" customHeight="false" outlineLevel="0" collapsed="false">
      <c r="E844" s="54" t="n">
        <v>840</v>
      </c>
      <c r="F844" s="61" t="n">
        <v>0.038439</v>
      </c>
      <c r="G844" s="61" t="n">
        <v>0.972549</v>
      </c>
      <c r="H844" s="34" t="n">
        <f aca="false">NORMSINV(F844)</f>
        <v>-1.76909513295739</v>
      </c>
      <c r="I844" s="34" t="n">
        <f aca="false">NORMSINV(G844)</f>
        <v>1.91965097990172</v>
      </c>
      <c r="J844" s="59" t="n">
        <f aca="false">mc_s0*EXP((mc_mu-mc_vol^2/2)*mc_t1+mc_vol*SQRT(mc_t1)*H844)</f>
        <v>968.043564843969</v>
      </c>
      <c r="K844" s="59" t="n">
        <f aca="false">J844*EXP((mc_mu-mc_vol^2/2)*(mc_t2-mc_t1)+mc_vol*SQRT(mc_t2-mc_t1)*I844)</f>
        <v>1334.01401376503</v>
      </c>
      <c r="L844" s="31" t="n">
        <f aca="false">(t1_usd*J844+t2_usd*K844)/1000</f>
        <v>9310.93158006134</v>
      </c>
    </row>
    <row r="845" customFormat="false" ht="15" hidden="false" customHeight="false" outlineLevel="0" collapsed="false">
      <c r="E845" s="54" t="n">
        <v>841</v>
      </c>
      <c r="F845" s="61" t="n">
        <v>0.657724</v>
      </c>
      <c r="G845" s="61" t="n">
        <v>0.657222</v>
      </c>
      <c r="H845" s="34" t="n">
        <f aca="false">NORMSINV(F845)</f>
        <v>0.406259418136251</v>
      </c>
      <c r="I845" s="34" t="n">
        <f aca="false">NORMSINV(G845)</f>
        <v>0.404893223120817</v>
      </c>
      <c r="J845" s="59" t="n">
        <f aca="false">mc_s0*EXP((mc_mu-mc_vol^2/2)*mc_t1+mc_vol*SQRT(mc_t1)*H845)</f>
        <v>1191.62436585601</v>
      </c>
      <c r="K845" s="59" t="n">
        <f aca="false">J845*EXP((mc_mu-mc_vol^2/2)*(mc_t2-mc_t1)+mc_vol*SQRT(mc_t2-mc_t1)*I845)</f>
        <v>1293.39754116192</v>
      </c>
      <c r="L845" s="31" t="n">
        <f aca="false">(t1_usd*J845+t2_usd*K845)/1000</f>
        <v>10798.8258891997</v>
      </c>
    </row>
    <row r="846" customFormat="false" ht="15" hidden="false" customHeight="false" outlineLevel="0" collapsed="false">
      <c r="E846" s="54" t="n">
        <v>842</v>
      </c>
      <c r="F846" s="61" t="n">
        <v>0.173937</v>
      </c>
      <c r="G846" s="61" t="n">
        <v>0.897931</v>
      </c>
      <c r="H846" s="34" t="n">
        <f aca="false">NORMSINV(F846)</f>
        <v>-0.938721016747707</v>
      </c>
      <c r="I846" s="34" t="n">
        <f aca="false">NORMSINV(G846)</f>
        <v>1.2698501863468</v>
      </c>
      <c r="J846" s="59" t="n">
        <f aca="false">mc_s0*EXP((mc_mu-mc_vol^2/2)*mc_t1+mc_vol*SQRT(mc_t1)*H846)</f>
        <v>1047.95571437752</v>
      </c>
      <c r="K846" s="59" t="n">
        <f aca="false">J846*EXP((mc_mu-mc_vol^2/2)*(mc_t2-mc_t1)+mc_vol*SQRT(mc_t2-mc_t1)*I846)</f>
        <v>1303.5714698102</v>
      </c>
      <c r="L846" s="31" t="n">
        <f aca="false">(t1_usd*J846+t2_usd*K846)/1000</f>
        <v>9812.47579328206</v>
      </c>
    </row>
    <row r="847" customFormat="false" ht="15" hidden="false" customHeight="false" outlineLevel="0" collapsed="false">
      <c r="E847" s="54" t="n">
        <v>843</v>
      </c>
      <c r="F847" s="61" t="n">
        <v>0.494201</v>
      </c>
      <c r="G847" s="61" t="n">
        <v>0.271922</v>
      </c>
      <c r="H847" s="34" t="n">
        <f aca="false">NORMSINV(F847)</f>
        <v>-0.0145364492938976</v>
      </c>
      <c r="I847" s="34" t="n">
        <f aca="false">NORMSINV(G847)</f>
        <v>-0.607010415534189</v>
      </c>
      <c r="J847" s="59" t="n">
        <f aca="false">mc_s0*EXP((mc_mu-mc_vol^2/2)*mc_t1+mc_vol*SQRT(mc_t1)*H847)</f>
        <v>1144.6762703947</v>
      </c>
      <c r="K847" s="59" t="n">
        <f aca="false">J847*EXP((mc_mu-mc_vol^2/2)*(mc_t2-mc_t1)+mc_vol*SQRT(mc_t2-mc_t1)*I847)</f>
        <v>1059.29951136317</v>
      </c>
      <c r="L847" s="31" t="n">
        <f aca="false">(t1_usd*J847+t2_usd*K847)/1000</f>
        <v>10025.4029643529</v>
      </c>
    </row>
    <row r="848" customFormat="false" ht="15" hidden="false" customHeight="false" outlineLevel="0" collapsed="false">
      <c r="E848" s="54" t="n">
        <v>844</v>
      </c>
      <c r="F848" s="61" t="n">
        <v>0.366379</v>
      </c>
      <c r="G848" s="61" t="n">
        <v>0.393639</v>
      </c>
      <c r="H848" s="34" t="n">
        <f aca="false">NORMSINV(F848)</f>
        <v>-0.341459086825655</v>
      </c>
      <c r="I848" s="34" t="n">
        <f aca="false">NORMSINV(G848)</f>
        <v>-0.269846951659751</v>
      </c>
      <c r="J848" s="59" t="n">
        <f aca="false">mc_s0*EXP((mc_mu-mc_vol^2/2)*mc_t1+mc_vol*SQRT(mc_t1)*H848)</f>
        <v>1109.48212809327</v>
      </c>
      <c r="K848" s="59" t="n">
        <f aca="false">J848*EXP((mc_mu-mc_vol^2/2)*(mc_t2-mc_t1)+mc_vol*SQRT(mc_t2-mc_t1)*I848)</f>
        <v>1082.7607307476</v>
      </c>
      <c r="L848" s="31" t="n">
        <f aca="false">(t1_usd*J848+t2_usd*K848)/1000</f>
        <v>9823.62028507332</v>
      </c>
    </row>
    <row r="849" customFormat="false" ht="15" hidden="false" customHeight="false" outlineLevel="0" collapsed="false">
      <c r="E849" s="54" t="n">
        <v>845</v>
      </c>
      <c r="F849" s="61" t="n">
        <v>0.383942</v>
      </c>
      <c r="G849" s="61" t="n">
        <v>0.763289</v>
      </c>
      <c r="H849" s="34" t="n">
        <f aca="false">NORMSINV(F849)</f>
        <v>-0.295143841394853</v>
      </c>
      <c r="I849" s="34" t="n">
        <f aca="false">NORMSINV(G849)</f>
        <v>0.716922366947977</v>
      </c>
      <c r="J849" s="59" t="n">
        <f aca="false">mc_s0*EXP((mc_mu-mc_vol^2/2)*mc_t1+mc_vol*SQRT(mc_t1)*H849)</f>
        <v>1114.40152175114</v>
      </c>
      <c r="K849" s="59" t="n">
        <f aca="false">J849*EXP((mc_mu-mc_vol^2/2)*(mc_t2-mc_t1)+mc_vol*SQRT(mc_t2-mc_t1)*I849)</f>
        <v>1270.54545366344</v>
      </c>
      <c r="L849" s="31" t="n">
        <f aca="false">(t1_usd*J849+t2_usd*K849)/1000</f>
        <v>10214.8470142185</v>
      </c>
    </row>
    <row r="850" customFormat="false" ht="15" hidden="false" customHeight="false" outlineLevel="0" collapsed="false">
      <c r="E850" s="54" t="n">
        <v>846</v>
      </c>
      <c r="F850" s="61" t="n">
        <v>0.275685</v>
      </c>
      <c r="G850" s="61" t="n">
        <v>0.846968</v>
      </c>
      <c r="H850" s="34" t="n">
        <f aca="false">NORMSINV(F850)</f>
        <v>-0.595708468310466</v>
      </c>
      <c r="I850" s="34" t="n">
        <f aca="false">NORMSINV(G850)</f>
        <v>1.02351587055626</v>
      </c>
      <c r="J850" s="59" t="n">
        <f aca="false">mc_s0*EXP((mc_mu-mc_vol^2/2)*mc_t1+mc_vol*SQRT(mc_t1)*H850)</f>
        <v>1082.86118866137</v>
      </c>
      <c r="K850" s="59" t="n">
        <f aca="false">J850*EXP((mc_mu-mc_vol^2/2)*(mc_t2-mc_t1)+mc_vol*SQRT(mc_t2-mc_t1)*I850)</f>
        <v>1295.70199354547</v>
      </c>
      <c r="L850" s="31" t="n">
        <f aca="false">(t1_usd*J850+t2_usd*K850)/1000</f>
        <v>10041.862108366</v>
      </c>
    </row>
    <row r="851" customFormat="false" ht="15" hidden="false" customHeight="false" outlineLevel="0" collapsed="false">
      <c r="E851" s="54" t="n">
        <v>847</v>
      </c>
      <c r="F851" s="61" t="n">
        <v>0.007881</v>
      </c>
      <c r="G851" s="61" t="n">
        <v>0.244671</v>
      </c>
      <c r="H851" s="34" t="n">
        <f aca="false">NORMSINV(F851)</f>
        <v>-2.41438032456751</v>
      </c>
      <c r="I851" s="34" t="n">
        <f aca="false">NORMSINV(G851)</f>
        <v>-0.691355757685143</v>
      </c>
      <c r="J851" s="59" t="n">
        <f aca="false">mc_s0*EXP((mc_mu-mc_vol^2/2)*mc_t1+mc_vol*SQRT(mc_t1)*H851)</f>
        <v>910.175789188398</v>
      </c>
      <c r="K851" s="59" t="n">
        <f aca="false">J851*EXP((mc_mu-mc_vol^2/2)*(mc_t2-mc_t1)+mc_vol*SQRT(mc_t2-mc_t1)*I851)</f>
        <v>831.167626455683</v>
      </c>
      <c r="L851" s="31" t="n">
        <f aca="false">(t1_usd*J851+t2_usd*K851)/1000</f>
        <v>7950.44901458459</v>
      </c>
    </row>
    <row r="852" customFormat="false" ht="15" hidden="false" customHeight="false" outlineLevel="0" collapsed="false">
      <c r="E852" s="54" t="n">
        <v>848</v>
      </c>
      <c r="F852" s="61" t="n">
        <v>0.079093</v>
      </c>
      <c r="G852" s="61" t="n">
        <v>0.734207</v>
      </c>
      <c r="H852" s="34" t="n">
        <f aca="false">NORMSINV(F852)</f>
        <v>-1.41119881326971</v>
      </c>
      <c r="I852" s="34" t="n">
        <f aca="false">NORMSINV(G852)</f>
        <v>0.625586798508317</v>
      </c>
      <c r="J852" s="59" t="n">
        <f aca="false">mc_s0*EXP((mc_mu-mc_vol^2/2)*mc_t1+mc_vol*SQRT(mc_t1)*H852)</f>
        <v>1001.71046946509</v>
      </c>
      <c r="K852" s="59" t="n">
        <f aca="false">J852*EXP((mc_mu-mc_vol^2/2)*(mc_t2-mc_t1)+mc_vol*SQRT(mc_t2-mc_t1)*I852)</f>
        <v>1125.74375657274</v>
      </c>
      <c r="L852" s="31" t="n">
        <f aca="false">(t1_usd*J852+t2_usd*K852)/1000</f>
        <v>9150.88642374386</v>
      </c>
    </row>
    <row r="853" customFormat="false" ht="15" hidden="false" customHeight="false" outlineLevel="0" collapsed="false">
      <c r="E853" s="54" t="n">
        <v>849</v>
      </c>
      <c r="F853" s="61" t="n">
        <v>0.6241</v>
      </c>
      <c r="G853" s="61" t="n">
        <v>0.828321</v>
      </c>
      <c r="H853" s="34" t="n">
        <f aca="false">NORMSINV(F853)</f>
        <v>0.316266811274432</v>
      </c>
      <c r="I853" s="34" t="n">
        <f aca="false">NORMSINV(G853)</f>
        <v>0.947551159651184</v>
      </c>
      <c r="J853" s="59" t="n">
        <f aca="false">mc_s0*EXP((mc_mu-mc_vol^2/2)*mc_t1+mc_vol*SQRT(mc_t1)*H853)</f>
        <v>1181.42467228497</v>
      </c>
      <c r="K853" s="59" t="n">
        <f aca="false">J853*EXP((mc_mu-mc_vol^2/2)*(mc_t2-mc_t1)+mc_vol*SQRT(mc_t2-mc_t1)*I853)</f>
        <v>1396.8160257232</v>
      </c>
      <c r="L853" s="31" t="n">
        <f aca="false">(t1_usd*J853+t2_usd*K853)/1000</f>
        <v>10923.9231548689</v>
      </c>
    </row>
    <row r="854" customFormat="false" ht="15" hidden="false" customHeight="false" outlineLevel="0" collapsed="false">
      <c r="E854" s="54" t="n">
        <v>850</v>
      </c>
      <c r="F854" s="61" t="n">
        <v>0.251979</v>
      </c>
      <c r="G854" s="61" t="n">
        <v>0.144939</v>
      </c>
      <c r="H854" s="34" t="n">
        <f aca="false">NORMSINV(F854)</f>
        <v>-0.668275107290129</v>
      </c>
      <c r="I854" s="34" t="n">
        <f aca="false">NORMSINV(G854)</f>
        <v>-1.0583892903137</v>
      </c>
      <c r="J854" s="59" t="n">
        <f aca="false">mc_s0*EXP((mc_mu-mc_vol^2/2)*mc_t1+mc_vol*SQRT(mc_t1)*H854)</f>
        <v>1075.38101459879</v>
      </c>
      <c r="K854" s="59" t="n">
        <f aca="false">J854*EXP((mc_mu-mc_vol^2/2)*(mc_t2-mc_t1)+mc_vol*SQRT(mc_t2-mc_t1)*I854)</f>
        <v>926.841024825675</v>
      </c>
      <c r="L854" s="31" t="n">
        <f aca="false">(t1_usd*J854+t2_usd*K854)/1000</f>
        <v>9288.66504936033</v>
      </c>
    </row>
    <row r="855" customFormat="false" ht="15" hidden="false" customHeight="false" outlineLevel="0" collapsed="false">
      <c r="E855" s="54" t="n">
        <v>851</v>
      </c>
      <c r="F855" s="61" t="n">
        <v>0.49023</v>
      </c>
      <c r="G855" s="61" t="n">
        <v>0.47289</v>
      </c>
      <c r="H855" s="34" t="n">
        <f aca="false">NORMSINV(F855)</f>
        <v>-0.0244922067054423</v>
      </c>
      <c r="I855" s="34" t="n">
        <f aca="false">NORMSINV(G855)</f>
        <v>-0.0680070778770895</v>
      </c>
      <c r="J855" s="59" t="n">
        <f aca="false">mc_s0*EXP((mc_mu-mc_vol^2/2)*mc_t1+mc_vol*SQRT(mc_t1)*H855)</f>
        <v>1143.58820062528</v>
      </c>
      <c r="K855" s="59" t="n">
        <f aca="false">J855*EXP((mc_mu-mc_vol^2/2)*(mc_t2-mc_t1)+mc_vol*SQRT(mc_t2-mc_t1)*I855)</f>
        <v>1152.1158386731</v>
      </c>
      <c r="L855" s="31" t="n">
        <f aca="false">(t1_usd*J855+t2_usd*K855)/1000</f>
        <v>10194.1374978559</v>
      </c>
    </row>
    <row r="856" customFormat="false" ht="15" hidden="false" customHeight="false" outlineLevel="0" collapsed="false">
      <c r="E856" s="54" t="n">
        <v>852</v>
      </c>
      <c r="F856" s="61" t="n">
        <v>0.362889</v>
      </c>
      <c r="G856" s="61" t="n">
        <v>0.434408</v>
      </c>
      <c r="H856" s="34" t="n">
        <f aca="false">NORMSINV(F856)</f>
        <v>-0.350747215787319</v>
      </c>
      <c r="I856" s="34" t="n">
        <f aca="false">NORMSINV(G856)</f>
        <v>-0.165162602299538</v>
      </c>
      <c r="J856" s="59" t="n">
        <f aca="false">mc_s0*EXP((mc_mu-mc_vol^2/2)*mc_t1+mc_vol*SQRT(mc_t1)*H856)</f>
        <v>1108.49820273778</v>
      </c>
      <c r="K856" s="59" t="n">
        <f aca="false">J856*EXP((mc_mu-mc_vol^2/2)*(mc_t2-mc_t1)+mc_vol*SQRT(mc_t2-mc_t1)*I856)</f>
        <v>1099.79558065603</v>
      </c>
      <c r="L856" s="31" t="n">
        <f aca="false">(t1_usd*J856+t2_usd*K856)/1000</f>
        <v>9849.09902241089</v>
      </c>
    </row>
    <row r="857" customFormat="false" ht="15" hidden="false" customHeight="false" outlineLevel="0" collapsed="false">
      <c r="E857" s="54" t="n">
        <v>853</v>
      </c>
      <c r="F857" s="61" t="n">
        <v>0.611044</v>
      </c>
      <c r="G857" s="61" t="n">
        <v>0.518461</v>
      </c>
      <c r="H857" s="34" t="n">
        <f aca="false">NORMSINV(F857)</f>
        <v>0.282041094474041</v>
      </c>
      <c r="I857" s="34" t="n">
        <f aca="false">NORMSINV(G857)</f>
        <v>0.0462913921817124</v>
      </c>
      <c r="J857" s="59" t="n">
        <f aca="false">mc_s0*EXP((mc_mu-mc_vol^2/2)*mc_t1+mc_vol*SQRT(mc_t1)*H857)</f>
        <v>1177.56851175282</v>
      </c>
      <c r="K857" s="59" t="n">
        <f aca="false">J857*EXP((mc_mu-mc_vol^2/2)*(mc_t2-mc_t1)+mc_vol*SQRT(mc_t2-mc_t1)*I857)</f>
        <v>1207.91247064507</v>
      </c>
      <c r="L857" s="31" t="n">
        <f aca="false">(t1_usd*J857+t2_usd*K857)/1000</f>
        <v>10538.0132764954</v>
      </c>
    </row>
    <row r="858" customFormat="false" ht="15" hidden="false" customHeight="false" outlineLevel="0" collapsed="false">
      <c r="E858" s="54" t="n">
        <v>854</v>
      </c>
      <c r="F858" s="61" t="n">
        <v>0.184861</v>
      </c>
      <c r="G858" s="61" t="n">
        <v>0.538632</v>
      </c>
      <c r="H858" s="34" t="n">
        <f aca="false">NORMSINV(F858)</f>
        <v>-0.896994222400197</v>
      </c>
      <c r="I858" s="34" t="n">
        <f aca="false">NORMSINV(G858)</f>
        <v>0.0969879044662212</v>
      </c>
      <c r="J858" s="59" t="n">
        <f aca="false">mc_s0*EXP((mc_mu-mc_vol^2/2)*mc_t1+mc_vol*SQRT(mc_t1)*H858)</f>
        <v>1052.14104725776</v>
      </c>
      <c r="K858" s="59" t="n">
        <f aca="false">J858*EXP((mc_mu-mc_vol^2/2)*(mc_t2-mc_t1)+mc_vol*SQRT(mc_t2-mc_t1)*I858)</f>
        <v>1087.9100993498</v>
      </c>
      <c r="L858" s="31" t="n">
        <f aca="false">(t1_usd*J858+t2_usd*K858)/1000</f>
        <v>9432.0165195689</v>
      </c>
    </row>
    <row r="859" customFormat="false" ht="15" hidden="false" customHeight="false" outlineLevel="0" collapsed="false">
      <c r="E859" s="54" t="n">
        <v>855</v>
      </c>
      <c r="F859" s="61" t="n">
        <v>0.304261</v>
      </c>
      <c r="G859" s="61" t="n">
        <v>0.813746</v>
      </c>
      <c r="H859" s="34" t="n">
        <f aca="false">NORMSINV(F859)</f>
        <v>-0.51218434280798</v>
      </c>
      <c r="I859" s="34" t="n">
        <f aca="false">NORMSINV(G859)</f>
        <v>0.891785341702963</v>
      </c>
      <c r="J859" s="59" t="n">
        <f aca="false">mc_s0*EXP((mc_mu-mc_vol^2/2)*mc_t1+mc_vol*SQRT(mc_t1)*H859)</f>
        <v>1091.53529263743</v>
      </c>
      <c r="K859" s="59" t="n">
        <f aca="false">J859*EXP((mc_mu-mc_vol^2/2)*(mc_t2-mc_t1)+mc_vol*SQRT(mc_t2-mc_t1)*I859)</f>
        <v>1279.24650482556</v>
      </c>
      <c r="L859" s="31" t="n">
        <f aca="false">(t1_usd*J859+t2_usd*K859)/1000</f>
        <v>10071.3154076306</v>
      </c>
    </row>
    <row r="860" customFormat="false" ht="15" hidden="false" customHeight="false" outlineLevel="0" collapsed="false">
      <c r="E860" s="54" t="n">
        <v>856</v>
      </c>
      <c r="F860" s="61" t="n">
        <v>0.775829</v>
      </c>
      <c r="G860" s="61" t="n">
        <v>0.380152</v>
      </c>
      <c r="H860" s="34" t="n">
        <f aca="false">NORMSINV(F860)</f>
        <v>0.758182059182892</v>
      </c>
      <c r="I860" s="34" t="n">
        <f aca="false">NORMSINV(G860)</f>
        <v>-0.30508160613473</v>
      </c>
      <c r="J860" s="59" t="n">
        <f aca="false">mc_s0*EXP((mc_mu-mc_vol^2/2)*mc_t1+mc_vol*SQRT(mc_t1)*H860)</f>
        <v>1232.3636157145</v>
      </c>
      <c r="K860" s="59" t="n">
        <f aca="false">J860*EXP((mc_mu-mc_vol^2/2)*(mc_t2-mc_t1)+mc_vol*SQRT(mc_t2-mc_t1)*I860)</f>
        <v>1196.02299123736</v>
      </c>
      <c r="L860" s="31" t="n">
        <f aca="false">(t1_usd*J860+t2_usd*K860)/1000</f>
        <v>10898.9889933524</v>
      </c>
    </row>
    <row r="861" customFormat="false" ht="15" hidden="false" customHeight="false" outlineLevel="0" collapsed="false">
      <c r="E861" s="54" t="n">
        <v>857</v>
      </c>
      <c r="F861" s="61" t="n">
        <v>0.719847</v>
      </c>
      <c r="G861" s="61" t="n">
        <v>0.792141</v>
      </c>
      <c r="H861" s="34" t="n">
        <f aca="false">NORMSINV(F861)</f>
        <v>0.582387053515819</v>
      </c>
      <c r="I861" s="34" t="n">
        <f aca="false">NORMSINV(G861)</f>
        <v>0.813872493366554</v>
      </c>
      <c r="J861" s="59" t="n">
        <f aca="false">mc_s0*EXP((mc_mu-mc_vol^2/2)*mc_t1+mc_vol*SQRT(mc_t1)*H861)</f>
        <v>1211.84205773971</v>
      </c>
      <c r="K861" s="59" t="n">
        <f aca="false">J861*EXP((mc_mu-mc_vol^2/2)*(mc_t2-mc_t1)+mc_vol*SQRT(mc_t2-mc_t1)*I861)</f>
        <v>1402.91053851992</v>
      </c>
      <c r="L861" s="31" t="n">
        <f aca="false">(t1_usd*J861+t2_usd*K861)/1000</f>
        <v>11148.4244273658</v>
      </c>
    </row>
    <row r="862" customFormat="false" ht="15" hidden="false" customHeight="false" outlineLevel="0" collapsed="false">
      <c r="E862" s="54" t="n">
        <v>858</v>
      </c>
      <c r="F862" s="61" t="n">
        <v>0.488795</v>
      </c>
      <c r="G862" s="61" t="n">
        <v>0.064737</v>
      </c>
      <c r="H862" s="34" t="n">
        <f aca="false">NORMSINV(F862)</f>
        <v>-0.0280904636231284</v>
      </c>
      <c r="I862" s="34" t="n">
        <f aca="false">NORMSINV(G862)</f>
        <v>-1.51617938217086</v>
      </c>
      <c r="J862" s="59" t="n">
        <f aca="false">mc_s0*EXP((mc_mu-mc_vol^2/2)*mc_t1+mc_vol*SQRT(mc_t1)*H862)</f>
        <v>1143.19519981176</v>
      </c>
      <c r="K862" s="59" t="n">
        <f aca="false">J862*EXP((mc_mu-mc_vol^2/2)*(mc_t2-mc_t1)+mc_vol*SQRT(mc_t2-mc_t1)*I862)</f>
        <v>916.708529239887</v>
      </c>
      <c r="L862" s="31" t="n">
        <f aca="false">(t1_usd*J862+t2_usd*K862)/1000</f>
        <v>9744.11260423809</v>
      </c>
    </row>
    <row r="863" customFormat="false" ht="15" hidden="false" customHeight="false" outlineLevel="0" collapsed="false">
      <c r="E863" s="54" t="n">
        <v>859</v>
      </c>
      <c r="F863" s="61" t="n">
        <v>0.3509</v>
      </c>
      <c r="G863" s="61" t="n">
        <v>0.43571</v>
      </c>
      <c r="H863" s="34" t="n">
        <f aca="false">NORMSINV(F863)</f>
        <v>-0.382891788627937</v>
      </c>
      <c r="I863" s="34" t="n">
        <f aca="false">NORMSINV(G863)</f>
        <v>-0.161855051126056</v>
      </c>
      <c r="J863" s="59" t="n">
        <f aca="false">mc_s0*EXP((mc_mu-mc_vol^2/2)*mc_t1+mc_vol*SQRT(mc_t1)*H863)</f>
        <v>1105.09974155218</v>
      </c>
      <c r="K863" s="59" t="n">
        <f aca="false">J863*EXP((mc_mu-mc_vol^2/2)*(mc_t2-mc_t1)+mc_vol*SQRT(mc_t2-mc_t1)*I863)</f>
        <v>1096.99545740144</v>
      </c>
      <c r="L863" s="31" t="n">
        <f aca="false">(t1_usd*J863+t2_usd*K863)/1000</f>
        <v>9819.98955992801</v>
      </c>
    </row>
    <row r="864" customFormat="false" ht="15" hidden="false" customHeight="false" outlineLevel="0" collapsed="false">
      <c r="E864" s="54" t="n">
        <v>860</v>
      </c>
      <c r="F864" s="61" t="n">
        <v>0.296755</v>
      </c>
      <c r="G864" s="61" t="n">
        <v>0.541236</v>
      </c>
      <c r="H864" s="34" t="n">
        <f aca="false">NORMSINV(F864)</f>
        <v>-0.533756519247831</v>
      </c>
      <c r="I864" s="34" t="n">
        <f aca="false">NORMSINV(G864)</f>
        <v>0.103548070202551</v>
      </c>
      <c r="J864" s="59" t="n">
        <f aca="false">mc_s0*EXP((mc_mu-mc_vol^2/2)*mc_t1+mc_vol*SQRT(mc_t1)*H864)</f>
        <v>1089.2883571063</v>
      </c>
      <c r="K864" s="59" t="n">
        <f aca="false">J864*EXP((mc_mu-mc_vol^2/2)*(mc_t2-mc_t1)+mc_vol*SQRT(mc_t2-mc_t1)*I864)</f>
        <v>1127.48531984218</v>
      </c>
      <c r="L864" s="31" t="n">
        <f aca="false">(t1_usd*J864+t2_usd*K864)/1000</f>
        <v>9767.24060744422</v>
      </c>
    </row>
    <row r="865" customFormat="false" ht="15" hidden="false" customHeight="false" outlineLevel="0" collapsed="false">
      <c r="E865" s="54" t="n">
        <v>861</v>
      </c>
      <c r="F865" s="61" t="n">
        <v>0.335367</v>
      </c>
      <c r="G865" s="61" t="n">
        <v>0.496072</v>
      </c>
      <c r="H865" s="34" t="n">
        <f aca="false">NORMSINV(F865)</f>
        <v>-0.425140850622997</v>
      </c>
      <c r="I865" s="34" t="n">
        <f aca="false">NORMSINV(G865)</f>
        <v>-0.00984619495452495</v>
      </c>
      <c r="J865" s="59" t="n">
        <f aca="false">mc_s0*EXP((mc_mu-mc_vol^2/2)*mc_t1+mc_vol*SQRT(mc_t1)*H865)</f>
        <v>1100.64883227119</v>
      </c>
      <c r="K865" s="59" t="n">
        <f aca="false">J865*EXP((mc_mu-mc_vol^2/2)*(mc_t2-mc_t1)+mc_vol*SQRT(mc_t2-mc_t1)*I865)</f>
        <v>1119.0665060113</v>
      </c>
      <c r="L865" s="31" t="n">
        <f aca="false">(t1_usd*J865+t2_usd*K865)/1000</f>
        <v>9830.76818731979</v>
      </c>
    </row>
    <row r="866" customFormat="false" ht="15" hidden="false" customHeight="false" outlineLevel="0" collapsed="false">
      <c r="E866" s="54" t="n">
        <v>862</v>
      </c>
      <c r="F866" s="61" t="n">
        <v>0.589178</v>
      </c>
      <c r="G866" s="61" t="n">
        <v>0.134862</v>
      </c>
      <c r="H866" s="34" t="n">
        <f aca="false">NORMSINV(F866)</f>
        <v>0.225430997056843</v>
      </c>
      <c r="I866" s="34" t="n">
        <f aca="false">NORMSINV(G866)</f>
        <v>-1.10369837679549</v>
      </c>
      <c r="J866" s="59" t="n">
        <f aca="false">mc_s0*EXP((mc_mu-mc_vol^2/2)*mc_t1+mc_vol*SQRT(mc_t1)*H866)</f>
        <v>1171.21794286729</v>
      </c>
      <c r="K866" s="59" t="n">
        <f aca="false">J866*EXP((mc_mu-mc_vol^2/2)*(mc_t2-mc_t1)+mc_vol*SQRT(mc_t2-mc_t1)*I866)</f>
        <v>1002.25807255466</v>
      </c>
      <c r="L866" s="31" t="n">
        <f aca="false">(t1_usd*J866+t2_usd*K866)/1000</f>
        <v>10102.8159379249</v>
      </c>
    </row>
    <row r="867" customFormat="false" ht="15" hidden="false" customHeight="false" outlineLevel="0" collapsed="false">
      <c r="E867" s="54" t="n">
        <v>863</v>
      </c>
      <c r="F867" s="61" t="n">
        <v>0.463139</v>
      </c>
      <c r="G867" s="61" t="n">
        <v>0.720979</v>
      </c>
      <c r="H867" s="34" t="n">
        <f aca="false">NORMSINV(F867)</f>
        <v>-0.0925286870634721</v>
      </c>
      <c r="I867" s="34" t="n">
        <f aca="false">NORMSINV(G867)</f>
        <v>0.585752274088261</v>
      </c>
      <c r="J867" s="59" t="n">
        <f aca="false">mc_s0*EXP((mc_mu-mc_vol^2/2)*mc_t1+mc_vol*SQRT(mc_t1)*H867)</f>
        <v>1136.18009317208</v>
      </c>
      <c r="K867" s="59" t="n">
        <f aca="false">J867*EXP((mc_mu-mc_vol^2/2)*(mc_t2-mc_t1)+mc_vol*SQRT(mc_t2-mc_t1)*I867)</f>
        <v>1268.87301431512</v>
      </c>
      <c r="L867" s="31" t="n">
        <f aca="false">(t1_usd*J867+t2_usd*K867)/1000</f>
        <v>10364.1193794033</v>
      </c>
    </row>
    <row r="868" customFormat="false" ht="15" hidden="false" customHeight="false" outlineLevel="0" collapsed="false">
      <c r="E868" s="54" t="n">
        <v>864</v>
      </c>
      <c r="F868" s="61" t="n">
        <v>0.988021</v>
      </c>
      <c r="G868" s="61" t="n">
        <v>0.658162</v>
      </c>
      <c r="H868" s="34" t="n">
        <f aca="false">NORMSINV(F868)</f>
        <v>2.25780210397795</v>
      </c>
      <c r="I868" s="34" t="n">
        <f aca="false">NORMSINV(G868)</f>
        <v>0.407452056552725</v>
      </c>
      <c r="J868" s="59" t="n">
        <f aca="false">mc_s0*EXP((mc_mu-mc_vol^2/2)*mc_t1+mc_vol*SQRT(mc_t1)*H868)</f>
        <v>1422.16677658373</v>
      </c>
      <c r="K868" s="59" t="n">
        <f aca="false">J868*EXP((mc_mu-mc_vol^2/2)*(mc_t2-mc_t1)+mc_vol*SQRT(mc_t2-mc_t1)*I868)</f>
        <v>1544.25251105568</v>
      </c>
      <c r="L868" s="31" t="n">
        <f aca="false">(t1_usd*J868+t2_usd*K868)/1000</f>
        <v>12889.2472070919</v>
      </c>
    </row>
    <row r="869" customFormat="false" ht="15" hidden="false" customHeight="false" outlineLevel="0" collapsed="false">
      <c r="E869" s="54" t="n">
        <v>865</v>
      </c>
      <c r="F869" s="61" t="n">
        <v>0.121268</v>
      </c>
      <c r="G869" s="61" t="n">
        <v>0.104356</v>
      </c>
      <c r="H869" s="34" t="n">
        <f aca="false">NORMSINV(F869)</f>
        <v>-1.1686715217797</v>
      </c>
      <c r="I869" s="34" t="n">
        <f aca="false">NORMSINV(G869)</f>
        <v>-1.25711498978279</v>
      </c>
      <c r="J869" s="59" t="n">
        <f aca="false">mc_s0*EXP((mc_mu-mc_vol^2/2)*mc_t1+mc_vol*SQRT(mc_t1)*H869)</f>
        <v>1025.18783743449</v>
      </c>
      <c r="K869" s="59" t="n">
        <f aca="false">J869*EXP((mc_mu-mc_vol^2/2)*(mc_t2-mc_t1)+mc_vol*SQRT(mc_t2-mc_t1)*I869)</f>
        <v>856.337914971636</v>
      </c>
      <c r="L869" s="31" t="n">
        <f aca="false">(t1_usd*J869+t2_usd*K869)/1000</f>
        <v>8803.35690048756</v>
      </c>
    </row>
    <row r="870" customFormat="false" ht="15" hidden="false" customHeight="false" outlineLevel="0" collapsed="false">
      <c r="E870" s="54" t="n">
        <v>866</v>
      </c>
      <c r="F870" s="61" t="n">
        <v>0.431808</v>
      </c>
      <c r="G870" s="61" t="n">
        <v>0.455291</v>
      </c>
      <c r="H870" s="34" t="n">
        <f aca="false">NORMSINV(F870)</f>
        <v>-0.171772990930439</v>
      </c>
      <c r="I870" s="34" t="n">
        <f aca="false">NORMSINV(G870)</f>
        <v>-0.112304467073658</v>
      </c>
      <c r="J870" s="59" t="n">
        <f aca="false">mc_s0*EXP((mc_mu-mc_vol^2/2)*mc_t1+mc_vol*SQRT(mc_t1)*H870)</f>
        <v>1127.61210627578</v>
      </c>
      <c r="K870" s="59" t="n">
        <f aca="false">J870*EXP((mc_mu-mc_vol^2/2)*(mc_t2-mc_t1)+mc_vol*SQRT(mc_t2-mc_t1)*I870)</f>
        <v>1128.1177063093</v>
      </c>
      <c r="L870" s="31" t="n">
        <f aca="false">(t1_usd*J870+t2_usd*K870)/1000</f>
        <v>10036.7083859181</v>
      </c>
    </row>
    <row r="871" customFormat="false" ht="15" hidden="false" customHeight="false" outlineLevel="0" collapsed="false">
      <c r="E871" s="54" t="n">
        <v>867</v>
      </c>
      <c r="F871" s="61" t="n">
        <v>0.6097</v>
      </c>
      <c r="G871" s="61" t="n">
        <v>0.973914</v>
      </c>
      <c r="H871" s="34" t="n">
        <f aca="false">NORMSINV(F871)</f>
        <v>0.278537216835158</v>
      </c>
      <c r="I871" s="34" t="n">
        <f aca="false">NORMSINV(G871)</f>
        <v>1.94171179504397</v>
      </c>
      <c r="J871" s="59" t="n">
        <f aca="false">mc_s0*EXP((mc_mu-mc_vol^2/2)*mc_t1+mc_vol*SQRT(mc_t1)*H871)</f>
        <v>1177.17444600487</v>
      </c>
      <c r="K871" s="59" t="n">
        <f aca="false">J871*EXP((mc_mu-mc_vol^2/2)*(mc_t2-mc_t1)+mc_vol*SQRT(mc_t2-mc_t1)*I871)</f>
        <v>1627.85680218112</v>
      </c>
      <c r="L871" s="31" t="n">
        <f aca="false">(t1_usd*J871+t2_usd*K871)/1000</f>
        <v>11333.1490461782</v>
      </c>
    </row>
    <row r="872" customFormat="false" ht="15" hidden="false" customHeight="false" outlineLevel="0" collapsed="false">
      <c r="E872" s="54" t="n">
        <v>868</v>
      </c>
      <c r="F872" s="61" t="n">
        <v>0.227912</v>
      </c>
      <c r="G872" s="61" t="n">
        <v>0.465886</v>
      </c>
      <c r="H872" s="34" t="n">
        <f aca="false">NORMSINV(F872)</f>
        <v>-0.745740812577887</v>
      </c>
      <c r="I872" s="34" t="n">
        <f aca="false">NORMSINV(G872)</f>
        <v>-0.0856155962119048</v>
      </c>
      <c r="J872" s="59" t="n">
        <f aca="false">mc_s0*EXP((mc_mu-mc_vol^2/2)*mc_t1+mc_vol*SQRT(mc_t1)*H872)</f>
        <v>1067.45285737854</v>
      </c>
      <c r="K872" s="59" t="n">
        <f aca="false">J872*EXP((mc_mu-mc_vol^2/2)*(mc_t2-mc_t1)+mc_vol*SQRT(mc_t2-mc_t1)*I872)</f>
        <v>1072.43264572284</v>
      </c>
      <c r="L872" s="31" t="n">
        <f aca="false">(t1_usd*J872+t2_usd*K872)/1000</f>
        <v>9509.79202852318</v>
      </c>
    </row>
    <row r="873" customFormat="false" ht="15" hidden="false" customHeight="false" outlineLevel="0" collapsed="false">
      <c r="E873" s="54" t="n">
        <v>869</v>
      </c>
      <c r="F873" s="61" t="n">
        <v>0.023144</v>
      </c>
      <c r="G873" s="61" t="n">
        <v>0.93235</v>
      </c>
      <c r="H873" s="34" t="n">
        <f aca="false">NORMSINV(F873)</f>
        <v>-1.99275756978581</v>
      </c>
      <c r="I873" s="34" t="n">
        <f aca="false">NORMSINV(G873)</f>
        <v>1.49352429342362</v>
      </c>
      <c r="J873" s="59" t="n">
        <f aca="false">mc_s0*EXP((mc_mu-mc_vol^2/2)*mc_t1+mc_vol*SQRT(mc_t1)*H873)</f>
        <v>947.580854757364</v>
      </c>
      <c r="K873" s="59" t="n">
        <f aca="false">J873*EXP((mc_mu-mc_vol^2/2)*(mc_t2-mc_t1)+mc_vol*SQRT(mc_t2-mc_t1)*I873)</f>
        <v>1221.00337786776</v>
      </c>
      <c r="L873" s="31" t="n">
        <f aca="false">(t1_usd*J873+t2_usd*K873)/1000</f>
        <v>8952.97240125028</v>
      </c>
    </row>
    <row r="874" customFormat="false" ht="15" hidden="false" customHeight="false" outlineLevel="0" collapsed="false">
      <c r="E874" s="54" t="n">
        <v>870</v>
      </c>
      <c r="F874" s="61" t="n">
        <v>0.61767</v>
      </c>
      <c r="G874" s="61" t="n">
        <v>0.46263</v>
      </c>
      <c r="H874" s="34" t="n">
        <f aca="false">NORMSINV(F874)</f>
        <v>0.299367050349283</v>
      </c>
      <c r="I874" s="34" t="n">
        <f aca="false">NORMSINV(G874)</f>
        <v>-0.0938101106117392</v>
      </c>
      <c r="J874" s="59" t="n">
        <f aca="false">mc_s0*EXP((mc_mu-mc_vol^2/2)*mc_t1+mc_vol*SQRT(mc_t1)*H874)</f>
        <v>1179.5190257452</v>
      </c>
      <c r="K874" s="59" t="n">
        <f aca="false">J874*EXP((mc_mu-mc_vol^2/2)*(mc_t2-mc_t1)+mc_vol*SQRT(mc_t2-mc_t1)*I874)</f>
        <v>1183.49226654989</v>
      </c>
      <c r="L874" s="31" t="n">
        <f aca="false">(t1_usd*J874+t2_usd*K874)/1000</f>
        <v>10505.2684866612</v>
      </c>
    </row>
    <row r="875" customFormat="false" ht="15" hidden="false" customHeight="false" outlineLevel="0" collapsed="false">
      <c r="E875" s="54" t="n">
        <v>871</v>
      </c>
      <c r="F875" s="61" t="n">
        <v>0.098525</v>
      </c>
      <c r="G875" s="61" t="n">
        <v>0.458144</v>
      </c>
      <c r="H875" s="34" t="n">
        <f aca="false">NORMSINV(F875)</f>
        <v>-1.29000189542564</v>
      </c>
      <c r="I875" s="34" t="n">
        <f aca="false">NORMSINV(G875)</f>
        <v>-0.105110660890371</v>
      </c>
      <c r="J875" s="59" t="n">
        <f aca="false">mc_s0*EXP((mc_mu-mc_vol^2/2)*mc_t1+mc_vol*SQRT(mc_t1)*H875)</f>
        <v>1013.37470785054</v>
      </c>
      <c r="K875" s="59" t="n">
        <f aca="false">J875*EXP((mc_mu-mc_vol^2/2)*(mc_t2-mc_t1)+mc_vol*SQRT(mc_t2-mc_t1)*I875)</f>
        <v>1014.97911064692</v>
      </c>
      <c r="L875" s="31" t="n">
        <f aca="false">(t1_usd*J875+t2_usd*K875)/1000</f>
        <v>9022.08326518294</v>
      </c>
    </row>
    <row r="876" customFormat="false" ht="15" hidden="false" customHeight="false" outlineLevel="0" collapsed="false">
      <c r="E876" s="54" t="n">
        <v>872</v>
      </c>
      <c r="F876" s="61" t="n">
        <v>0.231387</v>
      </c>
      <c r="G876" s="61" t="n">
        <v>0.337576</v>
      </c>
      <c r="H876" s="34" t="n">
        <f aca="false">NORMSINV(F876)</f>
        <v>-0.734286736244255</v>
      </c>
      <c r="I876" s="34" t="n">
        <f aca="false">NORMSINV(G876)</f>
        <v>-0.419087754152442</v>
      </c>
      <c r="J876" s="59" t="n">
        <f aca="false">mc_s0*EXP((mc_mu-mc_vol^2/2)*mc_t1+mc_vol*SQRT(mc_t1)*H876)</f>
        <v>1068.62142173135</v>
      </c>
      <c r="K876" s="59" t="n">
        <f aca="false">J876*EXP((mc_mu-mc_vol^2/2)*(mc_t2-mc_t1)+mc_vol*SQRT(mc_t2-mc_t1)*I876)</f>
        <v>1018.64238728321</v>
      </c>
      <c r="L876" s="31" t="n">
        <f aca="false">(t1_usd*J876+t2_usd*K876)/1000</f>
        <v>9415.77048795755</v>
      </c>
    </row>
    <row r="877" customFormat="false" ht="15" hidden="false" customHeight="false" outlineLevel="0" collapsed="false">
      <c r="E877" s="54" t="n">
        <v>873</v>
      </c>
      <c r="F877" s="61" t="n">
        <v>0.431966</v>
      </c>
      <c r="G877" s="61" t="n">
        <v>0.156574</v>
      </c>
      <c r="H877" s="34" t="n">
        <f aca="false">NORMSINV(F877)</f>
        <v>-0.171371071336435</v>
      </c>
      <c r="I877" s="34" t="n">
        <f aca="false">NORMSINV(G877)</f>
        <v>-1.00863857540769</v>
      </c>
      <c r="J877" s="59" t="n">
        <f aca="false">mc_s0*EXP((mc_mu-mc_vol^2/2)*mc_t1+mc_vol*SQRT(mc_t1)*H877)</f>
        <v>1127.65539885846</v>
      </c>
      <c r="K877" s="59" t="n">
        <f aca="false">J877*EXP((mc_mu-mc_vol^2/2)*(mc_t2-mc_t1)+mc_vol*SQRT(mc_t2-mc_t1)*I877)</f>
        <v>979.54483422256</v>
      </c>
      <c r="L877" s="31" t="n">
        <f aca="false">(t1_usd*J877+t2_usd*K877)/1000</f>
        <v>9754.72297703209</v>
      </c>
    </row>
    <row r="878" customFormat="false" ht="15" hidden="false" customHeight="false" outlineLevel="0" collapsed="false">
      <c r="E878" s="54" t="n">
        <v>874</v>
      </c>
      <c r="F878" s="61" t="n">
        <v>0.025641</v>
      </c>
      <c r="G878" s="61" t="n">
        <v>0.913713</v>
      </c>
      <c r="H878" s="34" t="n">
        <f aca="false">NORMSINV(F878)</f>
        <v>-1.94911242645261</v>
      </c>
      <c r="I878" s="34" t="n">
        <f aca="false">NORMSINV(G878)</f>
        <v>1.36397955633219</v>
      </c>
      <c r="J878" s="59" t="n">
        <f aca="false">mc_s0*EXP((mc_mu-mc_vol^2/2)*mc_t1+mc_vol*SQRT(mc_t1)*H878)</f>
        <v>951.539659425079</v>
      </c>
      <c r="K878" s="59" t="n">
        <f aca="false">J878*EXP((mc_mu-mc_vol^2/2)*(mc_t2-mc_t1)+mc_vol*SQRT(mc_t2-mc_t1)*I878)</f>
        <v>1201.32689375998</v>
      </c>
      <c r="L878" s="31" t="n">
        <f aca="false">(t1_usd*J878+t2_usd*K878)/1000</f>
        <v>8943.29871411952</v>
      </c>
    </row>
    <row r="879" customFormat="false" ht="15" hidden="false" customHeight="false" outlineLevel="0" collapsed="false">
      <c r="E879" s="54" t="n">
        <v>875</v>
      </c>
      <c r="F879" s="61" t="n">
        <v>0.505404</v>
      </c>
      <c r="G879" s="61" t="n">
        <v>0.472688</v>
      </c>
      <c r="H879" s="34" t="n">
        <f aca="false">NORMSINV(F879)</f>
        <v>0.0135462334746729</v>
      </c>
      <c r="I879" s="34" t="n">
        <f aca="false">NORMSINV(G879)</f>
        <v>-0.0685145978229238</v>
      </c>
      <c r="J879" s="59" t="n">
        <f aca="false">mc_s0*EXP((mc_mu-mc_vol^2/2)*mc_t1+mc_vol*SQRT(mc_t1)*H879)</f>
        <v>1147.75102285496</v>
      </c>
      <c r="K879" s="59" t="n">
        <f aca="false">J879*EXP((mc_mu-mc_vol^2/2)*(mc_t2-mc_t1)+mc_vol*SQRT(mc_t2-mc_t1)*I879)</f>
        <v>1156.21722279916</v>
      </c>
      <c r="L879" s="31" t="n">
        <f aca="false">(t1_usd*J879+t2_usd*K879)/1000</f>
        <v>10231.0698833031</v>
      </c>
    </row>
    <row r="880" customFormat="false" ht="15" hidden="false" customHeight="false" outlineLevel="0" collapsed="false">
      <c r="E880" s="54" t="n">
        <v>876</v>
      </c>
      <c r="F880" s="61" t="n">
        <v>0.98113</v>
      </c>
      <c r="G880" s="61" t="n">
        <v>0.300462</v>
      </c>
      <c r="H880" s="34" t="n">
        <f aca="false">NORMSINV(F880)</f>
        <v>2.07766743942153</v>
      </c>
      <c r="I880" s="34" t="n">
        <f aca="false">NORMSINV(G880)</f>
        <v>-0.523072215153505</v>
      </c>
      <c r="J880" s="59" t="n">
        <f aca="false">mc_s0*EXP((mc_mu-mc_vol^2/2)*mc_t1+mc_vol*SQRT(mc_t1)*H880)</f>
        <v>1397.90497804095</v>
      </c>
      <c r="K880" s="59" t="n">
        <f aca="false">J880*EXP((mc_mu-mc_vol^2/2)*(mc_t2-mc_t1)+mc_vol*SQRT(mc_t2-mc_t1)*I880)</f>
        <v>1310.8669978183</v>
      </c>
      <c r="L880" s="31" t="n">
        <f aca="false">(t1_usd*J880+t2_usd*K880)/1000</f>
        <v>12275.9821421414</v>
      </c>
    </row>
    <row r="881" customFormat="false" ht="15" hidden="false" customHeight="false" outlineLevel="0" collapsed="false">
      <c r="E881" s="54" t="n">
        <v>877</v>
      </c>
      <c r="F881" s="61" t="n">
        <v>0.332361</v>
      </c>
      <c r="G881" s="61" t="n">
        <v>0.127227</v>
      </c>
      <c r="H881" s="34" t="n">
        <f aca="false">NORMSINV(F881)</f>
        <v>-0.433403029538637</v>
      </c>
      <c r="I881" s="34" t="n">
        <f aca="false">NORMSINV(G881)</f>
        <v>-1.13959756566522</v>
      </c>
      <c r="J881" s="59" t="n">
        <f aca="false">mc_s0*EXP((mc_mu-mc_vol^2/2)*mc_t1+mc_vol*SQRT(mc_t1)*H881)</f>
        <v>1099.78051536877</v>
      </c>
      <c r="K881" s="59" t="n">
        <f aca="false">J881*EXP((mc_mu-mc_vol^2/2)*(mc_t2-mc_t1)+mc_vol*SQRT(mc_t2-mc_t1)*I881)</f>
        <v>935.816848014835</v>
      </c>
      <c r="L881" s="31" t="n">
        <f aca="false">(t1_usd*J881+t2_usd*K881)/1000</f>
        <v>9476.5156188096</v>
      </c>
    </row>
    <row r="882" customFormat="false" ht="15" hidden="false" customHeight="false" outlineLevel="0" collapsed="false">
      <c r="E882" s="54" t="n">
        <v>878</v>
      </c>
      <c r="F882" s="61" t="n">
        <v>0.002245</v>
      </c>
      <c r="G882" s="61" t="n">
        <v>0.51024</v>
      </c>
      <c r="H882" s="34" t="n">
        <f aca="false">NORMSINV(F882)</f>
        <v>-2.84151315147567</v>
      </c>
      <c r="I882" s="34" t="n">
        <f aca="false">NORMSINV(G882)</f>
        <v>0.0256706926848211</v>
      </c>
      <c r="J882" s="59" t="n">
        <f aca="false">mc_s0*EXP((mc_mu-mc_vol^2/2)*mc_t1+mc_vol*SQRT(mc_t1)*H882)</f>
        <v>873.787234181894</v>
      </c>
      <c r="K882" s="59" t="n">
        <f aca="false">J882*EXP((mc_mu-mc_vol^2/2)*(mc_t2-mc_t1)+mc_vol*SQRT(mc_t2-mc_t1)*I882)</f>
        <v>893.395287741977</v>
      </c>
      <c r="L882" s="31" t="n">
        <f aca="false">(t1_usd*J882+t2_usd*K882)/1000</f>
        <v>7813.96168598301</v>
      </c>
    </row>
    <row r="883" customFormat="false" ht="15" hidden="false" customHeight="false" outlineLevel="0" collapsed="false">
      <c r="E883" s="54" t="n">
        <v>879</v>
      </c>
      <c r="F883" s="61" t="n">
        <v>0.604828</v>
      </c>
      <c r="G883" s="61" t="n">
        <v>0.069902</v>
      </c>
      <c r="H883" s="34" t="n">
        <f aca="false">NORMSINV(F883)</f>
        <v>0.265863936874836</v>
      </c>
      <c r="I883" s="34" t="n">
        <f aca="false">NORMSINV(G883)</f>
        <v>-1.4765213056071</v>
      </c>
      <c r="J883" s="59" t="n">
        <f aca="false">mc_s0*EXP((mc_mu-mc_vol^2/2)*mc_t1+mc_vol*SQRT(mc_t1)*H883)</f>
        <v>1175.75023854804</v>
      </c>
      <c r="K883" s="59" t="n">
        <f aca="false">J883*EXP((mc_mu-mc_vol^2/2)*(mc_t2-mc_t1)+mc_vol*SQRT(mc_t2-mc_t1)*I883)</f>
        <v>948.724744303171</v>
      </c>
      <c r="L883" s="31" t="n">
        <f aca="false">(t1_usd*J883+t2_usd*K883)/1000</f>
        <v>10032.8286840123</v>
      </c>
    </row>
    <row r="884" customFormat="false" ht="15" hidden="false" customHeight="false" outlineLevel="0" collapsed="false">
      <c r="E884" s="54" t="n">
        <v>880</v>
      </c>
      <c r="F884" s="61" t="n">
        <v>0.65315</v>
      </c>
      <c r="G884" s="61" t="n">
        <v>0.232002</v>
      </c>
      <c r="H884" s="34" t="n">
        <f aca="false">NORMSINV(F884)</f>
        <v>0.393838876468246</v>
      </c>
      <c r="I884" s="34" t="n">
        <f aca="false">NORMSINV(G884)</f>
        <v>-0.732269649923571</v>
      </c>
      <c r="J884" s="59" t="n">
        <f aca="false">mc_s0*EXP((mc_mu-mc_vol^2/2)*mc_t1+mc_vol*SQRT(mc_t1)*H884)</f>
        <v>1190.21141013239</v>
      </c>
      <c r="K884" s="59" t="n">
        <f aca="false">J884*EXP((mc_mu-mc_vol^2/2)*(mc_t2-mc_t1)+mc_vol*SQRT(mc_t2-mc_t1)*I884)</f>
        <v>1079.90916490238</v>
      </c>
      <c r="L884" s="31" t="n">
        <f aca="false">(t1_usd*J884+t2_usd*K884)/1000</f>
        <v>10383.3072842413</v>
      </c>
    </row>
    <row r="885" customFormat="false" ht="15" hidden="false" customHeight="false" outlineLevel="0" collapsed="false">
      <c r="E885" s="54" t="n">
        <v>881</v>
      </c>
      <c r="F885" s="61" t="n">
        <v>0.271548</v>
      </c>
      <c r="G885" s="61" t="n">
        <v>0.062924</v>
      </c>
      <c r="H885" s="34" t="n">
        <f aca="false">NORMSINV(F885)</f>
        <v>-0.608137926222058</v>
      </c>
      <c r="I885" s="34" t="n">
        <f aca="false">NORMSINV(G885)</f>
        <v>-1.53068201836076</v>
      </c>
      <c r="J885" s="59" t="n">
        <f aca="false">mc_s0*EXP((mc_mu-mc_vol^2/2)*mc_t1+mc_vol*SQRT(mc_t1)*H885)</f>
        <v>1081.57627651845</v>
      </c>
      <c r="K885" s="59" t="n">
        <f aca="false">J885*EXP((mc_mu-mc_vol^2/2)*(mc_t2-mc_t1)+mc_vol*SQRT(mc_t2-mc_t1)*I885)</f>
        <v>865.317417295938</v>
      </c>
      <c r="L885" s="31" t="n">
        <f aca="false">(t1_usd*J885+t2_usd*K885)/1000</f>
        <v>9215.13702849143</v>
      </c>
    </row>
    <row r="886" customFormat="false" ht="15" hidden="false" customHeight="false" outlineLevel="0" collapsed="false">
      <c r="E886" s="54" t="n">
        <v>882</v>
      </c>
      <c r="F886" s="61" t="n">
        <v>0.640838</v>
      </c>
      <c r="G886" s="61" t="n">
        <v>0.942997</v>
      </c>
      <c r="H886" s="34" t="n">
        <f aca="false">NORMSINV(F886)</f>
        <v>0.360699631786451</v>
      </c>
      <c r="I886" s="34" t="n">
        <f aca="false">NORMSINV(G886)</f>
        <v>1.58044059983338</v>
      </c>
      <c r="J886" s="59" t="n">
        <f aca="false">mc_s0*EXP((mc_mu-mc_vol^2/2)*mc_t1+mc_vol*SQRT(mc_t1)*H886)</f>
        <v>1186.44969628602</v>
      </c>
      <c r="K886" s="59" t="n">
        <f aca="false">J886*EXP((mc_mu-mc_vol^2/2)*(mc_t2-mc_t1)+mc_vol*SQRT(mc_t2-mc_t1)*I886)</f>
        <v>1549.88198681269</v>
      </c>
      <c r="L886" s="31" t="n">
        <f aca="false">(t1_usd*J886+t2_usd*K886)/1000</f>
        <v>11249.9236489462</v>
      </c>
    </row>
    <row r="887" customFormat="false" ht="15" hidden="false" customHeight="false" outlineLevel="0" collapsed="false">
      <c r="E887" s="54" t="n">
        <v>883</v>
      </c>
      <c r="F887" s="61" t="n">
        <v>0.430138</v>
      </c>
      <c r="G887" s="61" t="n">
        <v>0.605417</v>
      </c>
      <c r="H887" s="34" t="n">
        <f aca="false">NORMSINV(F887)</f>
        <v>-0.176022838565853</v>
      </c>
      <c r="I887" s="34" t="n">
        <f aca="false">NORMSINV(G887)</f>
        <v>0.267393764400083</v>
      </c>
      <c r="J887" s="59" t="n">
        <f aca="false">mc_s0*EXP((mc_mu-mc_vol^2/2)*mc_t1+mc_vol*SQRT(mc_t1)*H887)</f>
        <v>1127.15443759908</v>
      </c>
      <c r="K887" s="59" t="n">
        <f aca="false">J887*EXP((mc_mu-mc_vol^2/2)*(mc_t2-mc_t1)+mc_vol*SQRT(mc_t2-mc_t1)*I887)</f>
        <v>1197.19629183606</v>
      </c>
      <c r="L887" s="31" t="n">
        <f aca="false">(t1_usd*J887+t2_usd*K887)/1000</f>
        <v>10164.7540176821</v>
      </c>
    </row>
    <row r="888" customFormat="false" ht="15" hidden="false" customHeight="false" outlineLevel="0" collapsed="false">
      <c r="E888" s="54" t="n">
        <v>884</v>
      </c>
      <c r="F888" s="61" t="n">
        <v>0.927288</v>
      </c>
      <c r="G888" s="61" t="n">
        <v>0.551051</v>
      </c>
      <c r="H888" s="34" t="n">
        <f aca="false">NORMSINV(F888)</f>
        <v>1.45588649352363</v>
      </c>
      <c r="I888" s="34" t="n">
        <f aca="false">NORMSINV(G888)</f>
        <v>0.128317141864201</v>
      </c>
      <c r="J888" s="59" t="n">
        <f aca="false">mc_s0*EXP((mc_mu-mc_vol^2/2)*mc_t1+mc_vol*SQRT(mc_t1)*H888)</f>
        <v>1317.29517354329</v>
      </c>
      <c r="K888" s="59" t="n">
        <f aca="false">J888*EXP((mc_mu-mc_vol^2/2)*(mc_t2-mc_t1)+mc_vol*SQRT(mc_t2-mc_t1)*I888)</f>
        <v>1368.82010724205</v>
      </c>
      <c r="L888" s="31" t="n">
        <f aca="false">(t1_usd*J888+t2_usd*K888)/1000</f>
        <v>11821.8244185629</v>
      </c>
    </row>
    <row r="889" customFormat="false" ht="15" hidden="false" customHeight="false" outlineLevel="0" collapsed="false">
      <c r="E889" s="54" t="n">
        <v>885</v>
      </c>
      <c r="F889" s="61" t="n">
        <v>0.979114</v>
      </c>
      <c r="G889" s="61" t="n">
        <v>0.639174</v>
      </c>
      <c r="H889" s="34" t="n">
        <f aca="false">NORMSINV(F889)</f>
        <v>2.03578449546309</v>
      </c>
      <c r="I889" s="34" t="n">
        <f aca="false">NORMSINV(G889)</f>
        <v>0.356251803222197</v>
      </c>
      <c r="J889" s="59" t="n">
        <f aca="false">mc_s0*EXP((mc_mu-mc_vol^2/2)*mc_t1+mc_vol*SQRT(mc_t1)*H889)</f>
        <v>1392.32345611452</v>
      </c>
      <c r="K889" s="59" t="n">
        <f aca="false">J889*EXP((mc_mu-mc_vol^2/2)*(mc_t2-mc_t1)+mc_vol*SQRT(mc_t2-mc_t1)*I889)</f>
        <v>1499.69756604102</v>
      </c>
      <c r="L889" s="31" t="n">
        <f aca="false">(t1_usd*J889+t2_usd*K889)/1000</f>
        <v>12595.6895682796</v>
      </c>
    </row>
    <row r="890" customFormat="false" ht="15" hidden="false" customHeight="false" outlineLevel="0" collapsed="false">
      <c r="E890" s="54" t="n">
        <v>886</v>
      </c>
      <c r="F890" s="61" t="n">
        <v>0.4736</v>
      </c>
      <c r="G890" s="61" t="n">
        <v>0.199257</v>
      </c>
      <c r="H890" s="34" t="n">
        <f aca="false">NORMSINV(F890)</f>
        <v>-0.0662233587487447</v>
      </c>
      <c r="I890" s="34" t="n">
        <f aca="false">NORMSINV(G890)</f>
        <v>-0.844278137400357</v>
      </c>
      <c r="J890" s="59" t="n">
        <f aca="false">mc_s0*EXP((mc_mu-mc_vol^2/2)*mc_t1+mc_vol*SQRT(mc_t1)*H890)</f>
        <v>1139.03862415307</v>
      </c>
      <c r="K890" s="59" t="n">
        <f aca="false">J890*EXP((mc_mu-mc_vol^2/2)*(mc_t2-mc_t1)+mc_vol*SQRT(mc_t2-mc_t1)*I890)</f>
        <v>1015.39612033629</v>
      </c>
      <c r="L890" s="31" t="n">
        <f aca="false">(t1_usd*J890+t2_usd*K890)/1000</f>
        <v>9902.52299771044</v>
      </c>
    </row>
    <row r="891" customFormat="false" ht="15" hidden="false" customHeight="false" outlineLevel="0" collapsed="false">
      <c r="E891" s="54" t="n">
        <v>887</v>
      </c>
      <c r="F891" s="61" t="n">
        <v>0.600451</v>
      </c>
      <c r="G891" s="61" t="n">
        <v>0.717078</v>
      </c>
      <c r="H891" s="34" t="n">
        <f aca="false">NORMSINV(F891)</f>
        <v>0.254514633934034</v>
      </c>
      <c r="I891" s="34" t="n">
        <f aca="false">NORMSINV(G891)</f>
        <v>0.57418295853024</v>
      </c>
      <c r="J891" s="59" t="n">
        <f aca="false">mc_s0*EXP((mc_mu-mc_vol^2/2)*mc_t1+mc_vol*SQRT(mc_t1)*H891)</f>
        <v>1174.47628051391</v>
      </c>
      <c r="K891" s="59" t="n">
        <f aca="false">J891*EXP((mc_mu-mc_vol^2/2)*(mc_t2-mc_t1)+mc_vol*SQRT(mc_t2-mc_t1)*I891)</f>
        <v>1309.25249496311</v>
      </c>
      <c r="L891" s="31" t="n">
        <f aca="false">(t1_usd*J891+t2_usd*K891)/1000</f>
        <v>10708.9137040272</v>
      </c>
    </row>
    <row r="892" customFormat="false" ht="15" hidden="false" customHeight="false" outlineLevel="0" collapsed="false">
      <c r="E892" s="54" t="n">
        <v>888</v>
      </c>
      <c r="F892" s="61" t="n">
        <v>0.844844</v>
      </c>
      <c r="G892" s="61" t="n">
        <v>0.761389</v>
      </c>
      <c r="H892" s="34" t="n">
        <f aca="false">NORMSINV(F892)</f>
        <v>1.01456757988858</v>
      </c>
      <c r="I892" s="34" t="n">
        <f aca="false">NORMSINV(G892)</f>
        <v>0.710777702554475</v>
      </c>
      <c r="J892" s="59" t="n">
        <f aca="false">mc_s0*EXP((mc_mu-mc_vol^2/2)*mc_t1+mc_vol*SQRT(mc_t1)*H892)</f>
        <v>1262.91757781115</v>
      </c>
      <c r="K892" s="59" t="n">
        <f aca="false">J892*EXP((mc_mu-mc_vol^2/2)*(mc_t2-mc_t1)+mc_vol*SQRT(mc_t2-mc_t1)*I892)</f>
        <v>1438.47714410722</v>
      </c>
      <c r="L892" s="31" t="n">
        <f aca="false">(t1_usd*J892+t2_usd*K892)/1000</f>
        <v>11573.5296184818</v>
      </c>
    </row>
    <row r="893" customFormat="false" ht="15" hidden="false" customHeight="false" outlineLevel="0" collapsed="false">
      <c r="E893" s="54" t="n">
        <v>889</v>
      </c>
      <c r="F893" s="61" t="n">
        <v>0.767778</v>
      </c>
      <c r="G893" s="61" t="n">
        <v>0.026966</v>
      </c>
      <c r="H893" s="34" t="n">
        <f aca="false">NORMSINV(F893)</f>
        <v>0.73154881392217</v>
      </c>
      <c r="I893" s="34" t="n">
        <f aca="false">NORMSINV(G893)</f>
        <v>-1.92738233060352</v>
      </c>
      <c r="J893" s="59" t="n">
        <f aca="false">mc_s0*EXP((mc_mu-mc_vol^2/2)*mc_t1+mc_vol*SQRT(mc_t1)*H893)</f>
        <v>1229.23237191548</v>
      </c>
      <c r="K893" s="59" t="n">
        <f aca="false">J893*EXP((mc_mu-mc_vol^2/2)*(mc_t2-mc_t1)+mc_vol*SQRT(mc_t2-mc_t1)*I893)</f>
        <v>923.849813574389</v>
      </c>
      <c r="L893" s="31" t="n">
        <f aca="false">(t1_usd*J893+t2_usd*K893)/1000</f>
        <v>10359.9412491997</v>
      </c>
    </row>
    <row r="894" customFormat="false" ht="15" hidden="false" customHeight="false" outlineLevel="0" collapsed="false">
      <c r="E894" s="54" t="n">
        <v>890</v>
      </c>
      <c r="F894" s="61" t="n">
        <v>0.434845</v>
      </c>
      <c r="G894" s="61" t="n">
        <v>0.441713</v>
      </c>
      <c r="H894" s="34" t="n">
        <f aca="false">NORMSINV(F894)</f>
        <v>-0.164052264488981</v>
      </c>
      <c r="I894" s="34" t="n">
        <f aca="false">NORMSINV(G894)</f>
        <v>-0.146627558808939</v>
      </c>
      <c r="J894" s="59" t="n">
        <f aca="false">mc_s0*EXP((mc_mu-mc_vol^2/2)*mc_t1+mc_vol*SQRT(mc_t1)*H894)</f>
        <v>1128.44403151625</v>
      </c>
      <c r="K894" s="59" t="n">
        <f aca="false">J894*EXP((mc_mu-mc_vol^2/2)*(mc_t2-mc_t1)+mc_vol*SQRT(mc_t2-mc_t1)*I894)</f>
        <v>1122.85990288314</v>
      </c>
      <c r="L894" s="31" t="n">
        <f aca="false">(t1_usd*J894+t2_usd*K894)/1000</f>
        <v>10032.5420360917</v>
      </c>
    </row>
    <row r="895" customFormat="false" ht="15" hidden="false" customHeight="false" outlineLevel="0" collapsed="false">
      <c r="E895" s="54" t="n">
        <v>891</v>
      </c>
      <c r="F895" s="61" t="n">
        <v>0.333411</v>
      </c>
      <c r="G895" s="61" t="n">
        <v>0.059645</v>
      </c>
      <c r="H895" s="34" t="n">
        <f aca="false">NORMSINV(F895)</f>
        <v>-0.430513704293458</v>
      </c>
      <c r="I895" s="34" t="n">
        <f aca="false">NORMSINV(G895)</f>
        <v>-1.55776063834096</v>
      </c>
      <c r="J895" s="59" t="n">
        <f aca="false">mc_s0*EXP((mc_mu-mc_vol^2/2)*mc_t1+mc_vol*SQRT(mc_t1)*H895)</f>
        <v>1100.08409220857</v>
      </c>
      <c r="K895" s="59" t="n">
        <f aca="false">J895*EXP((mc_mu-mc_vol^2/2)*(mc_t2-mc_t1)+mc_vol*SQRT(mc_t2-mc_t1)*I895)</f>
        <v>876.376787913899</v>
      </c>
      <c r="L895" s="31" t="n">
        <f aca="false">(t1_usd*J895+t2_usd*K895)/1000</f>
        <v>9365.70454249639</v>
      </c>
    </row>
    <row r="896" customFormat="false" ht="15" hidden="false" customHeight="false" outlineLevel="0" collapsed="false">
      <c r="E896" s="54" t="n">
        <v>892</v>
      </c>
      <c r="F896" s="61" t="n">
        <v>0.449735</v>
      </c>
      <c r="G896" s="61" t="n">
        <v>0.603476</v>
      </c>
      <c r="H896" s="34" t="n">
        <f aca="false">NORMSINV(F896)</f>
        <v>-0.126330896884531</v>
      </c>
      <c r="I896" s="34" t="n">
        <f aca="false">NORMSINV(G896)</f>
        <v>0.262354692090574</v>
      </c>
      <c r="J896" s="59" t="n">
        <f aca="false">mc_s0*EXP((mc_mu-mc_vol^2/2)*mc_t1+mc_vol*SQRT(mc_t1)*H896)</f>
        <v>1132.51742507628</v>
      </c>
      <c r="K896" s="59" t="n">
        <f aca="false">J896*EXP((mc_mu-mc_vol^2/2)*(mc_t2-mc_t1)+mc_vol*SQRT(mc_t2-mc_t1)*I896)</f>
        <v>1201.93767155417</v>
      </c>
      <c r="L896" s="31" t="n">
        <f aca="false">(t1_usd*J896+t2_usd*K896)/1000</f>
        <v>10211.3035514868</v>
      </c>
    </row>
    <row r="897" customFormat="false" ht="15" hidden="false" customHeight="false" outlineLevel="0" collapsed="false">
      <c r="E897" s="54" t="n">
        <v>893</v>
      </c>
      <c r="F897" s="61" t="n">
        <v>0.379685</v>
      </c>
      <c r="G897" s="61" t="n">
        <v>0.11833</v>
      </c>
      <c r="H897" s="34" t="n">
        <f aca="false">NORMSINV(F897)</f>
        <v>-0.306308195267923</v>
      </c>
      <c r="I897" s="34" t="n">
        <f aca="false">NORMSINV(G897)</f>
        <v>-1.18337641554304</v>
      </c>
      <c r="J897" s="59" t="n">
        <f aca="false">mc_s0*EXP((mc_mu-mc_vol^2/2)*mc_t1+mc_vol*SQRT(mc_t1)*H897)</f>
        <v>1113.21370352824</v>
      </c>
      <c r="K897" s="59" t="n">
        <f aca="false">J897*EXP((mc_mu-mc_vol^2/2)*(mc_t2-mc_t1)+mc_vol*SQRT(mc_t2-mc_t1)*I897)</f>
        <v>940.734511490849</v>
      </c>
      <c r="L897" s="31" t="n">
        <f aca="false">(t1_usd*J897+t2_usd*K897)/1000</f>
        <v>9579.89149653028</v>
      </c>
    </row>
    <row r="898" customFormat="false" ht="15" hidden="false" customHeight="false" outlineLevel="0" collapsed="false">
      <c r="E898" s="54" t="n">
        <v>894</v>
      </c>
      <c r="F898" s="61" t="n">
        <v>0.011514</v>
      </c>
      <c r="G898" s="61" t="n">
        <v>0.210163</v>
      </c>
      <c r="H898" s="34" t="n">
        <f aca="false">NORMSINV(F898)</f>
        <v>-2.27296979851177</v>
      </c>
      <c r="I898" s="34" t="n">
        <f aca="false">NORMSINV(G898)</f>
        <v>-0.805855798984029</v>
      </c>
      <c r="J898" s="59" t="n">
        <f aca="false">mc_s0*EXP((mc_mu-mc_vol^2/2)*mc_t1+mc_vol*SQRT(mc_t1)*H898)</f>
        <v>922.55376906155</v>
      </c>
      <c r="K898" s="59" t="n">
        <f aca="false">J898*EXP((mc_mu-mc_vol^2/2)*(mc_t2-mc_t1)+mc_vol*SQRT(mc_t2-mc_t1)*I898)</f>
        <v>827.405555095574</v>
      </c>
      <c r="L898" s="31" t="n">
        <f aca="false">(t1_usd*J898+t2_usd*K898)/1000</f>
        <v>8029.94693811244</v>
      </c>
    </row>
    <row r="899" customFormat="false" ht="15" hidden="false" customHeight="false" outlineLevel="0" collapsed="false">
      <c r="E899" s="54" t="n">
        <v>895</v>
      </c>
      <c r="F899" s="61" t="n">
        <v>0.880805</v>
      </c>
      <c r="G899" s="61" t="n">
        <v>0.64334</v>
      </c>
      <c r="H899" s="34" t="n">
        <f aca="false">NORMSINV(F899)</f>
        <v>1.17902053245165</v>
      </c>
      <c r="I899" s="34" t="n">
        <f aca="false">NORMSINV(G899)</f>
        <v>0.367400900485414</v>
      </c>
      <c r="J899" s="59" t="n">
        <f aca="false">mc_s0*EXP((mc_mu-mc_vol^2/2)*mc_t1+mc_vol*SQRT(mc_t1)*H899)</f>
        <v>1282.91336744284</v>
      </c>
      <c r="K899" s="59" t="n">
        <f aca="false">J899*EXP((mc_mu-mc_vol^2/2)*(mc_t2-mc_t1)+mc_vol*SQRT(mc_t2-mc_t1)*I899)</f>
        <v>1384.27999347111</v>
      </c>
      <c r="L899" s="31" t="n">
        <f aca="false">(t1_usd*J899+t2_usd*K899)/1000</f>
        <v>11610.525559695</v>
      </c>
    </row>
    <row r="900" customFormat="false" ht="15" hidden="false" customHeight="false" outlineLevel="0" collapsed="false">
      <c r="E900" s="54" t="n">
        <v>896</v>
      </c>
      <c r="F900" s="61" t="n">
        <v>0.082059</v>
      </c>
      <c r="G900" s="61" t="n">
        <v>0.723938</v>
      </c>
      <c r="H900" s="34" t="n">
        <f aca="false">NORMSINV(F900)</f>
        <v>-1.3913543508606</v>
      </c>
      <c r="I900" s="34" t="n">
        <f aca="false">NORMSINV(G900)</f>
        <v>0.594580377204084</v>
      </c>
      <c r="J900" s="59" t="n">
        <f aca="false">mc_s0*EXP((mc_mu-mc_vol^2/2)*mc_t1+mc_vol*SQRT(mc_t1)*H900)</f>
        <v>1003.61110781824</v>
      </c>
      <c r="K900" s="59" t="n">
        <f aca="false">J900*EXP((mc_mu-mc_vol^2/2)*(mc_t2-mc_t1)+mc_vol*SQRT(mc_t2-mc_t1)*I900)</f>
        <v>1122.38190523623</v>
      </c>
      <c r="L900" s="31" t="n">
        <f aca="false">(t1_usd*J900+t2_usd*K900)/1000</f>
        <v>9157.80337467651</v>
      </c>
    </row>
    <row r="901" customFormat="false" ht="15" hidden="false" customHeight="false" outlineLevel="0" collapsed="false">
      <c r="E901" s="54" t="n">
        <v>897</v>
      </c>
      <c r="F901" s="61" t="n">
        <v>0.396815</v>
      </c>
      <c r="G901" s="61" t="n">
        <v>0.069979</v>
      </c>
      <c r="H901" s="34" t="n">
        <f aca="false">NORMSINV(F901)</f>
        <v>-0.261599797698882</v>
      </c>
      <c r="I901" s="34" t="n">
        <f aca="false">NORMSINV(G901)</f>
        <v>-1.47594744994328</v>
      </c>
      <c r="J901" s="59" t="n">
        <f aca="false">mc_s0*EXP((mc_mu-mc_vol^2/2)*mc_t1+mc_vol*SQRT(mc_t1)*H901)</f>
        <v>1117.97803084064</v>
      </c>
      <c r="K901" s="59" t="n">
        <f aca="false">J901*EXP((mc_mu-mc_vol^2/2)*(mc_t2-mc_t1)+mc_vol*SQRT(mc_t2-mc_t1)*I901)</f>
        <v>902.1893528007</v>
      </c>
      <c r="L901" s="31" t="n">
        <f aca="false">(t1_usd*J901+t2_usd*K901)/1000</f>
        <v>9540.0059862058</v>
      </c>
    </row>
    <row r="902" customFormat="false" ht="15" hidden="false" customHeight="false" outlineLevel="0" collapsed="false">
      <c r="E902" s="54" t="n">
        <v>898</v>
      </c>
      <c r="F902" s="61" t="n">
        <v>0.993612</v>
      </c>
      <c r="G902" s="61" t="n">
        <v>0.568739</v>
      </c>
      <c r="H902" s="34" t="n">
        <f aca="false">NORMSINV(F902)</f>
        <v>2.4899529698228</v>
      </c>
      <c r="I902" s="34" t="n">
        <f aca="false">NORMSINV(G902)</f>
        <v>0.17316466151231</v>
      </c>
      <c r="J902" s="59" t="n">
        <f aca="false">mc_s0*EXP((mc_mu-mc_vol^2/2)*mc_t1+mc_vol*SQRT(mc_t1)*H902)</f>
        <v>1454.05654518583</v>
      </c>
      <c r="K902" s="59" t="n">
        <f aca="false">J902*EXP((mc_mu-mc_vol^2/2)*(mc_t2-mc_t1)+mc_vol*SQRT(mc_t2-mc_t1)*I902)</f>
        <v>1521.64736642725</v>
      </c>
      <c r="L902" s="31" t="n">
        <f aca="false">(t1_usd*J902+t2_usd*K902)/1000</f>
        <v>13069.5258125126</v>
      </c>
    </row>
    <row r="903" customFormat="false" ht="15" hidden="false" customHeight="false" outlineLevel="0" collapsed="false">
      <c r="E903" s="54" t="n">
        <v>899</v>
      </c>
      <c r="F903" s="61" t="n">
        <v>0.653317</v>
      </c>
      <c r="G903" s="61" t="n">
        <v>0.580492</v>
      </c>
      <c r="H903" s="34" t="n">
        <f aca="false">NORMSINV(F903)</f>
        <v>0.394291280653714</v>
      </c>
      <c r="I903" s="34" t="n">
        <f aca="false">NORMSINV(G903)</f>
        <v>0.20315229287229</v>
      </c>
      <c r="J903" s="59" t="n">
        <f aca="false">mc_s0*EXP((mc_mu-mc_vol^2/2)*mc_t1+mc_vol*SQRT(mc_t1)*H903)</f>
        <v>1190.262846034</v>
      </c>
      <c r="K903" s="59" t="n">
        <f aca="false">J903*EXP((mc_mu-mc_vol^2/2)*(mc_t2-mc_t1)+mc_vol*SQRT(mc_t2-mc_t1)*I903)</f>
        <v>1251.49180339339</v>
      </c>
      <c r="L903" s="31" t="n">
        <f aca="false">(t1_usd*J903+t2_usd*K903)/1000</f>
        <v>10709.6743486854</v>
      </c>
    </row>
    <row r="904" customFormat="false" ht="15" hidden="false" customHeight="false" outlineLevel="0" collapsed="false">
      <c r="E904" s="54" t="n">
        <v>900</v>
      </c>
      <c r="F904" s="61" t="n">
        <v>0.631555</v>
      </c>
      <c r="G904" s="61" t="n">
        <v>0.799867</v>
      </c>
      <c r="H904" s="34" t="n">
        <f aca="false">NORMSINV(F904)</f>
        <v>0.335974627212484</v>
      </c>
      <c r="I904" s="34" t="n">
        <f aca="false">NORMSINV(G904)</f>
        <v>0.841146263892881</v>
      </c>
      <c r="J904" s="59" t="n">
        <f aca="false">mc_s0*EXP((mc_mu-mc_vol^2/2)*mc_t1+mc_vol*SQRT(mc_t1)*H904)</f>
        <v>1183.65084900055</v>
      </c>
      <c r="K904" s="59" t="n">
        <f aca="false">J904*EXP((mc_mu-mc_vol^2/2)*(mc_t2-mc_t1)+mc_vol*SQRT(mc_t2-mc_t1)*I904)</f>
        <v>1376.17681920822</v>
      </c>
      <c r="L904" s="31" t="n">
        <f aca="false">(t1_usd*J904+t2_usd*K904)/1000</f>
        <v>10900.2918994995</v>
      </c>
    </row>
    <row r="905" customFormat="false" ht="15" hidden="false" customHeight="false" outlineLevel="0" collapsed="false">
      <c r="E905" s="54" t="n">
        <v>901</v>
      </c>
      <c r="F905" s="61" t="n">
        <v>0.299769</v>
      </c>
      <c r="G905" s="61" t="n">
        <v>0.143784</v>
      </c>
      <c r="H905" s="34" t="n">
        <f aca="false">NORMSINV(F905)</f>
        <v>-0.525065008464505</v>
      </c>
      <c r="I905" s="34" t="n">
        <f aca="false">NORMSINV(G905)</f>
        <v>-1.06347190386522</v>
      </c>
      <c r="J905" s="59" t="n">
        <f aca="false">mc_s0*EXP((mc_mu-mc_vol^2/2)*mc_t1+mc_vol*SQRT(mc_t1)*H905)</f>
        <v>1090.19309895747</v>
      </c>
      <c r="K905" s="59" t="n">
        <f aca="false">J905*EXP((mc_mu-mc_vol^2/2)*(mc_t2-mc_t1)+mc_vol*SQRT(mc_t2-mc_t1)*I905)</f>
        <v>938.854838680919</v>
      </c>
      <c r="L905" s="31" t="n">
        <f aca="false">(t1_usd*J905+t2_usd*K905)/1000</f>
        <v>9415.17588619603</v>
      </c>
    </row>
    <row r="906" customFormat="false" ht="15" hidden="false" customHeight="false" outlineLevel="0" collapsed="false">
      <c r="E906" s="54" t="n">
        <v>902</v>
      </c>
      <c r="F906" s="61" t="n">
        <v>0.196587</v>
      </c>
      <c r="G906" s="61" t="n">
        <v>0.153217</v>
      </c>
      <c r="H906" s="34" t="n">
        <f aca="false">NORMSINV(F906)</f>
        <v>-0.853875456318697</v>
      </c>
      <c r="I906" s="34" t="n">
        <f aca="false">NORMSINV(G906)</f>
        <v>-1.02273322002613</v>
      </c>
      <c r="J906" s="59" t="n">
        <f aca="false">mc_s0*EXP((mc_mu-mc_vol^2/2)*mc_t1+mc_vol*SQRT(mc_t1)*H906)</f>
        <v>1056.48356133037</v>
      </c>
      <c r="K906" s="59" t="n">
        <f aca="false">J906*EXP((mc_mu-mc_vol^2/2)*(mc_t2-mc_t1)+mc_vol*SQRT(mc_t2-mc_t1)*I906)</f>
        <v>915.684779460224</v>
      </c>
      <c r="L906" s="31" t="n">
        <f aca="false">(t1_usd*J906+t2_usd*K906)/1000</f>
        <v>9135.18601028701</v>
      </c>
    </row>
    <row r="907" customFormat="false" ht="15" hidden="false" customHeight="false" outlineLevel="0" collapsed="false">
      <c r="E907" s="54" t="n">
        <v>903</v>
      </c>
      <c r="F907" s="61" t="n">
        <v>0.732222</v>
      </c>
      <c r="G907" s="61" t="n">
        <v>0.975341</v>
      </c>
      <c r="H907" s="34" t="n">
        <f aca="false">NORMSINV(F907)</f>
        <v>0.619547105507233</v>
      </c>
      <c r="I907" s="34" t="n">
        <f aca="false">NORMSINV(G907)</f>
        <v>1.9658321735638</v>
      </c>
      <c r="J907" s="59" t="n">
        <f aca="false">mc_s0*EXP((mc_mu-mc_vol^2/2)*mc_t1+mc_vol*SQRT(mc_t1)*H907)</f>
        <v>1216.15128702417</v>
      </c>
      <c r="K907" s="59" t="n">
        <f aca="false">J907*EXP((mc_mu-mc_vol^2/2)*(mc_t2-mc_t1)+mc_vol*SQRT(mc_t2-mc_t1)*I907)</f>
        <v>1688.16083283897</v>
      </c>
      <c r="L907" s="31" t="n">
        <f aca="false">(t1_usd*J907+t2_usd*K907)/1000</f>
        <v>11720.5645915632</v>
      </c>
    </row>
    <row r="908" customFormat="false" ht="15" hidden="false" customHeight="false" outlineLevel="0" collapsed="false">
      <c r="E908" s="54" t="n">
        <v>904</v>
      </c>
      <c r="F908" s="61" t="n">
        <v>0.663995</v>
      </c>
      <c r="G908" s="61" t="n">
        <v>0.628153</v>
      </c>
      <c r="H908" s="34" t="n">
        <f aca="false">NORMSINV(F908)</f>
        <v>0.423391013986788</v>
      </c>
      <c r="I908" s="34" t="n">
        <f aca="false">NORMSINV(G908)</f>
        <v>0.32696547264554</v>
      </c>
      <c r="J908" s="59" t="n">
        <f aca="false">mc_s0*EXP((mc_mu-mc_vol^2/2)*mc_t1+mc_vol*SQRT(mc_t1)*H908)</f>
        <v>1193.57600196499</v>
      </c>
      <c r="K908" s="59" t="n">
        <f aca="false">J908*EXP((mc_mu-mc_vol^2/2)*(mc_t2-mc_t1)+mc_vol*SQRT(mc_t2-mc_t1)*I908)</f>
        <v>1279.70307768938</v>
      </c>
      <c r="L908" s="31" t="n">
        <f aca="false">(t1_usd*J908+t2_usd*K908)/1000</f>
        <v>10786.4678613648</v>
      </c>
    </row>
    <row r="909" customFormat="false" ht="15" hidden="false" customHeight="false" outlineLevel="0" collapsed="false">
      <c r="E909" s="54" t="n">
        <v>905</v>
      </c>
      <c r="F909" s="61" t="n">
        <v>0.784335</v>
      </c>
      <c r="G909" s="61" t="n">
        <v>0.347339</v>
      </c>
      <c r="H909" s="34" t="n">
        <f aca="false">NORMSINV(F909)</f>
        <v>0.786917777501547</v>
      </c>
      <c r="I909" s="34" t="n">
        <f aca="false">NORMSINV(G909)</f>
        <v>-0.392514635043187</v>
      </c>
      <c r="J909" s="59" t="n">
        <f aca="false">mc_s0*EXP((mc_mu-mc_vol^2/2)*mc_t1+mc_vol*SQRT(mc_t1)*H909)</f>
        <v>1235.75099136291</v>
      </c>
      <c r="K909" s="59" t="n">
        <f aca="false">J909*EXP((mc_mu-mc_vol^2/2)*(mc_t2-mc_t1)+mc_vol*SQRT(mc_t2-mc_t1)*I909)</f>
        <v>1182.89868547214</v>
      </c>
      <c r="L909" s="31" t="n">
        <f aca="false">(t1_usd*J909+t2_usd*K909)/1000</f>
        <v>10897.7644419374</v>
      </c>
    </row>
    <row r="910" customFormat="false" ht="15" hidden="false" customHeight="false" outlineLevel="0" collapsed="false">
      <c r="E910" s="54" t="n">
        <v>906</v>
      </c>
      <c r="F910" s="61" t="n">
        <v>0.789859</v>
      </c>
      <c r="G910" s="61" t="n">
        <v>0.178749</v>
      </c>
      <c r="H910" s="34" t="n">
        <f aca="false">NORMSINV(F910)</f>
        <v>0.805932102080201</v>
      </c>
      <c r="I910" s="34" t="n">
        <f aca="false">NORMSINV(G910)</f>
        <v>-0.920143069400879</v>
      </c>
      <c r="J910" s="59" t="n">
        <f aca="false">mc_s0*EXP((mc_mu-mc_vol^2/2)*mc_t1+mc_vol*SQRT(mc_t1)*H910)</f>
        <v>1237.99752323176</v>
      </c>
      <c r="K910" s="59" t="n">
        <f aca="false">J910*EXP((mc_mu-mc_vol^2/2)*(mc_t2-mc_t1)+mc_vol*SQRT(mc_t2-mc_t1)*I910)</f>
        <v>1090.49703151779</v>
      </c>
      <c r="L910" s="31" t="n">
        <f aca="false">(t1_usd*J910+t2_usd*K910)/1000</f>
        <v>10737.9270225061</v>
      </c>
    </row>
    <row r="911" customFormat="false" ht="15" hidden="false" customHeight="false" outlineLevel="0" collapsed="false">
      <c r="E911" s="54" t="n">
        <v>907</v>
      </c>
      <c r="F911" s="61" t="n">
        <v>0.19364</v>
      </c>
      <c r="G911" s="61" t="n">
        <v>0.084957</v>
      </c>
      <c r="H911" s="34" t="n">
        <f aca="false">NORMSINV(F911)</f>
        <v>-0.864560610266408</v>
      </c>
      <c r="I911" s="34" t="n">
        <f aca="false">NORMSINV(G911)</f>
        <v>-1.37248019541115</v>
      </c>
      <c r="J911" s="59" t="n">
        <f aca="false">mc_s0*EXP((mc_mu-mc_vol^2/2)*mc_t1+mc_vol*SQRT(mc_t1)*H911)</f>
        <v>1055.40578619714</v>
      </c>
      <c r="K911" s="59" t="n">
        <f aca="false">J911*EXP((mc_mu-mc_vol^2/2)*(mc_t2-mc_t1)+mc_vol*SQRT(mc_t2-mc_t1)*I911)</f>
        <v>865.695958297392</v>
      </c>
      <c r="L911" s="31" t="n">
        <f aca="false">(t1_usd*J911+t2_usd*K911)/1000</f>
        <v>9032.66282414504</v>
      </c>
    </row>
    <row r="912" customFormat="false" ht="15" hidden="false" customHeight="false" outlineLevel="0" collapsed="false">
      <c r="E912" s="54" t="n">
        <v>908</v>
      </c>
      <c r="F912" s="61" t="n">
        <v>0.790719</v>
      </c>
      <c r="G912" s="61" t="n">
        <v>0.089507</v>
      </c>
      <c r="H912" s="34" t="n">
        <f aca="false">NORMSINV(F912)</f>
        <v>0.80891854673153</v>
      </c>
      <c r="I912" s="34" t="n">
        <f aca="false">NORMSINV(G912)</f>
        <v>-1.34379712331114</v>
      </c>
      <c r="J912" s="59" t="n">
        <f aca="false">mc_s0*EXP((mc_mu-mc_vol^2/2)*mc_t1+mc_vol*SQRT(mc_t1)*H912)</f>
        <v>1238.3507409194</v>
      </c>
      <c r="K912" s="59" t="n">
        <f aca="false">J912*EXP((mc_mu-mc_vol^2/2)*(mc_t2-mc_t1)+mc_vol*SQRT(mc_t2-mc_t1)*I912)</f>
        <v>1020.35832012178</v>
      </c>
      <c r="L912" s="31" t="n">
        <f aca="false">(t1_usd*J912+t2_usd*K912)/1000</f>
        <v>10607.1359946672</v>
      </c>
    </row>
    <row r="913" customFormat="false" ht="15" hidden="false" customHeight="false" outlineLevel="0" collapsed="false">
      <c r="E913" s="54" t="n">
        <v>909</v>
      </c>
      <c r="F913" s="61" t="n">
        <v>0.092913</v>
      </c>
      <c r="G913" s="61" t="n">
        <v>0.872583</v>
      </c>
      <c r="H913" s="34" t="n">
        <f aca="false">NORMSINV(F913)</f>
        <v>-1.32302820002984</v>
      </c>
      <c r="I913" s="34" t="n">
        <f aca="false">NORMSINV(G913)</f>
        <v>1.13868634527207</v>
      </c>
      <c r="J913" s="59" t="n">
        <f aca="false">mc_s0*EXP((mc_mu-mc_vol^2/2)*mc_t1+mc_vol*SQRT(mc_t1)*H913)</f>
        <v>1010.18279206151</v>
      </c>
      <c r="K913" s="59" t="n">
        <f aca="false">J913*EXP((mc_mu-mc_vol^2/2)*(mc_t2-mc_t1)+mc_vol*SQRT(mc_t2-mc_t1)*I913)</f>
        <v>1230.87736711137</v>
      </c>
      <c r="L913" s="31" t="n">
        <f aca="false">(t1_usd*J913+t2_usd*K913)/1000</f>
        <v>9409.94654194215</v>
      </c>
    </row>
    <row r="914" customFormat="false" ht="15" hidden="false" customHeight="false" outlineLevel="0" collapsed="false">
      <c r="E914" s="54" t="n">
        <v>910</v>
      </c>
      <c r="F914" s="61" t="n">
        <v>0.633395</v>
      </c>
      <c r="G914" s="61" t="n">
        <v>0.308784</v>
      </c>
      <c r="H914" s="34" t="n">
        <f aca="false">NORMSINV(F914)</f>
        <v>0.34085864351626</v>
      </c>
      <c r="I914" s="34" t="n">
        <f aca="false">NORMSINV(G914)</f>
        <v>-0.499300078275203</v>
      </c>
      <c r="J914" s="59" t="n">
        <f aca="false">mc_s0*EXP((mc_mu-mc_vol^2/2)*mc_t1+mc_vol*SQRT(mc_t1)*H914)</f>
        <v>1184.2031912684</v>
      </c>
      <c r="K914" s="59" t="n">
        <f aca="false">J914*EXP((mc_mu-mc_vol^2/2)*(mc_t2-mc_t1)+mc_vol*SQRT(mc_t2-mc_t1)*I914)</f>
        <v>1114.63894932536</v>
      </c>
      <c r="L914" s="31" t="n">
        <f aca="false">(t1_usd*J914+t2_usd*K914)/1000</f>
        <v>10407.236342597</v>
      </c>
    </row>
    <row r="915" customFormat="false" ht="15" hidden="false" customHeight="false" outlineLevel="0" collapsed="false">
      <c r="E915" s="54" t="n">
        <v>911</v>
      </c>
      <c r="F915" s="61" t="n">
        <v>0.797277</v>
      </c>
      <c r="G915" s="61" t="n">
        <v>0.513937</v>
      </c>
      <c r="H915" s="34" t="n">
        <f aca="false">NORMSINV(F915)</f>
        <v>0.831934352952056</v>
      </c>
      <c r="I915" s="34" t="n">
        <f aca="false">NORMSINV(G915)</f>
        <v>0.0349419873209511</v>
      </c>
      <c r="J915" s="59" t="n">
        <f aca="false">mc_s0*EXP((mc_mu-mc_vol^2/2)*mc_t1+mc_vol*SQRT(mc_t1)*H915)</f>
        <v>1241.07628745955</v>
      </c>
      <c r="K915" s="59" t="n">
        <f aca="false">J915*EXP((mc_mu-mc_vol^2/2)*(mc_t2-mc_t1)+mc_vol*SQRT(mc_t2-mc_t1)*I915)</f>
        <v>1270.78179463226</v>
      </c>
      <c r="L915" s="31" t="n">
        <f aca="false">(t1_usd*J915+t2_usd*K915)/1000</f>
        <v>11102.0194220181</v>
      </c>
    </row>
    <row r="916" customFormat="false" ht="15" hidden="false" customHeight="false" outlineLevel="0" collapsed="false">
      <c r="E916" s="54" t="n">
        <v>912</v>
      </c>
      <c r="F916" s="61" t="n">
        <v>0.929108</v>
      </c>
      <c r="G916" s="61" t="n">
        <v>0.679887</v>
      </c>
      <c r="H916" s="34" t="n">
        <f aca="false">NORMSINV(F916)</f>
        <v>1.46917990221459</v>
      </c>
      <c r="I916" s="34" t="n">
        <f aca="false">NORMSINV(G916)</f>
        <v>0.467382836605759</v>
      </c>
      <c r="J916" s="59" t="n">
        <f aca="false">mc_s0*EXP((mc_mu-mc_vol^2/2)*mc_t1+mc_vol*SQRT(mc_t1)*H916)</f>
        <v>1318.96896549055</v>
      </c>
      <c r="K916" s="59" t="n">
        <f aca="false">J916*EXP((mc_mu-mc_vol^2/2)*(mc_t2-mc_t1)+mc_vol*SQRT(mc_t2-mc_t1)*I916)</f>
        <v>1445.78641021353</v>
      </c>
      <c r="L916" s="31" t="n">
        <f aca="false">(t1_usd*J916+t2_usd*K916)/1000</f>
        <v>11979.7769378396</v>
      </c>
    </row>
    <row r="917" customFormat="false" ht="15" hidden="false" customHeight="false" outlineLevel="0" collapsed="false">
      <c r="E917" s="54" t="n">
        <v>913</v>
      </c>
      <c r="F917" s="61" t="n">
        <v>0.108783</v>
      </c>
      <c r="G917" s="61" t="n">
        <v>0.854572</v>
      </c>
      <c r="H917" s="34" t="n">
        <f aca="false">NORMSINV(F917)</f>
        <v>-1.23302617151848</v>
      </c>
      <c r="I917" s="34" t="n">
        <f aca="false">NORMSINV(G917)</f>
        <v>1.05624564920247</v>
      </c>
      <c r="J917" s="59" t="n">
        <f aca="false">mc_s0*EXP((mc_mu-mc_vol^2/2)*mc_t1+mc_vol*SQRT(mc_t1)*H917)</f>
        <v>1018.90500561548</v>
      </c>
      <c r="K917" s="59" t="n">
        <f aca="false">J917*EXP((mc_mu-mc_vol^2/2)*(mc_t2-mc_t1)+mc_vol*SQRT(mc_t2-mc_t1)*I917)</f>
        <v>1225.47969939908</v>
      </c>
      <c r="L917" s="31" t="n">
        <f aca="false">(t1_usd*J917+t2_usd*K917)/1000</f>
        <v>9460.7464681666</v>
      </c>
    </row>
    <row r="918" customFormat="false" ht="15" hidden="false" customHeight="false" outlineLevel="0" collapsed="false">
      <c r="E918" s="54" t="n">
        <v>914</v>
      </c>
      <c r="F918" s="61" t="n">
        <v>0.636591</v>
      </c>
      <c r="G918" s="61" t="n">
        <v>0.287827</v>
      </c>
      <c r="H918" s="34" t="n">
        <f aca="false">NORMSINV(F918)</f>
        <v>0.349361410858105</v>
      </c>
      <c r="I918" s="34" t="n">
        <f aca="false">NORMSINV(G918)</f>
        <v>-0.559744096244482</v>
      </c>
      <c r="J918" s="59" t="n">
        <f aca="false">mc_s0*EXP((mc_mu-mc_vol^2/2)*mc_t1+mc_vol*SQRT(mc_t1)*H918)</f>
        <v>1185.16539968749</v>
      </c>
      <c r="K918" s="59" t="n">
        <f aca="false">J918*EXP((mc_mu-mc_vol^2/2)*(mc_t2-mc_t1)+mc_vol*SQRT(mc_t2-mc_t1)*I918)</f>
        <v>1104.96888997195</v>
      </c>
      <c r="L918" s="31" t="n">
        <f aca="false">(t1_usd*J918+t2_usd*K918)/1000</f>
        <v>10395.5986887591</v>
      </c>
    </row>
    <row r="919" customFormat="false" ht="15" hidden="false" customHeight="false" outlineLevel="0" collapsed="false">
      <c r="E919" s="54" t="n">
        <v>915</v>
      </c>
      <c r="F919" s="61" t="n">
        <v>0.182213</v>
      </c>
      <c r="G919" s="61" t="n">
        <v>0.097712</v>
      </c>
      <c r="H919" s="34" t="n">
        <f aca="false">NORMSINV(F919)</f>
        <v>-0.906963687794247</v>
      </c>
      <c r="I919" s="34" t="n">
        <f aca="false">NORMSINV(G919)</f>
        <v>-1.2946992464912</v>
      </c>
      <c r="J919" s="59" t="n">
        <f aca="false">mc_s0*EXP((mc_mu-mc_vol^2/2)*mc_t1+mc_vol*SQRT(mc_t1)*H919)</f>
        <v>1051.13956027538</v>
      </c>
      <c r="K919" s="59" t="n">
        <f aca="false">J919*EXP((mc_mu-mc_vol^2/2)*(mc_t2-mc_t1)+mc_vol*SQRT(mc_t2-mc_t1)*I919)</f>
        <v>872.830217102843</v>
      </c>
      <c r="L919" s="31" t="n">
        <f aca="false">(t1_usd*J919+t2_usd*K919)/1000</f>
        <v>9016.35433442305</v>
      </c>
    </row>
    <row r="920" customFormat="false" ht="15" hidden="false" customHeight="false" outlineLevel="0" collapsed="false">
      <c r="E920" s="54" t="n">
        <v>916</v>
      </c>
      <c r="F920" s="61" t="n">
        <v>0.281374</v>
      </c>
      <c r="G920" s="61" t="n">
        <v>0.327766</v>
      </c>
      <c r="H920" s="34" t="n">
        <f aca="false">NORMSINV(F920)</f>
        <v>-0.578764630132217</v>
      </c>
      <c r="I920" s="34" t="n">
        <f aca="false">NORMSINV(G920)</f>
        <v>-0.446090326700899</v>
      </c>
      <c r="J920" s="59" t="n">
        <f aca="false">mc_s0*EXP((mc_mu-mc_vol^2/2)*mc_t1+mc_vol*SQRT(mc_t1)*H920)</f>
        <v>1084.61524014823</v>
      </c>
      <c r="K920" s="59" t="n">
        <f aca="false">J920*EXP((mc_mu-mc_vol^2/2)*(mc_t2-mc_t1)+mc_vol*SQRT(mc_t2-mc_t1)*I920)</f>
        <v>1029.497898221</v>
      </c>
      <c r="L920" s="31" t="n">
        <f aca="false">(t1_usd*J920+t2_usd*K920)/1000</f>
        <v>9548.35268765753</v>
      </c>
    </row>
    <row r="921" customFormat="false" ht="15" hidden="false" customHeight="false" outlineLevel="0" collapsed="false">
      <c r="E921" s="54" t="n">
        <v>917</v>
      </c>
      <c r="F921" s="61" t="n">
        <v>0.939545</v>
      </c>
      <c r="G921" s="61" t="n">
        <v>0.315209</v>
      </c>
      <c r="H921" s="34" t="n">
        <f aca="false">NORMSINV(F921)</f>
        <v>1.55096529960553</v>
      </c>
      <c r="I921" s="34" t="n">
        <f aca="false">NORMSINV(G921)</f>
        <v>-0.481138593995479</v>
      </c>
      <c r="J921" s="59" t="n">
        <f aca="false">mc_s0*EXP((mc_mu-mc_vol^2/2)*mc_t1+mc_vol*SQRT(mc_t1)*H921)</f>
        <v>1329.31357569016</v>
      </c>
      <c r="K921" s="59" t="n">
        <f aca="false">J921*EXP((mc_mu-mc_vol^2/2)*(mc_t2-mc_t1)+mc_vol*SQRT(mc_t2-mc_t1)*I921)</f>
        <v>1254.81133566406</v>
      </c>
      <c r="L921" s="31" t="n">
        <f aca="false">(t1_usd*J921+t2_usd*K921)/1000</f>
        <v>11689.3365675929</v>
      </c>
    </row>
    <row r="922" customFormat="false" ht="15" hidden="false" customHeight="false" outlineLevel="0" collapsed="false">
      <c r="E922" s="54" t="n">
        <v>918</v>
      </c>
      <c r="F922" s="61" t="n">
        <v>0.810783</v>
      </c>
      <c r="G922" s="61" t="n">
        <v>0.9447</v>
      </c>
      <c r="H922" s="34" t="n">
        <f aca="false">NORMSINV(F922)</f>
        <v>0.880785369464825</v>
      </c>
      <c r="I922" s="34" t="n">
        <f aca="false">NORMSINV(G922)</f>
        <v>1.59550210345169</v>
      </c>
      <c r="J922" s="59" t="n">
        <f aca="false">mc_s0*EXP((mc_mu-mc_vol^2/2)*mc_t1+mc_vol*SQRT(mc_t1)*H922)</f>
        <v>1246.88115103194</v>
      </c>
      <c r="K922" s="59" t="n">
        <f aca="false">J922*EXP((mc_mu-mc_vol^2/2)*(mc_t2-mc_t1)+mc_vol*SQRT(mc_t2-mc_t1)*I922)</f>
        <v>1632.69550984411</v>
      </c>
      <c r="L922" s="31" t="n">
        <f aca="false">(t1_usd*J922+t2_usd*K922)/1000</f>
        <v>11830.2895259274</v>
      </c>
    </row>
    <row r="923" customFormat="false" ht="15" hidden="false" customHeight="false" outlineLevel="0" collapsed="false">
      <c r="E923" s="54" t="n">
        <v>919</v>
      </c>
      <c r="F923" s="61" t="n">
        <v>0.612653</v>
      </c>
      <c r="G923" s="61" t="n">
        <v>0.026219</v>
      </c>
      <c r="H923" s="34" t="n">
        <f aca="false">NORMSINV(F923)</f>
        <v>0.286240403773719</v>
      </c>
      <c r="I923" s="34" t="n">
        <f aca="false">NORMSINV(G923)</f>
        <v>-1.93952042427147</v>
      </c>
      <c r="J923" s="59" t="n">
        <f aca="false">mc_s0*EXP((mc_mu-mc_vol^2/2)*mc_t1+mc_vol*SQRT(mc_t1)*H923)</f>
        <v>1178.04096343981</v>
      </c>
      <c r="K923" s="59" t="n">
        <f aca="false">J923*EXP((mc_mu-mc_vol^2/2)*(mc_t2-mc_t1)+mc_vol*SQRT(mc_t2-mc_t1)*I923)</f>
        <v>883.684068029075</v>
      </c>
      <c r="L923" s="31" t="n">
        <f aca="false">(t1_usd*J923+t2_usd*K923)/1000</f>
        <v>9925.28647333391</v>
      </c>
    </row>
    <row r="924" customFormat="false" ht="15" hidden="false" customHeight="false" outlineLevel="0" collapsed="false">
      <c r="E924" s="54" t="n">
        <v>920</v>
      </c>
      <c r="F924" s="61" t="n">
        <v>0.824779</v>
      </c>
      <c r="G924" s="61" t="n">
        <v>0.284226</v>
      </c>
      <c r="H924" s="34" t="n">
        <f aca="false">NORMSINV(F924)</f>
        <v>0.933732298344917</v>
      </c>
      <c r="I924" s="34" t="n">
        <f aca="false">NORMSINV(G924)</f>
        <v>-0.57033279758419</v>
      </c>
      <c r="J924" s="59" t="n">
        <f aca="false">mc_s0*EXP((mc_mu-mc_vol^2/2)*mc_t1+mc_vol*SQRT(mc_t1)*H924)</f>
        <v>1253.2033883909</v>
      </c>
      <c r="K924" s="59" t="n">
        <f aca="false">J924*EXP((mc_mu-mc_vol^2/2)*(mc_t2-mc_t1)+mc_vol*SQRT(mc_t2-mc_t1)*I924)</f>
        <v>1166.45485982411</v>
      </c>
      <c r="L924" s="31" t="n">
        <f aca="false">(t1_usd*J924+t2_usd*K924)/1000</f>
        <v>10988.6879524021</v>
      </c>
    </row>
    <row r="925" customFormat="false" ht="15" hidden="false" customHeight="false" outlineLevel="0" collapsed="false">
      <c r="E925" s="54" t="n">
        <v>921</v>
      </c>
      <c r="F925" s="61" t="n">
        <v>0.800298</v>
      </c>
      <c r="G925" s="61" t="n">
        <v>0.263731</v>
      </c>
      <c r="H925" s="34" t="n">
        <f aca="false">NORMSINV(F925)</f>
        <v>0.842686141318032</v>
      </c>
      <c r="I925" s="34" t="n">
        <f aca="false">NORMSINV(G925)</f>
        <v>-0.63188503924397</v>
      </c>
      <c r="J925" s="59" t="n">
        <f aca="false">mc_s0*EXP((mc_mu-mc_vol^2/2)*mc_t1+mc_vol*SQRT(mc_t1)*H925)</f>
        <v>1242.35157604416</v>
      </c>
      <c r="K925" s="59" t="n">
        <f aca="false">J925*EXP((mc_mu-mc_vol^2/2)*(mc_t2-mc_t1)+mc_vol*SQRT(mc_t2-mc_t1)*I925)</f>
        <v>1145.19156880437</v>
      </c>
      <c r="L925" s="31" t="n">
        <f aca="false">(t1_usd*J925+t2_usd*K925)/1000</f>
        <v>10872.3250130375</v>
      </c>
    </row>
    <row r="926" customFormat="false" ht="15" hidden="false" customHeight="false" outlineLevel="0" collapsed="false">
      <c r="E926" s="54" t="n">
        <v>922</v>
      </c>
      <c r="F926" s="61" t="n">
        <v>0.984043</v>
      </c>
      <c r="G926" s="61" t="n">
        <v>0.087135</v>
      </c>
      <c r="H926" s="34" t="n">
        <f aca="false">NORMSINV(F926)</f>
        <v>2.14548612014045</v>
      </c>
      <c r="I926" s="34" t="n">
        <f aca="false">NORMSINV(G926)</f>
        <v>-1.35861064561844</v>
      </c>
      <c r="J926" s="59" t="n">
        <f aca="false">mc_s0*EXP((mc_mu-mc_vol^2/2)*mc_t1+mc_vol*SQRT(mc_t1)*H926)</f>
        <v>1406.99030841871</v>
      </c>
      <c r="K926" s="59" t="n">
        <f aca="false">J926*EXP((mc_mu-mc_vol^2/2)*(mc_t2-mc_t1)+mc_vol*SQRT(mc_t2-mc_t1)*I926)</f>
        <v>1156.60824201653</v>
      </c>
      <c r="L926" s="31" t="n">
        <f aca="false">(t1_usd*J926+t2_usd*K926)/1000</f>
        <v>12046.4878187624</v>
      </c>
    </row>
    <row r="927" customFormat="false" ht="15" hidden="false" customHeight="false" outlineLevel="0" collapsed="false">
      <c r="E927" s="54" t="n">
        <v>923</v>
      </c>
      <c r="F927" s="61" t="n">
        <v>0.979727</v>
      </c>
      <c r="G927" s="61" t="n">
        <v>0.445362</v>
      </c>
      <c r="H927" s="34" t="n">
        <f aca="false">NORMSINV(F927)</f>
        <v>2.0481428941208</v>
      </c>
      <c r="I927" s="34" t="n">
        <f aca="false">NORMSINV(G927)</f>
        <v>-0.137388146405108</v>
      </c>
      <c r="J927" s="59" t="n">
        <f aca="false">mc_s0*EXP((mc_mu-mc_vol^2/2)*mc_t1+mc_vol*SQRT(mc_t1)*H927)</f>
        <v>1393.96807380887</v>
      </c>
      <c r="K927" s="59" t="n">
        <f aca="false">J927*EXP((mc_mu-mc_vol^2/2)*(mc_t2-mc_t1)+mc_vol*SQRT(mc_t2-mc_t1)*I927)</f>
        <v>1389.09113407013</v>
      </c>
      <c r="L927" s="31" t="n">
        <f aca="false">(t1_usd*J927+t2_usd*K927)/1000</f>
        <v>12397.0496713954</v>
      </c>
    </row>
    <row r="928" customFormat="false" ht="15" hidden="false" customHeight="false" outlineLevel="0" collapsed="false">
      <c r="E928" s="54" t="n">
        <v>924</v>
      </c>
      <c r="F928" s="61" t="n">
        <v>0.252892</v>
      </c>
      <c r="G928" s="61" t="n">
        <v>0.038515</v>
      </c>
      <c r="H928" s="34" t="n">
        <f aca="false">NORMSINV(F928)</f>
        <v>-0.66541671006535</v>
      </c>
      <c r="I928" s="34" t="n">
        <f aca="false">NORMSINV(G928)</f>
        <v>-1.7681848863664</v>
      </c>
      <c r="J928" s="59" t="n">
        <f aca="false">mc_s0*EXP((mc_mu-mc_vol^2/2)*mc_t1+mc_vol*SQRT(mc_t1)*H928)</f>
        <v>1075.6746784482</v>
      </c>
      <c r="K928" s="59" t="n">
        <f aca="false">J928*EXP((mc_mu-mc_vol^2/2)*(mc_t2-mc_t1)+mc_vol*SQRT(mc_t2-mc_t1)*I928)</f>
        <v>828.980091228612</v>
      </c>
      <c r="L928" s="31" t="n">
        <f aca="false">(t1_usd*J928+t2_usd*K928)/1000</f>
        <v>9104.78492247174</v>
      </c>
    </row>
    <row r="929" customFormat="false" ht="15" hidden="false" customHeight="false" outlineLevel="0" collapsed="false">
      <c r="E929" s="54" t="n">
        <v>925</v>
      </c>
      <c r="F929" s="61" t="n">
        <v>0.348269</v>
      </c>
      <c r="G929" s="61" t="n">
        <v>0.639083</v>
      </c>
      <c r="H929" s="34" t="n">
        <f aca="false">NORMSINV(F929)</f>
        <v>-0.38999803494373</v>
      </c>
      <c r="I929" s="34" t="n">
        <f aca="false">NORMSINV(G929)</f>
        <v>0.356008766529238</v>
      </c>
      <c r="J929" s="59" t="n">
        <f aca="false">mc_s0*EXP((mc_mu-mc_vol^2/2)*mc_t1+mc_vol*SQRT(mc_t1)*H929)</f>
        <v>1104.3498463229</v>
      </c>
      <c r="K929" s="59" t="n">
        <f aca="false">J929*EXP((mc_mu-mc_vol^2/2)*(mc_t2-mc_t1)+mc_vol*SQRT(mc_t2-mc_t1)*I929)</f>
        <v>1189.4702605799</v>
      </c>
      <c r="L929" s="31" t="n">
        <f aca="false">(t1_usd*J929+t2_usd*K929)/1000</f>
        <v>9990.44241936212</v>
      </c>
    </row>
    <row r="930" customFormat="false" ht="15" hidden="false" customHeight="false" outlineLevel="0" collapsed="false">
      <c r="E930" s="54" t="n">
        <v>926</v>
      </c>
      <c r="F930" s="61" t="n">
        <v>0.103164</v>
      </c>
      <c r="G930" s="61" t="n">
        <v>0.651861</v>
      </c>
      <c r="H930" s="34" t="n">
        <f aca="false">NORMSINV(F930)</f>
        <v>-1.26372708529706</v>
      </c>
      <c r="I930" s="34" t="n">
        <f aca="false">NORMSINV(G930)</f>
        <v>0.390349668923849</v>
      </c>
      <c r="J930" s="59" t="n">
        <f aca="false">mc_s0*EXP((mc_mu-mc_vol^2/2)*mc_t1+mc_vol*SQRT(mc_t1)*H930)</f>
        <v>1015.92130949392</v>
      </c>
      <c r="K930" s="59" t="n">
        <f aca="false">J930*EXP((mc_mu-mc_vol^2/2)*(mc_t2-mc_t1)+mc_vol*SQRT(mc_t2-mc_t1)*I930)</f>
        <v>1100.16376823507</v>
      </c>
      <c r="L930" s="31" t="n">
        <f aca="false">(t1_usd*J930+t2_usd*K930)/1000</f>
        <v>9201.76032610406</v>
      </c>
    </row>
    <row r="931" customFormat="false" ht="15" hidden="false" customHeight="false" outlineLevel="0" collapsed="false">
      <c r="E931" s="54" t="n">
        <v>927</v>
      </c>
      <c r="F931" s="61" t="n">
        <v>0.091475</v>
      </c>
      <c r="G931" s="61" t="n">
        <v>0.23025</v>
      </c>
      <c r="H931" s="34" t="n">
        <f aca="false">NORMSINV(F931)</f>
        <v>-1.3317267371328</v>
      </c>
      <c r="I931" s="34" t="n">
        <f aca="false">NORMSINV(G931)</f>
        <v>-0.738023777894388</v>
      </c>
      <c r="J931" s="59" t="n">
        <f aca="false">mc_s0*EXP((mc_mu-mc_vol^2/2)*mc_t1+mc_vol*SQRT(mc_t1)*H931)</f>
        <v>1009.34377263002</v>
      </c>
      <c r="K931" s="59" t="n">
        <f aca="false">J931*EXP((mc_mu-mc_vol^2/2)*(mc_t2-mc_t1)+mc_vol*SQRT(mc_t2-mc_t1)*I931)</f>
        <v>914.973260428846</v>
      </c>
      <c r="L931" s="31" t="n">
        <f aca="false">(t1_usd*J931+t2_usd*K931)/1000</f>
        <v>8803.85560322497</v>
      </c>
    </row>
    <row r="932" customFormat="false" ht="15" hidden="false" customHeight="false" outlineLevel="0" collapsed="false">
      <c r="E932" s="54" t="n">
        <v>928</v>
      </c>
      <c r="F932" s="61" t="n">
        <v>0.643456</v>
      </c>
      <c r="G932" s="61" t="n">
        <v>0.610386</v>
      </c>
      <c r="H932" s="34" t="n">
        <f aca="false">NORMSINV(F932)</f>
        <v>0.367711989035259</v>
      </c>
      <c r="I932" s="34" t="n">
        <f aca="false">NORMSINV(G932)</f>
        <v>0.280325224401152</v>
      </c>
      <c r="J932" s="59" t="n">
        <f aca="false">mc_s0*EXP((mc_mu-mc_vol^2/2)*mc_t1+mc_vol*SQRT(mc_t1)*H932)</f>
        <v>1187.24469252471</v>
      </c>
      <c r="K932" s="59" t="n">
        <f aca="false">J932*EXP((mc_mu-mc_vol^2/2)*(mc_t2-mc_t1)+mc_vol*SQRT(mc_t2-mc_t1)*I932)</f>
        <v>1263.59304763944</v>
      </c>
      <c r="L932" s="31" t="n">
        <f aca="false">(t1_usd*J932+t2_usd*K932)/1000</f>
        <v>10711.5396381879</v>
      </c>
    </row>
    <row r="933" customFormat="false" ht="15" hidden="false" customHeight="false" outlineLevel="0" collapsed="false">
      <c r="E933" s="54" t="n">
        <v>929</v>
      </c>
      <c r="F933" s="61" t="n">
        <v>0.667508</v>
      </c>
      <c r="G933" s="61" t="n">
        <v>0.430268</v>
      </c>
      <c r="H933" s="34" t="n">
        <f aca="false">NORMSINV(F933)</f>
        <v>0.433042354706184</v>
      </c>
      <c r="I933" s="34" t="n">
        <f aca="false">NORMSINV(G933)</f>
        <v>-0.175691898961295</v>
      </c>
      <c r="J933" s="59" t="n">
        <f aca="false">mc_s0*EXP((mc_mu-mc_vol^2/2)*mc_t1+mc_vol*SQRT(mc_t1)*H933)</f>
        <v>1194.67689261529</v>
      </c>
      <c r="K933" s="59" t="n">
        <f aca="false">J933*EXP((mc_mu-mc_vol^2/2)*(mc_t2-mc_t1)+mc_vol*SQRT(mc_t2-mc_t1)*I933)</f>
        <v>1183.33250943763</v>
      </c>
      <c r="L933" s="31" t="n">
        <f aca="false">(t1_usd*J933+t2_usd*K933)/1000</f>
        <v>10611.0700162385</v>
      </c>
    </row>
    <row r="934" customFormat="false" ht="15" hidden="false" customHeight="false" outlineLevel="0" collapsed="false">
      <c r="E934" s="54" t="n">
        <v>930</v>
      </c>
      <c r="F934" s="61" t="n">
        <v>0.169233</v>
      </c>
      <c r="G934" s="61" t="n">
        <v>0.452898</v>
      </c>
      <c r="H934" s="34" t="n">
        <f aca="false">NORMSINV(F934)</f>
        <v>-0.957200628313444</v>
      </c>
      <c r="I934" s="34" t="n">
        <f aca="false">NORMSINV(G934)</f>
        <v>-0.118342858248992</v>
      </c>
      <c r="J934" s="59" t="n">
        <f aca="false">mc_s0*EXP((mc_mu-mc_vol^2/2)*mc_t1+mc_vol*SQRT(mc_t1)*H934)</f>
        <v>1046.10747269174</v>
      </c>
      <c r="K934" s="59" t="n">
        <f aca="false">J934*EXP((mc_mu-mc_vol^2/2)*(mc_t2-mc_t1)+mc_vol*SQRT(mc_t2-mc_t1)*I934)</f>
        <v>1045.58106925718</v>
      </c>
      <c r="L934" s="31" t="n">
        <f aca="false">(t1_usd*J934+t2_usd*K934)/1000</f>
        <v>9309.35634043083</v>
      </c>
    </row>
    <row r="935" customFormat="false" ht="15" hidden="false" customHeight="false" outlineLevel="0" collapsed="false">
      <c r="E935" s="54" t="n">
        <v>931</v>
      </c>
      <c r="F935" s="61" t="n">
        <v>0.249997</v>
      </c>
      <c r="G935" s="61" t="n">
        <v>0.536815</v>
      </c>
      <c r="H935" s="34" t="n">
        <f aca="false">NORMSINV(F935)</f>
        <v>-0.674499190821381</v>
      </c>
      <c r="I935" s="34" t="n">
        <f aca="false">NORMSINV(G935)</f>
        <v>0.0924128881301721</v>
      </c>
      <c r="J935" s="59" t="n">
        <f aca="false">mc_s0*EXP((mc_mu-mc_vol^2/2)*mc_t1+mc_vol*SQRT(mc_t1)*H935)</f>
        <v>1074.74184673659</v>
      </c>
      <c r="K935" s="59" t="n">
        <f aca="false">J935*EXP((mc_mu-mc_vol^2/2)*(mc_t2-mc_t1)+mc_vol*SQRT(mc_t2-mc_t1)*I935)</f>
        <v>1110.47831151865</v>
      </c>
      <c r="L935" s="31" t="n">
        <f aca="false">(t1_usd*J935+t2_usd*K935)/1000</f>
        <v>9633.10171904157</v>
      </c>
    </row>
    <row r="936" customFormat="false" ht="15" hidden="false" customHeight="false" outlineLevel="0" collapsed="false">
      <c r="E936" s="54" t="n">
        <v>932</v>
      </c>
      <c r="F936" s="61" t="n">
        <v>0.931732</v>
      </c>
      <c r="G936" s="61" t="n">
        <v>0.682868</v>
      </c>
      <c r="H936" s="34" t="n">
        <f aca="false">NORMSINV(F936)</f>
        <v>1.488815346513</v>
      </c>
      <c r="I936" s="34" t="n">
        <f aca="false">NORMSINV(G936)</f>
        <v>0.475733852903885</v>
      </c>
      <c r="J936" s="59" t="n">
        <f aca="false">mc_s0*EXP((mc_mu-mc_vol^2/2)*mc_t1+mc_vol*SQRT(mc_t1)*H936)</f>
        <v>1321.44518368475</v>
      </c>
      <c r="K936" s="59" t="n">
        <f aca="false">J936*EXP((mc_mu-mc_vol^2/2)*(mc_t2-mc_t1)+mc_vol*SQRT(mc_t2-mc_t1)*I936)</f>
        <v>1450.40828782603</v>
      </c>
      <c r="L936" s="31" t="n">
        <f aca="false">(t1_usd*J936+t2_usd*K936)/1000</f>
        <v>12005.8920326627</v>
      </c>
    </row>
    <row r="937" customFormat="false" ht="15" hidden="false" customHeight="false" outlineLevel="0" collapsed="false">
      <c r="E937" s="54" t="n">
        <v>933</v>
      </c>
      <c r="F937" s="61" t="n">
        <v>0.68238</v>
      </c>
      <c r="G937" s="61" t="n">
        <v>0.018418</v>
      </c>
      <c r="H937" s="34" t="n">
        <f aca="false">NORMSINV(F937)</f>
        <v>0.474364505085109</v>
      </c>
      <c r="I937" s="34" t="n">
        <f aca="false">NORMSINV(G937)</f>
        <v>-2.08757709439884</v>
      </c>
      <c r="J937" s="59" t="n">
        <f aca="false">mc_s0*EXP((mc_mu-mc_vol^2/2)*mc_t1+mc_vol*SQRT(mc_t1)*H937)</f>
        <v>1199.40184060546</v>
      </c>
      <c r="K937" s="59" t="n">
        <f aca="false">J937*EXP((mc_mu-mc_vol^2/2)*(mc_t2-mc_t1)+mc_vol*SQRT(mc_t2-mc_t1)*I937)</f>
        <v>878.957893102119</v>
      </c>
      <c r="L937" s="31" t="n">
        <f aca="false">(t1_usd*J937+t2_usd*K937)/1000</f>
        <v>10065.8328811323</v>
      </c>
    </row>
    <row r="938" customFormat="false" ht="15" hidden="false" customHeight="false" outlineLevel="0" collapsed="false">
      <c r="E938" s="54" t="n">
        <v>934</v>
      </c>
      <c r="F938" s="61" t="n">
        <v>0.622687</v>
      </c>
      <c r="G938" s="61" t="n">
        <v>0.164953</v>
      </c>
      <c r="H938" s="34" t="n">
        <f aca="false">NORMSINV(F938)</f>
        <v>0.31254548633985</v>
      </c>
      <c r="I938" s="34" t="n">
        <f aca="false">NORMSINV(G938)</f>
        <v>-0.974303232765434</v>
      </c>
      <c r="J938" s="59" t="n">
        <f aca="false">mc_s0*EXP((mc_mu-mc_vol^2/2)*mc_t1+mc_vol*SQRT(mc_t1)*H938)</f>
        <v>1181.00478503125</v>
      </c>
      <c r="K938" s="59" t="n">
        <f aca="false">J938*EXP((mc_mu-mc_vol^2/2)*(mc_t2-mc_t1)+mc_vol*SQRT(mc_t2-mc_t1)*I938)</f>
        <v>1031.45324608108</v>
      </c>
      <c r="L938" s="31" t="n">
        <f aca="false">(t1_usd*J938+t2_usd*K938)/1000</f>
        <v>10226.7946627728</v>
      </c>
    </row>
    <row r="939" customFormat="false" ht="15" hidden="false" customHeight="false" outlineLevel="0" collapsed="false">
      <c r="E939" s="54" t="n">
        <v>935</v>
      </c>
      <c r="F939" s="61" t="n">
        <v>0.975028</v>
      </c>
      <c r="G939" s="61" t="n">
        <v>0.145646</v>
      </c>
      <c r="H939" s="34" t="n">
        <f aca="false">NORMSINV(F939)</f>
        <v>1.96044329195091</v>
      </c>
      <c r="I939" s="34" t="n">
        <f aca="false">NORMSINV(G939)</f>
        <v>-1.05529155991021</v>
      </c>
      <c r="J939" s="59" t="n">
        <f aca="false">mc_s0*EXP((mc_mu-mc_vol^2/2)*mc_t1+mc_vol*SQRT(mc_t1)*H939)</f>
        <v>1382.33916773075</v>
      </c>
      <c r="K939" s="59" t="n">
        <f aca="false">J939*EXP((mc_mu-mc_vol^2/2)*(mc_t2-mc_t1)+mc_vol*SQRT(mc_t2-mc_t1)*I939)</f>
        <v>1191.98149139959</v>
      </c>
      <c r="L939" s="31" t="n">
        <f aca="false">(t1_usd*J939+t2_usd*K939)/1000</f>
        <v>11941.1390077745</v>
      </c>
    </row>
    <row r="940" customFormat="false" ht="15" hidden="false" customHeight="false" outlineLevel="0" collapsed="false">
      <c r="E940" s="54" t="n">
        <v>936</v>
      </c>
      <c r="F940" s="61" t="n">
        <v>0.309564</v>
      </c>
      <c r="G940" s="61" t="n">
        <v>0.786042</v>
      </c>
      <c r="H940" s="34" t="n">
        <f aca="false">NORMSINV(F940)</f>
        <v>-0.497086576836412</v>
      </c>
      <c r="I940" s="34" t="n">
        <f aca="false">NORMSINV(G940)</f>
        <v>0.792762858054121</v>
      </c>
      <c r="J940" s="59" t="n">
        <f aca="false">mc_s0*EXP((mc_mu-mc_vol^2/2)*mc_t1+mc_vol*SQRT(mc_t1)*H940)</f>
        <v>1093.11061676037</v>
      </c>
      <c r="K940" s="59" t="n">
        <f aca="false">J940*EXP((mc_mu-mc_vol^2/2)*(mc_t2-mc_t1)+mc_vol*SQRT(mc_t2-mc_t1)*I940)</f>
        <v>1261.25611966935</v>
      </c>
      <c r="L940" s="31" t="n">
        <f aca="false">(t1_usd*J940+t2_usd*K940)/1000</f>
        <v>10048.1609446943</v>
      </c>
    </row>
    <row r="941" customFormat="false" ht="15" hidden="false" customHeight="false" outlineLevel="0" collapsed="false">
      <c r="E941" s="54" t="n">
        <v>937</v>
      </c>
      <c r="F941" s="61" t="n">
        <v>0.221819</v>
      </c>
      <c r="G941" s="61" t="n">
        <v>0.217588</v>
      </c>
      <c r="H941" s="34" t="n">
        <f aca="false">NORMSINV(F941)</f>
        <v>-0.766064373428909</v>
      </c>
      <c r="I941" s="34" t="n">
        <f aca="false">NORMSINV(G941)</f>
        <v>-0.780365107205799</v>
      </c>
      <c r="J941" s="59" t="n">
        <f aca="false">mc_s0*EXP((mc_mu-mc_vol^2/2)*mc_t1+mc_vol*SQRT(mc_t1)*H941)</f>
        <v>1065.38255747078</v>
      </c>
      <c r="K941" s="59" t="n">
        <f aca="false">J941*EXP((mc_mu-mc_vol^2/2)*(mc_t2-mc_t1)+mc_vol*SQRT(mc_t2-mc_t1)*I941)</f>
        <v>959.349729329479</v>
      </c>
      <c r="L941" s="31" t="n">
        <f aca="false">(t1_usd*J941+t2_usd*K941)/1000</f>
        <v>9280.4423880215</v>
      </c>
    </row>
    <row r="942" customFormat="false" ht="15" hidden="false" customHeight="false" outlineLevel="0" collapsed="false">
      <c r="E942" s="54" t="n">
        <v>938</v>
      </c>
      <c r="F942" s="61" t="n">
        <v>0.115545</v>
      </c>
      <c r="G942" s="61" t="n">
        <v>0.462659</v>
      </c>
      <c r="H942" s="34" t="n">
        <f aca="false">NORMSINV(F942)</f>
        <v>-1.19755577965878</v>
      </c>
      <c r="I942" s="34" t="n">
        <f aca="false">NORMSINV(G942)</f>
        <v>-0.0937370980789944</v>
      </c>
      <c r="J942" s="59" t="n">
        <f aca="false">mc_s0*EXP((mc_mu-mc_vol^2/2)*mc_t1+mc_vol*SQRT(mc_t1)*H942)</f>
        <v>1022.36314013358</v>
      </c>
      <c r="K942" s="59" t="n">
        <f aca="false">J942*EXP((mc_mu-mc_vol^2/2)*(mc_t2-mc_t1)+mc_vol*SQRT(mc_t2-mc_t1)*I942)</f>
        <v>1025.81880050072</v>
      </c>
      <c r="L942" s="31" t="n">
        <f aca="false">(t1_usd*J942+t2_usd*K942)/1000</f>
        <v>9105.59770188646</v>
      </c>
    </row>
    <row r="943" customFormat="false" ht="15" hidden="false" customHeight="false" outlineLevel="0" collapsed="false">
      <c r="E943" s="54" t="n">
        <v>939</v>
      </c>
      <c r="F943" s="61" t="n">
        <v>0.500828</v>
      </c>
      <c r="G943" s="61" t="n">
        <v>0.726392</v>
      </c>
      <c r="H943" s="34" t="n">
        <f aca="false">NORMSINV(F943)</f>
        <v>0.00207548970147676</v>
      </c>
      <c r="I943" s="34" t="n">
        <f aca="false">NORMSINV(G943)</f>
        <v>0.601937111246056</v>
      </c>
      <c r="J943" s="59" t="n">
        <f aca="false">mc_s0*EXP((mc_mu-mc_vol^2/2)*mc_t1+mc_vol*SQRT(mc_t1)*H943)</f>
        <v>1146.49410294188</v>
      </c>
      <c r="K943" s="59" t="n">
        <f aca="false">J943*EXP((mc_mu-mc_vol^2/2)*(mc_t2-mc_t1)+mc_vol*SQRT(mc_t2-mc_t1)*I943)</f>
        <v>1283.66154436068</v>
      </c>
      <c r="L943" s="31" t="n">
        <f aca="false">(t1_usd*J943+t2_usd*K943)/1000</f>
        <v>10464.4156548784</v>
      </c>
    </row>
    <row r="944" customFormat="false" ht="15" hidden="false" customHeight="false" outlineLevel="0" collapsed="false">
      <c r="E944" s="54" t="n">
        <v>940</v>
      </c>
      <c r="F944" s="61" t="n">
        <v>0.133574</v>
      </c>
      <c r="G944" s="61" t="n">
        <v>0.214118</v>
      </c>
      <c r="H944" s="34" t="n">
        <f aca="false">NORMSINV(F944)</f>
        <v>-1.10965435298464</v>
      </c>
      <c r="I944" s="34" t="n">
        <f aca="false">NORMSINV(G944)</f>
        <v>-0.79221384004482</v>
      </c>
      <c r="J944" s="59" t="n">
        <f aca="false">mc_s0*EXP((mc_mu-mc_vol^2/2)*mc_t1+mc_vol*SQRT(mc_t1)*H944)</f>
        <v>1030.98362959523</v>
      </c>
      <c r="K944" s="59" t="n">
        <f aca="false">J944*EXP((mc_mu-mc_vol^2/2)*(mc_t2-mc_t1)+mc_vol*SQRT(mc_t2-mc_t1)*I944)</f>
        <v>926.642457915206</v>
      </c>
      <c r="L944" s="31" t="n">
        <f aca="false">(t1_usd*J944+t2_usd*K944)/1000</f>
        <v>8977.50607720551</v>
      </c>
    </row>
    <row r="945" customFormat="false" ht="15" hidden="false" customHeight="false" outlineLevel="0" collapsed="false">
      <c r="E945" s="54" t="n">
        <v>941</v>
      </c>
      <c r="F945" s="61" t="n">
        <v>0.297803</v>
      </c>
      <c r="G945" s="61" t="n">
        <v>0.304843</v>
      </c>
      <c r="H945" s="34" t="n">
        <f aca="false">NORMSINV(F945)</f>
        <v>-0.530729846855674</v>
      </c>
      <c r="I945" s="34" t="n">
        <f aca="false">NORMSINV(G945)</f>
        <v>-0.510521722678845</v>
      </c>
      <c r="J945" s="59" t="n">
        <f aca="false">mc_s0*EXP((mc_mu-mc_vol^2/2)*mc_t1+mc_vol*SQRT(mc_t1)*H945)</f>
        <v>1089.60333299393</v>
      </c>
      <c r="K945" s="59" t="n">
        <f aca="false">J945*EXP((mc_mu-mc_vol^2/2)*(mc_t2-mc_t1)+mc_vol*SQRT(mc_t2-mc_t1)*I945)</f>
        <v>1023.78410016628</v>
      </c>
      <c r="L945" s="31" t="n">
        <f aca="false">(t1_usd*J945+t2_usd*K945)/1000</f>
        <v>9572.41312127346</v>
      </c>
    </row>
    <row r="946" customFormat="false" ht="15" hidden="false" customHeight="false" outlineLevel="0" collapsed="false">
      <c r="E946" s="54" t="n">
        <v>942</v>
      </c>
      <c r="F946" s="61" t="n">
        <v>0.75893</v>
      </c>
      <c r="G946" s="61" t="n">
        <v>0.402951</v>
      </c>
      <c r="H946" s="34" t="n">
        <f aca="false">NORMSINV(F946)</f>
        <v>0.702864815145375</v>
      </c>
      <c r="I946" s="34" t="n">
        <f aca="false">NORMSINV(G946)</f>
        <v>-0.245716110633024</v>
      </c>
      <c r="J946" s="59" t="n">
        <f aca="false">mc_s0*EXP((mc_mu-mc_vol^2/2)*mc_t1+mc_vol*SQRT(mc_t1)*H946)</f>
        <v>1225.86892101518</v>
      </c>
      <c r="K946" s="59" t="n">
        <f aca="false">J946*EXP((mc_mu-mc_vol^2/2)*(mc_t2-mc_t1)+mc_vol*SQRT(mc_t2-mc_t1)*I946)</f>
        <v>1200.9025856529</v>
      </c>
      <c r="L946" s="31" t="n">
        <f aca="false">(t1_usd*J946+t2_usd*K946)/1000</f>
        <v>10862.7973598468</v>
      </c>
    </row>
    <row r="947" customFormat="false" ht="15" hidden="false" customHeight="false" outlineLevel="0" collapsed="false">
      <c r="E947" s="54" t="n">
        <v>943</v>
      </c>
      <c r="F947" s="61" t="n">
        <v>0.450623</v>
      </c>
      <c r="G947" s="61" t="n">
        <v>0.947775</v>
      </c>
      <c r="H947" s="34" t="n">
        <f aca="false">NORMSINV(F947)</f>
        <v>-0.12408749396203</v>
      </c>
      <c r="I947" s="34" t="n">
        <f aca="false">NORMSINV(G947)</f>
        <v>1.62365247170514</v>
      </c>
      <c r="J947" s="59" t="n">
        <f aca="false">mc_s0*EXP((mc_mu-mc_vol^2/2)*mc_t1+mc_vol*SQRT(mc_t1)*H947)</f>
        <v>1132.76014473789</v>
      </c>
      <c r="K947" s="59" t="n">
        <f aca="false">J947*EXP((mc_mu-mc_vol^2/2)*(mc_t2-mc_t1)+mc_vol*SQRT(mc_t2-mc_t1)*I947)</f>
        <v>1489.85760567344</v>
      </c>
      <c r="L947" s="31" t="n">
        <f aca="false">(t1_usd*J947+t2_usd*K947)/1000</f>
        <v>10760.0504639448</v>
      </c>
    </row>
    <row r="948" customFormat="false" ht="15" hidden="false" customHeight="false" outlineLevel="0" collapsed="false">
      <c r="E948" s="54" t="n">
        <v>944</v>
      </c>
      <c r="F948" s="61" t="n">
        <v>0.165607</v>
      </c>
      <c r="G948" s="61" t="n">
        <v>0.891433</v>
      </c>
      <c r="H948" s="34" t="n">
        <f aca="false">NORMSINV(F948)</f>
        <v>-0.971671499071629</v>
      </c>
      <c r="I948" s="34" t="n">
        <f aca="false">NORMSINV(G948)</f>
        <v>1.23418493440961</v>
      </c>
      <c r="J948" s="59" t="n">
        <f aca="false">mc_s0*EXP((mc_mu-mc_vol^2/2)*mc_t1+mc_vol*SQRT(mc_t1)*H948)</f>
        <v>1044.6624419335</v>
      </c>
      <c r="K948" s="59" t="n">
        <f aca="false">J948*EXP((mc_mu-mc_vol^2/2)*(mc_t2-mc_t1)+mc_vol*SQRT(mc_t2-mc_t1)*I948)</f>
        <v>1292.19156477991</v>
      </c>
      <c r="L948" s="31" t="n">
        <f aca="false">(t1_usd*J948+t2_usd*K948)/1000</f>
        <v>9767.80106661633</v>
      </c>
    </row>
    <row r="949" customFormat="false" ht="15" hidden="false" customHeight="false" outlineLevel="0" collapsed="false">
      <c r="E949" s="54" t="n">
        <v>945</v>
      </c>
      <c r="F949" s="61" t="n">
        <v>0.805977</v>
      </c>
      <c r="G949" s="61" t="n">
        <v>0.042283</v>
      </c>
      <c r="H949" s="34" t="n">
        <f aca="false">NORMSINV(F949)</f>
        <v>0.863166371848035</v>
      </c>
      <c r="I949" s="34" t="n">
        <f aca="false">NORMSINV(G949)</f>
        <v>-1.72478625336664</v>
      </c>
      <c r="J949" s="59" t="n">
        <f aca="false">mc_s0*EXP((mc_mu-mc_vol^2/2)*mc_t1+mc_vol*SQRT(mc_t1)*H949)</f>
        <v>1244.78439888905</v>
      </c>
      <c r="K949" s="59" t="n">
        <f aca="false">J949*EXP((mc_mu-mc_vol^2/2)*(mc_t2-mc_t1)+mc_vol*SQRT(mc_t2-mc_t1)*I949)</f>
        <v>965.889788978522</v>
      </c>
      <c r="L949" s="31" t="n">
        <f aca="false">(t1_usd*J949+t2_usd*K949)/1000</f>
        <v>10548.6813912825</v>
      </c>
    </row>
    <row r="950" customFormat="false" ht="15" hidden="false" customHeight="false" outlineLevel="0" collapsed="false">
      <c r="E950" s="54" t="n">
        <v>946</v>
      </c>
      <c r="F950" s="61" t="n">
        <v>0.844697</v>
      </c>
      <c r="G950" s="61" t="n">
        <v>0.590637</v>
      </c>
      <c r="H950" s="34" t="n">
        <f aca="false">NORMSINV(F950)</f>
        <v>1.01395128090077</v>
      </c>
      <c r="I950" s="34" t="n">
        <f aca="false">NORMSINV(G950)</f>
        <v>0.229183881372669</v>
      </c>
      <c r="J950" s="59" t="n">
        <f aca="false">mc_s0*EXP((mc_mu-mc_vol^2/2)*mc_t1+mc_vol*SQRT(mc_t1)*H950)</f>
        <v>1262.84323141385</v>
      </c>
      <c r="K950" s="59" t="n">
        <f aca="false">J950*EXP((mc_mu-mc_vol^2/2)*(mc_t2-mc_t1)+mc_vol*SQRT(mc_t2-mc_t1)*I950)</f>
        <v>1333.26421677048</v>
      </c>
      <c r="L950" s="31" t="n">
        <f aca="false">(t1_usd*J950+t2_usd*K950)/1000</f>
        <v>11373.1046317609</v>
      </c>
    </row>
    <row r="951" customFormat="false" ht="15" hidden="false" customHeight="false" outlineLevel="0" collapsed="false">
      <c r="E951" s="54" t="n">
        <v>947</v>
      </c>
      <c r="F951" s="61" t="n">
        <v>0.649529</v>
      </c>
      <c r="G951" s="61" t="n">
        <v>0.067355</v>
      </c>
      <c r="H951" s="34" t="n">
        <f aca="false">NORMSINV(F951)</f>
        <v>0.384049175799345</v>
      </c>
      <c r="I951" s="34" t="n">
        <f aca="false">NORMSINV(G951)</f>
        <v>-1.49578381640313</v>
      </c>
      <c r="J951" s="59" t="n">
        <f aca="false">mc_s0*EXP((mc_mu-mc_vol^2/2)*mc_t1+mc_vol*SQRT(mc_t1)*H951)</f>
        <v>1189.09891857249</v>
      </c>
      <c r="K951" s="59" t="n">
        <f aca="false">J951*EXP((mc_mu-mc_vol^2/2)*(mc_t2-mc_t1)+mc_vol*SQRT(mc_t2-mc_t1)*I951)</f>
        <v>956.587660623778</v>
      </c>
      <c r="L951" s="31" t="n">
        <f aca="false">(t1_usd*J951+t2_usd*K951)/1000</f>
        <v>10141.2089851926</v>
      </c>
    </row>
    <row r="952" customFormat="false" ht="15" hidden="false" customHeight="false" outlineLevel="0" collapsed="false">
      <c r="E952" s="54" t="n">
        <v>948</v>
      </c>
      <c r="F952" s="61" t="n">
        <v>0.34482</v>
      </c>
      <c r="G952" s="61" t="n">
        <v>0.004278</v>
      </c>
      <c r="H952" s="34" t="n">
        <f aca="false">NORMSINV(F952)</f>
        <v>-0.399343661432881</v>
      </c>
      <c r="I952" s="34" t="n">
        <f aca="false">NORMSINV(G952)</f>
        <v>-2.6293033528462</v>
      </c>
      <c r="J952" s="59" t="n">
        <f aca="false">mc_s0*EXP((mc_mu-mc_vol^2/2)*mc_t1+mc_vol*SQRT(mc_t1)*H952)</f>
        <v>1103.36441240291</v>
      </c>
      <c r="K952" s="59" t="n">
        <f aca="false">J952*EXP((mc_mu-mc_vol^2/2)*(mc_t2-mc_t1)+mc_vol*SQRT(mc_t2-mc_t1)*I952)</f>
        <v>742.413021828715</v>
      </c>
      <c r="L952" s="31" t="n">
        <f aca="false">(t1_usd*J952+t2_usd*K952)/1000</f>
        <v>9134.13562829496</v>
      </c>
    </row>
    <row r="953" customFormat="false" ht="15" hidden="false" customHeight="false" outlineLevel="0" collapsed="false">
      <c r="E953" s="54" t="n">
        <v>949</v>
      </c>
      <c r="F953" s="61" t="n">
        <v>0.756075</v>
      </c>
      <c r="G953" s="61" t="n">
        <v>0.014912</v>
      </c>
      <c r="H953" s="34" t="n">
        <f aca="false">NORMSINV(F953)</f>
        <v>0.69373246880907</v>
      </c>
      <c r="I953" s="34" t="n">
        <f aca="false">NORMSINV(G953)</f>
        <v>-2.17241997098178</v>
      </c>
      <c r="J953" s="59" t="n">
        <f aca="false">mc_s0*EXP((mc_mu-mc_vol^2/2)*mc_t1+mc_vol*SQRT(mc_t1)*H953)</f>
        <v>1224.80000583772</v>
      </c>
      <c r="K953" s="59" t="n">
        <f aca="false">J953*EXP((mc_mu-mc_vol^2/2)*(mc_t2-mc_t1)+mc_vol*SQRT(mc_t2-mc_t1)*I953)</f>
        <v>885.649201211621</v>
      </c>
      <c r="L953" s="31" t="n">
        <f aca="false">(t1_usd*J953+t2_usd*K953)/1000</f>
        <v>10256.3335231661</v>
      </c>
    </row>
    <row r="954" customFormat="false" ht="15" hidden="false" customHeight="false" outlineLevel="0" collapsed="false">
      <c r="E954" s="54" t="n">
        <v>950</v>
      </c>
      <c r="F954" s="61" t="n">
        <v>0.02081</v>
      </c>
      <c r="G954" s="61" t="n">
        <v>0.3583</v>
      </c>
      <c r="H954" s="34" t="n">
        <f aca="false">NORMSINV(F954)</f>
        <v>-2.03729987864627</v>
      </c>
      <c r="I954" s="34" t="n">
        <f aca="false">NORMSINV(G954)</f>
        <v>-0.363006538507139</v>
      </c>
      <c r="J954" s="59" t="n">
        <f aca="false">mc_s0*EXP((mc_mu-mc_vol^2/2)*mc_t1+mc_vol*SQRT(mc_t1)*H954)</f>
        <v>943.557654395311</v>
      </c>
      <c r="K954" s="59" t="n">
        <f aca="false">J954*EXP((mc_mu-mc_vol^2/2)*(mc_t2-mc_t1)+mc_vol*SQRT(mc_t2-mc_t1)*I954)</f>
        <v>907.412197205617</v>
      </c>
      <c r="L954" s="31" t="n">
        <f aca="false">(t1_usd*J954+t2_usd*K954)/1000</f>
        <v>8328.98675545785</v>
      </c>
    </row>
    <row r="955" customFormat="false" ht="15" hidden="false" customHeight="false" outlineLevel="0" collapsed="false">
      <c r="E955" s="54" t="n">
        <v>951</v>
      </c>
      <c r="F955" s="61" t="n">
        <v>0.791395</v>
      </c>
      <c r="G955" s="61" t="n">
        <v>0.796885</v>
      </c>
      <c r="H955" s="34" t="n">
        <f aca="false">NORMSINV(F955)</f>
        <v>0.811271104675198</v>
      </c>
      <c r="I955" s="34" t="n">
        <f aca="false">NORMSINV(G955)</f>
        <v>0.830546267610394</v>
      </c>
      <c r="J955" s="59" t="n">
        <f aca="false">mc_s0*EXP((mc_mu-mc_vol^2/2)*mc_t1+mc_vol*SQRT(mc_t1)*H955)</f>
        <v>1238.62905747776</v>
      </c>
      <c r="K955" s="59" t="n">
        <f aca="false">J955*EXP((mc_mu-mc_vol^2/2)*(mc_t2-mc_t1)+mc_vol*SQRT(mc_t2-mc_t1)*I955)</f>
        <v>1437.69381656938</v>
      </c>
      <c r="L955" s="31" t="n">
        <f aca="false">(t1_usd*J955+t2_usd*K955)/1000</f>
        <v>11402.0216538261</v>
      </c>
    </row>
    <row r="956" customFormat="false" ht="15" hidden="false" customHeight="false" outlineLevel="0" collapsed="false">
      <c r="E956" s="54" t="n">
        <v>952</v>
      </c>
      <c r="F956" s="61" t="n">
        <v>0.075379</v>
      </c>
      <c r="G956" s="61" t="n">
        <v>0.058501</v>
      </c>
      <c r="H956" s="34" t="n">
        <f aca="false">NORMSINV(F956)</f>
        <v>-1.43685921759447</v>
      </c>
      <c r="I956" s="34" t="n">
        <f aca="false">NORMSINV(G956)</f>
        <v>-1.56748230117599</v>
      </c>
      <c r="J956" s="59" t="n">
        <f aca="false">mc_s0*EXP((mc_mu-mc_vol^2/2)*mc_t1+mc_vol*SQRT(mc_t1)*H956)</f>
        <v>999.258134412806</v>
      </c>
      <c r="K956" s="59" t="n">
        <f aca="false">J956*EXP((mc_mu-mc_vol^2/2)*(mc_t2-mc_t1)+mc_vol*SQRT(mc_t2-mc_t1)*I956)</f>
        <v>794.835590171162</v>
      </c>
      <c r="L956" s="31" t="n">
        <f aca="false">(t1_usd*J956+t2_usd*K956)/1000</f>
        <v>8504.99456221485</v>
      </c>
    </row>
    <row r="957" customFormat="false" ht="15" hidden="false" customHeight="false" outlineLevel="0" collapsed="false">
      <c r="E957" s="54" t="n">
        <v>953</v>
      </c>
      <c r="F957" s="61" t="n">
        <v>0.880025</v>
      </c>
      <c r="G957" s="61" t="n">
        <v>0.465434</v>
      </c>
      <c r="H957" s="34" t="n">
        <f aca="false">NORMSINV(F957)</f>
        <v>1.17511177594593</v>
      </c>
      <c r="I957" s="34" t="n">
        <f aca="false">NORMSINV(G957)</f>
        <v>-0.0867528078626759</v>
      </c>
      <c r="J957" s="59" t="n">
        <f aca="false">mc_s0*EXP((mc_mu-mc_vol^2/2)*mc_t1+mc_vol*SQRT(mc_t1)*H957)</f>
        <v>1282.43444948503</v>
      </c>
      <c r="K957" s="59" t="n">
        <f aca="false">J957*EXP((mc_mu-mc_vol^2/2)*(mc_t2-mc_t1)+mc_vol*SQRT(mc_t2-mc_t1)*I957)</f>
        <v>1288.18626594044</v>
      </c>
      <c r="L957" s="31" t="n">
        <f aca="false">(t1_usd*J957+t2_usd*K957)/1000</f>
        <v>11424.595051682</v>
      </c>
    </row>
    <row r="958" customFormat="false" ht="15" hidden="false" customHeight="false" outlineLevel="0" collapsed="false">
      <c r="E958" s="54" t="n">
        <v>954</v>
      </c>
      <c r="F958" s="61" t="n">
        <v>0.542901</v>
      </c>
      <c r="G958" s="61" t="n">
        <v>0.417427</v>
      </c>
      <c r="H958" s="34" t="n">
        <f aca="false">NORMSINV(F958)</f>
        <v>0.107744965242606</v>
      </c>
      <c r="I958" s="34" t="n">
        <f aca="false">NORMSINV(G958)</f>
        <v>-0.208480252641448</v>
      </c>
      <c r="J958" s="59" t="n">
        <f aca="false">mc_s0*EXP((mc_mu-mc_vol^2/2)*mc_t1+mc_vol*SQRT(mc_t1)*H958)</f>
        <v>1158.12521705282</v>
      </c>
      <c r="K958" s="59" t="n">
        <f aca="false">J958*EXP((mc_mu-mc_vol^2/2)*(mc_t2-mc_t1)+mc_vol*SQRT(mc_t2-mc_t1)*I958)</f>
        <v>1141.2157441707</v>
      </c>
      <c r="L958" s="31" t="n">
        <f aca="false">(t1_usd*J958+t2_usd*K958)/1000</f>
        <v>10275.186433294</v>
      </c>
    </row>
    <row r="959" customFormat="false" ht="15" hidden="false" customHeight="false" outlineLevel="0" collapsed="false">
      <c r="E959" s="54" t="n">
        <v>955</v>
      </c>
      <c r="F959" s="61" t="n">
        <v>0.074647</v>
      </c>
      <c r="G959" s="61" t="n">
        <v>0.810409</v>
      </c>
      <c r="H959" s="34" t="n">
        <f aca="false">NORMSINV(F959)</f>
        <v>-1.44202968316578</v>
      </c>
      <c r="I959" s="34" t="n">
        <f aca="false">NORMSINV(G959)</f>
        <v>0.879404487208612</v>
      </c>
      <c r="J959" s="59" t="n">
        <f aca="false">mc_s0*EXP((mc_mu-mc_vol^2/2)*mc_t1+mc_vol*SQRT(mc_t1)*H959)</f>
        <v>998.764726229205</v>
      </c>
      <c r="K959" s="59" t="n">
        <f aca="false">J959*EXP((mc_mu-mc_vol^2/2)*(mc_t2-mc_t1)+mc_vol*SQRT(mc_t2-mc_t1)*I959)</f>
        <v>1168.24056936419</v>
      </c>
      <c r="L959" s="31" t="n">
        <f aca="false">(t1_usd*J959+t2_usd*K959)/1000</f>
        <v>9211.01016539639</v>
      </c>
    </row>
    <row r="960" customFormat="false" ht="15" hidden="false" customHeight="false" outlineLevel="0" collapsed="false">
      <c r="E960" s="54" t="n">
        <v>956</v>
      </c>
      <c r="F960" s="61" t="n">
        <v>0.088664</v>
      </c>
      <c r="G960" s="61" t="n">
        <v>0.34803</v>
      </c>
      <c r="H960" s="34" t="n">
        <f aca="false">NORMSINV(F960)</f>
        <v>-1.34902791489643</v>
      </c>
      <c r="I960" s="34" t="n">
        <f aca="false">NORMSINV(G960)</f>
        <v>-0.390644537694569</v>
      </c>
      <c r="J960" s="59" t="n">
        <f aca="false">mc_s0*EXP((mc_mu-mc_vol^2/2)*mc_t1+mc_vol*SQRT(mc_t1)*H960)</f>
        <v>1007.67705432282</v>
      </c>
      <c r="K960" s="59" t="n">
        <f aca="false">J960*EXP((mc_mu-mc_vol^2/2)*(mc_t2-mc_t1)+mc_vol*SQRT(mc_t2-mc_t1)*I960)</f>
        <v>964.863647239991</v>
      </c>
      <c r="L960" s="31" t="n">
        <f aca="false">(t1_usd*J960+t2_usd*K960)/1000</f>
        <v>8886.98031001576</v>
      </c>
    </row>
    <row r="961" customFormat="false" ht="15" hidden="false" customHeight="false" outlineLevel="0" collapsed="false">
      <c r="E961" s="54" t="n">
        <v>957</v>
      </c>
      <c r="F961" s="61" t="n">
        <v>0.204404</v>
      </c>
      <c r="G961" s="61" t="n">
        <v>0.179766</v>
      </c>
      <c r="H961" s="34" t="n">
        <f aca="false">NORMSINV(F961)</f>
        <v>-0.825993110479502</v>
      </c>
      <c r="I961" s="34" t="n">
        <f aca="false">NORMSINV(G961)</f>
        <v>-0.916257220364896</v>
      </c>
      <c r="J961" s="59" t="n">
        <f aca="false">mc_s0*EXP((mc_mu-mc_vol^2/2)*mc_t1+mc_vol*SQRT(mc_t1)*H961)</f>
        <v>1059.3011447311</v>
      </c>
      <c r="K961" s="59" t="n">
        <f aca="false">J961*EXP((mc_mu-mc_vol^2/2)*(mc_t2-mc_t1)+mc_vol*SQRT(mc_t2-mc_t1)*I961)</f>
        <v>933.662913265347</v>
      </c>
      <c r="L961" s="31" t="n">
        <f aca="false">(t1_usd*J961+t2_usd*K961)/1000</f>
        <v>9189.06754832188</v>
      </c>
    </row>
    <row r="962" customFormat="false" ht="15" hidden="false" customHeight="false" outlineLevel="0" collapsed="false">
      <c r="E962" s="54" t="n">
        <v>958</v>
      </c>
      <c r="F962" s="61" t="n">
        <v>0.648176</v>
      </c>
      <c r="G962" s="61" t="n">
        <v>0.226299</v>
      </c>
      <c r="H962" s="34" t="n">
        <f aca="false">NORMSINV(F962)</f>
        <v>0.380400693377441</v>
      </c>
      <c r="I962" s="34" t="n">
        <f aca="false">NORMSINV(G962)</f>
        <v>-0.751090820138107</v>
      </c>
      <c r="J962" s="59" t="n">
        <f aca="false">mc_s0*EXP((mc_mu-mc_vol^2/2)*mc_t1+mc_vol*SQRT(mc_t1)*H962)</f>
        <v>1188.68457480058</v>
      </c>
      <c r="K962" s="59" t="n">
        <f aca="false">J962*EXP((mc_mu-mc_vol^2/2)*(mc_t2-mc_t1)+mc_vol*SQRT(mc_t2-mc_t1)*I962)</f>
        <v>1075.32957079042</v>
      </c>
      <c r="L962" s="31" t="n">
        <f aca="false">(t1_usd*J962+t2_usd*K962)/1000</f>
        <v>10363.9182081059</v>
      </c>
    </row>
    <row r="963" customFormat="false" ht="15" hidden="false" customHeight="false" outlineLevel="0" collapsed="false">
      <c r="E963" s="54" t="n">
        <v>959</v>
      </c>
      <c r="F963" s="61" t="n">
        <v>0.623212</v>
      </c>
      <c r="G963" s="61" t="n">
        <v>0.657968</v>
      </c>
      <c r="H963" s="34" t="n">
        <f aca="false">NORMSINV(F963)</f>
        <v>0.313927636205028</v>
      </c>
      <c r="I963" s="34" t="n">
        <f aca="false">NORMSINV(G963)</f>
        <v>0.406923738912584</v>
      </c>
      <c r="J963" s="59" t="n">
        <f aca="false">mc_s0*EXP((mc_mu-mc_vol^2/2)*mc_t1+mc_vol*SQRT(mc_t1)*H963)</f>
        <v>1181.16071935162</v>
      </c>
      <c r="K963" s="59" t="n">
        <f aca="false">J963*EXP((mc_mu-mc_vol^2/2)*(mc_t2-mc_t1)+mc_vol*SQRT(mc_t2-mc_t1)*I963)</f>
        <v>1282.45053772985</v>
      </c>
      <c r="L963" s="31" t="n">
        <f aca="false">(t1_usd*J963+t2_usd*K963)/1000</f>
        <v>10704.781057148</v>
      </c>
    </row>
    <row r="964" customFormat="false" ht="15" hidden="false" customHeight="false" outlineLevel="0" collapsed="false">
      <c r="E964" s="54" t="n">
        <v>960</v>
      </c>
      <c r="F964" s="61" t="n">
        <v>0.502578</v>
      </c>
      <c r="G964" s="61" t="n">
        <v>0.101781</v>
      </c>
      <c r="H964" s="34" t="n">
        <f aca="false">NORMSINV(F964)</f>
        <v>0.00646213266725409</v>
      </c>
      <c r="I964" s="34" t="n">
        <f aca="false">NORMSINV(G964)</f>
        <v>-1.27146857548993</v>
      </c>
      <c r="J964" s="59" t="n">
        <f aca="false">mc_s0*EXP((mc_mu-mc_vol^2/2)*mc_t1+mc_vol*SQRT(mc_t1)*H964)</f>
        <v>1146.97461175284</v>
      </c>
      <c r="K964" s="59" t="n">
        <f aca="false">J964*EXP((mc_mu-mc_vol^2/2)*(mc_t2-mc_t1)+mc_vol*SQRT(mc_t2-mc_t1)*I964)</f>
        <v>955.901508174812</v>
      </c>
      <c r="L964" s="31" t="n">
        <f aca="false">(t1_usd*J964+t2_usd*K964)/1000</f>
        <v>9845.03514780199</v>
      </c>
    </row>
    <row r="965" customFormat="false" ht="15" hidden="false" customHeight="false" outlineLevel="0" collapsed="false">
      <c r="E965" s="54" t="n">
        <v>961</v>
      </c>
      <c r="F965" s="61" t="n">
        <v>0.411105</v>
      </c>
      <c r="G965" s="61" t="n">
        <v>0.426354</v>
      </c>
      <c r="H965" s="34" t="n">
        <f aca="false">NORMSINV(F965)</f>
        <v>-0.224703424974406</v>
      </c>
      <c r="I965" s="34" t="n">
        <f aca="false">NORMSINV(G965)</f>
        <v>-0.185664333109488</v>
      </c>
      <c r="J965" s="59" t="n">
        <f aca="false">mc_s0*EXP((mc_mu-mc_vol^2/2)*mc_t1+mc_vol*SQRT(mc_t1)*H965)</f>
        <v>1121.9252272617</v>
      </c>
      <c r="K965" s="59" t="n">
        <f aca="false">J965*EXP((mc_mu-mc_vol^2/2)*(mc_t2-mc_t1)+mc_vol*SQRT(mc_t2-mc_t1)*I965)</f>
        <v>1109.5265881691</v>
      </c>
      <c r="L965" s="31" t="n">
        <f aca="false">(t1_usd*J965+t2_usd*K965)/1000</f>
        <v>9961.57710835317</v>
      </c>
    </row>
    <row r="966" customFormat="false" ht="15" hidden="false" customHeight="false" outlineLevel="0" collapsed="false">
      <c r="E966" s="54" t="n">
        <v>962</v>
      </c>
      <c r="F966" s="61" t="n">
        <v>0.653645</v>
      </c>
      <c r="G966" s="61" t="n">
        <v>0.078579</v>
      </c>
      <c r="H966" s="34" t="n">
        <f aca="false">NORMSINV(F966)</f>
        <v>0.395180070039501</v>
      </c>
      <c r="I966" s="34" t="n">
        <f aca="false">NORMSINV(G966)</f>
        <v>-1.41469479891126</v>
      </c>
      <c r="J966" s="59" t="n">
        <f aca="false">mc_s0*EXP((mc_mu-mc_vol^2/2)*mc_t1+mc_vol*SQRT(mc_t1)*H966)</f>
        <v>1190.36390303874</v>
      </c>
      <c r="K966" s="59" t="n">
        <f aca="false">J966*EXP((mc_mu-mc_vol^2/2)*(mc_t2-mc_t1)+mc_vol*SQRT(mc_t2-mc_t1)*I966)</f>
        <v>969.921132884522</v>
      </c>
      <c r="L966" s="31" t="n">
        <f aca="false">(t1_usd*J966+t2_usd*K966)/1000</f>
        <v>10175.3974737518</v>
      </c>
    </row>
    <row r="967" customFormat="false" ht="15" hidden="false" customHeight="false" outlineLevel="0" collapsed="false">
      <c r="E967" s="54" t="n">
        <v>963</v>
      </c>
      <c r="F967" s="61" t="n">
        <v>0.017446</v>
      </c>
      <c r="G967" s="61" t="n">
        <v>0.98013</v>
      </c>
      <c r="H967" s="34" t="n">
        <f aca="false">NORMSINV(F967)</f>
        <v>-2.1096095625105</v>
      </c>
      <c r="I967" s="34" t="n">
        <f aca="false">NORMSINV(G967)</f>
        <v>2.05644128821977</v>
      </c>
      <c r="J967" s="59" t="n">
        <f aca="false">mc_s0*EXP((mc_mu-mc_vol^2/2)*mc_t1+mc_vol*SQRT(mc_t1)*H967)</f>
        <v>937.062759375622</v>
      </c>
      <c r="K967" s="59" t="n">
        <f aca="false">J967*EXP((mc_mu-mc_vol^2/2)*(mc_t2-mc_t1)+mc_vol*SQRT(mc_t2-mc_t1)*I967)</f>
        <v>1319.46037025856</v>
      </c>
      <c r="L967" s="31" t="n">
        <f aca="false">(t1_usd*J967+t2_usd*K967)/1000</f>
        <v>9066.41401912061</v>
      </c>
    </row>
    <row r="968" customFormat="false" ht="15" hidden="false" customHeight="false" outlineLevel="0" collapsed="false">
      <c r="E968" s="54" t="n">
        <v>964</v>
      </c>
      <c r="F968" s="61" t="n">
        <v>0.995396</v>
      </c>
      <c r="G968" s="61" t="n">
        <v>0.992054</v>
      </c>
      <c r="H968" s="34" t="n">
        <f aca="false">NORMSINV(F968)</f>
        <v>2.60423350068848</v>
      </c>
      <c r="I968" s="34" t="n">
        <f aca="false">NORMSINV(G968)</f>
        <v>2.4113864396992</v>
      </c>
      <c r="J968" s="59" t="n">
        <f aca="false">mc_s0*EXP((mc_mu-mc_vol^2/2)*mc_t1+mc_vol*SQRT(mc_t1)*H968)</f>
        <v>1470.01652770932</v>
      </c>
      <c r="K968" s="59" t="n">
        <f aca="false">J968*EXP((mc_mu-mc_vol^2/2)*(mc_t2-mc_t1)+mc_vol*SQRT(mc_t2-mc_t1)*I968)</f>
        <v>2188.98605617189</v>
      </c>
      <c r="L968" s="31" t="n">
        <f aca="false">(t1_usd*J968+t2_usd*K968)/1000</f>
        <v>14449.1892006919</v>
      </c>
    </row>
    <row r="969" customFormat="false" ht="15" hidden="false" customHeight="false" outlineLevel="0" collapsed="false">
      <c r="E969" s="54" t="n">
        <v>965</v>
      </c>
      <c r="F969" s="61" t="n">
        <v>0.591031</v>
      </c>
      <c r="G969" s="61" t="n">
        <v>0.139585</v>
      </c>
      <c r="H969" s="34" t="n">
        <f aca="false">NORMSINV(F969)</f>
        <v>0.230197891766851</v>
      </c>
      <c r="I969" s="34" t="n">
        <f aca="false">NORMSINV(G969)</f>
        <v>-1.08218574798301</v>
      </c>
      <c r="J969" s="59" t="n">
        <f aca="false">mc_s0*EXP((mc_mu-mc_vol^2/2)*mc_t1+mc_vol*SQRT(mc_t1)*H969)</f>
        <v>1171.7513740588</v>
      </c>
      <c r="K969" s="59" t="n">
        <f aca="false">J969*EXP((mc_mu-mc_vol^2/2)*(mc_t2-mc_t1)+mc_vol*SQRT(mc_t2-mc_t1)*I969)</f>
        <v>1006.11976695937</v>
      </c>
      <c r="L969" s="31" t="n">
        <f aca="false">(t1_usd*J969+t2_usd*K969)/1000</f>
        <v>10113.8871756344</v>
      </c>
    </row>
    <row r="970" customFormat="false" ht="15" hidden="false" customHeight="false" outlineLevel="0" collapsed="false">
      <c r="E970" s="54" t="n">
        <v>966</v>
      </c>
      <c r="F970" s="61" t="n">
        <v>0.171093</v>
      </c>
      <c r="G970" s="61" t="n">
        <v>0.618675</v>
      </c>
      <c r="H970" s="34" t="n">
        <f aca="false">NORMSINV(F970)</f>
        <v>-0.949854871736137</v>
      </c>
      <c r="I970" s="34" t="n">
        <f aca="false">NORMSINV(G970)</f>
        <v>0.30200270616118</v>
      </c>
      <c r="J970" s="59" t="n">
        <f aca="false">mc_s0*EXP((mc_mu-mc_vol^2/2)*mc_t1+mc_vol*SQRT(mc_t1)*H970)</f>
        <v>1046.84176920232</v>
      </c>
      <c r="K970" s="59" t="n">
        <f aca="false">J970*EXP((mc_mu-mc_vol^2/2)*(mc_t2-mc_t1)+mc_vol*SQRT(mc_t2-mc_t1)*I970)</f>
        <v>1117.97394140705</v>
      </c>
      <c r="L970" s="31" t="n">
        <f aca="false">(t1_usd*J970+t2_usd*K970)/1000</f>
        <v>9452.04287308965</v>
      </c>
    </row>
    <row r="971" customFormat="false" ht="15" hidden="false" customHeight="false" outlineLevel="0" collapsed="false">
      <c r="E971" s="54" t="n">
        <v>967</v>
      </c>
      <c r="F971" s="61" t="n">
        <v>0.07625</v>
      </c>
      <c r="G971" s="61" t="n">
        <v>0.232647</v>
      </c>
      <c r="H971" s="34" t="n">
        <f aca="false">NORMSINV(F971)</f>
        <v>-1.43075654920783</v>
      </c>
      <c r="I971" s="34" t="n">
        <f aca="false">NORMSINV(G971)</f>
        <v>-0.730157365019979</v>
      </c>
      <c r="J971" s="59" t="n">
        <f aca="false">mc_s0*EXP((mc_mu-mc_vol^2/2)*mc_t1+mc_vol*SQRT(mc_t1)*H971)</f>
        <v>999.84081467047</v>
      </c>
      <c r="K971" s="59" t="n">
        <f aca="false">J971*EXP((mc_mu-mc_vol^2/2)*(mc_t2-mc_t1)+mc_vol*SQRT(mc_t2-mc_t1)*I971)</f>
        <v>907.483103130747</v>
      </c>
      <c r="L971" s="31" t="n">
        <f aca="false">(t1_usd*J971+t2_usd*K971)/1000</f>
        <v>8723.10359864171</v>
      </c>
    </row>
    <row r="972" customFormat="false" ht="15" hidden="false" customHeight="false" outlineLevel="0" collapsed="false">
      <c r="E972" s="54" t="n">
        <v>968</v>
      </c>
      <c r="F972" s="61" t="n">
        <v>0.074121</v>
      </c>
      <c r="G972" s="61" t="n">
        <v>0.183805</v>
      </c>
      <c r="H972" s="34" t="n">
        <f aca="false">NORMSINV(F972)</f>
        <v>-1.4457690133448</v>
      </c>
      <c r="I972" s="34" t="n">
        <f aca="false">NORMSINV(G972)</f>
        <v>-0.90095922463559</v>
      </c>
      <c r="J972" s="59" t="n">
        <f aca="false">mc_s0*EXP((mc_mu-mc_vol^2/2)*mc_t1+mc_vol*SQRT(mc_t1)*H972)</f>
        <v>998.408040528569</v>
      </c>
      <c r="K972" s="59" t="n">
        <f aca="false">J972*EXP((mc_mu-mc_vol^2/2)*(mc_t2-mc_t1)+mc_vol*SQRT(mc_t2-mc_t1)*I972)</f>
        <v>882.11612236694</v>
      </c>
      <c r="L972" s="31" t="n">
        <f aca="false">(t1_usd*J972+t2_usd*K972)/1000</f>
        <v>8664.87691619717</v>
      </c>
    </row>
    <row r="973" customFormat="false" ht="15" hidden="false" customHeight="false" outlineLevel="0" collapsed="false">
      <c r="E973" s="54" t="n">
        <v>969</v>
      </c>
      <c r="F973" s="61" t="n">
        <v>0.824182</v>
      </c>
      <c r="G973" s="61" t="n">
        <v>0.221447</v>
      </c>
      <c r="H973" s="34" t="n">
        <f aca="false">NORMSINV(F973)</f>
        <v>0.93142067540656</v>
      </c>
      <c r="I973" s="34" t="n">
        <f aca="false">NORMSINV(G973)</f>
        <v>-0.76731542422601</v>
      </c>
      <c r="J973" s="59" t="n">
        <f aca="false">mc_s0*EXP((mc_mu-mc_vol^2/2)*mc_t1+mc_vol*SQRT(mc_t1)*H973)</f>
        <v>1252.92669622869</v>
      </c>
      <c r="K973" s="59" t="n">
        <f aca="false">J973*EXP((mc_mu-mc_vol^2/2)*(mc_t2-mc_t1)+mc_vol*SQRT(mc_t2-mc_t1)*I973)</f>
        <v>1130.55106275619</v>
      </c>
      <c r="L973" s="31" t="n">
        <f aca="false">(t1_usd*J973+t2_usd*K973)/1000</f>
        <v>10918.5338928376</v>
      </c>
    </row>
    <row r="974" customFormat="false" ht="15" hidden="false" customHeight="false" outlineLevel="0" collapsed="false">
      <c r="E974" s="54" t="n">
        <v>970</v>
      </c>
      <c r="F974" s="61" t="n">
        <v>0.521871</v>
      </c>
      <c r="G974" s="61" t="n">
        <v>0.883743</v>
      </c>
      <c r="H974" s="34" t="n">
        <f aca="false">NORMSINV(F974)</f>
        <v>0.054849957433301</v>
      </c>
      <c r="I974" s="34" t="n">
        <f aca="false">NORMSINV(G974)</f>
        <v>1.1939078921365</v>
      </c>
      <c r="J974" s="59" t="n">
        <f aca="false">mc_s0*EXP((mc_mu-mc_vol^2/2)*mc_t1+mc_vol*SQRT(mc_t1)*H974)</f>
        <v>1152.28835080503</v>
      </c>
      <c r="K974" s="59" t="n">
        <f aca="false">J974*EXP((mc_mu-mc_vol^2/2)*(mc_t2-mc_t1)+mc_vol*SQRT(mc_t2-mc_t1)*I974)</f>
        <v>1416.30065638213</v>
      </c>
      <c r="L974" s="31" t="n">
        <f aca="false">(t1_usd*J974+t2_usd*K974)/1000</f>
        <v>10756.9897027612</v>
      </c>
    </row>
    <row r="975" customFormat="false" ht="15" hidden="false" customHeight="false" outlineLevel="0" collapsed="false">
      <c r="E975" s="54" t="n">
        <v>971</v>
      </c>
      <c r="F975" s="61" t="n">
        <v>0.665922</v>
      </c>
      <c r="G975" s="61" t="n">
        <v>0.200984</v>
      </c>
      <c r="H975" s="34" t="n">
        <f aca="false">NORMSINV(F975)</f>
        <v>0.428680161264078</v>
      </c>
      <c r="I975" s="34" t="n">
        <f aca="false">NORMSINV(G975)</f>
        <v>-0.838111650938287</v>
      </c>
      <c r="J975" s="59" t="n">
        <f aca="false">mc_s0*EXP((mc_mu-mc_vol^2/2)*mc_t1+mc_vol*SQRT(mc_t1)*H975)</f>
        <v>1194.17918858918</v>
      </c>
      <c r="K975" s="59" t="n">
        <f aca="false">J975*EXP((mc_mu-mc_vol^2/2)*(mc_t2-mc_t1)+mc_vol*SQRT(mc_t2-mc_t1)*I975)</f>
        <v>1065.58621299382</v>
      </c>
      <c r="L975" s="31" t="n">
        <f aca="false">(t1_usd*J975+t2_usd*K975)/1000</f>
        <v>10383.8681248126</v>
      </c>
    </row>
    <row r="976" customFormat="false" ht="15" hidden="false" customHeight="false" outlineLevel="0" collapsed="false">
      <c r="E976" s="54" t="n">
        <v>972</v>
      </c>
      <c r="F976" s="61" t="n">
        <v>0.63001</v>
      </c>
      <c r="G976" s="61" t="n">
        <v>0.232284</v>
      </c>
      <c r="H976" s="34" t="n">
        <f aca="false">NORMSINV(F976)</f>
        <v>0.331879831776031</v>
      </c>
      <c r="I976" s="34" t="n">
        <f aca="false">NORMSINV(G976)</f>
        <v>-0.731345737884693</v>
      </c>
      <c r="J976" s="59" t="n">
        <f aca="false">mc_s0*EXP((mc_mu-mc_vol^2/2)*mc_t1+mc_vol*SQRT(mc_t1)*H976)</f>
        <v>1183.18795970213</v>
      </c>
      <c r="K976" s="59" t="n">
        <f aca="false">J976*EXP((mc_mu-mc_vol^2/2)*(mc_t2-mc_t1)+mc_vol*SQRT(mc_t2-mc_t1)*I976)</f>
        <v>1073.69292994674</v>
      </c>
      <c r="L976" s="31" t="n">
        <f aca="false">(t1_usd*J976+t2_usd*K976)/1000</f>
        <v>10322.3322848137</v>
      </c>
    </row>
    <row r="977" customFormat="false" ht="15" hidden="false" customHeight="false" outlineLevel="0" collapsed="false">
      <c r="E977" s="54" t="n">
        <v>973</v>
      </c>
      <c r="F977" s="61" t="n">
        <v>0.661583</v>
      </c>
      <c r="G977" s="61" t="n">
        <v>0.886168</v>
      </c>
      <c r="H977" s="34" t="n">
        <f aca="false">NORMSINV(F977)</f>
        <v>0.416787289828974</v>
      </c>
      <c r="I977" s="34" t="n">
        <f aca="false">NORMSINV(G977)</f>
        <v>1.20639817343998</v>
      </c>
      <c r="J977" s="59" t="n">
        <f aca="false">mc_s0*EXP((mc_mu-mc_vol^2/2)*mc_t1+mc_vol*SQRT(mc_t1)*H977)</f>
        <v>1192.82332559562</v>
      </c>
      <c r="K977" s="59" t="n">
        <f aca="false">J977*EXP((mc_mu-mc_vol^2/2)*(mc_t2-mc_t1)+mc_vol*SQRT(mc_t2-mc_t1)*I977)</f>
        <v>1469.01173885393</v>
      </c>
      <c r="L977" s="31" t="n">
        <f aca="false">(t1_usd*J977+t2_usd*K977)/1000</f>
        <v>11140.8855829918</v>
      </c>
    </row>
    <row r="978" customFormat="false" ht="15" hidden="false" customHeight="false" outlineLevel="0" collapsed="false">
      <c r="E978" s="54" t="n">
        <v>974</v>
      </c>
      <c r="F978" s="61" t="n">
        <v>0.331588</v>
      </c>
      <c r="G978" s="61" t="n">
        <v>0.14884</v>
      </c>
      <c r="H978" s="34" t="n">
        <f aca="false">NORMSINV(F978)</f>
        <v>-0.43553243659062</v>
      </c>
      <c r="I978" s="34" t="n">
        <f aca="false">NORMSINV(G978)</f>
        <v>-1.04142143194482</v>
      </c>
      <c r="J978" s="59" t="n">
        <f aca="false">mc_s0*EXP((mc_mu-mc_vol^2/2)*mc_t1+mc_vol*SQRT(mc_t1)*H978)</f>
        <v>1099.55683555632</v>
      </c>
      <c r="K978" s="59" t="n">
        <f aca="false">J978*EXP((mc_mu-mc_vol^2/2)*(mc_t2-mc_t1)+mc_vol*SQRT(mc_t2-mc_t1)*I978)</f>
        <v>950.214992210272</v>
      </c>
      <c r="L978" s="31" t="n">
        <f aca="false">(t1_usd*J978+t2_usd*K978)/1000</f>
        <v>9502.30633409374</v>
      </c>
    </row>
    <row r="979" customFormat="false" ht="15" hidden="false" customHeight="false" outlineLevel="0" collapsed="false">
      <c r="E979" s="54" t="n">
        <v>975</v>
      </c>
      <c r="F979" s="61" t="n">
        <v>0.724176</v>
      </c>
      <c r="G979" s="61" t="n">
        <v>0.02784</v>
      </c>
      <c r="H979" s="34" t="n">
        <f aca="false">NORMSINV(F979)</f>
        <v>0.595292452664433</v>
      </c>
      <c r="I979" s="34" t="n">
        <f aca="false">NORMSINV(G979)</f>
        <v>-1.91353185097645</v>
      </c>
      <c r="J979" s="59" t="n">
        <f aca="false">mc_s0*EXP((mc_mu-mc_vol^2/2)*mc_t1+mc_vol*SQRT(mc_t1)*H979)</f>
        <v>1213.3368864444</v>
      </c>
      <c r="K979" s="59" t="n">
        <f aca="false">J979*EXP((mc_mu-mc_vol^2/2)*(mc_t2-mc_t1)+mc_vol*SQRT(mc_t2-mc_t1)*I979)</f>
        <v>913.895922921742</v>
      </c>
      <c r="L979" s="31" t="n">
        <f aca="false">(t1_usd*J979+t2_usd*K979)/1000</f>
        <v>10229.7604586621</v>
      </c>
    </row>
    <row r="980" customFormat="false" ht="15" hidden="false" customHeight="false" outlineLevel="0" collapsed="false">
      <c r="E980" s="54" t="n">
        <v>976</v>
      </c>
      <c r="F980" s="61" t="n">
        <v>0.940639</v>
      </c>
      <c r="G980" s="61" t="n">
        <v>0.236769</v>
      </c>
      <c r="H980" s="34" t="n">
        <f aca="false">NORMSINV(F980)</f>
        <v>1.56016031988101</v>
      </c>
      <c r="I980" s="34" t="n">
        <f aca="false">NORMSINV(G980)</f>
        <v>-0.716734393069734</v>
      </c>
      <c r="J980" s="59" t="n">
        <f aca="false">mc_s0*EXP((mc_mu-mc_vol^2/2)*mc_t1+mc_vol*SQRT(mc_t1)*H980)</f>
        <v>1330.48166788488</v>
      </c>
      <c r="K980" s="59" t="n">
        <f aca="false">J980*EXP((mc_mu-mc_vol^2/2)*(mc_t2-mc_t1)+mc_vol*SQRT(mc_t2-mc_t1)*I980)</f>
        <v>1210.13904703649</v>
      </c>
      <c r="L980" s="31" t="n">
        <f aca="false">(t1_usd*J980+t2_usd*K980)/1000</f>
        <v>11612.6358645635</v>
      </c>
    </row>
    <row r="981" customFormat="false" ht="15" hidden="false" customHeight="false" outlineLevel="0" collapsed="false">
      <c r="E981" s="54" t="n">
        <v>977</v>
      </c>
      <c r="F981" s="61" t="n">
        <v>0.837109</v>
      </c>
      <c r="G981" s="61" t="n">
        <v>0.912658</v>
      </c>
      <c r="H981" s="34" t="n">
        <f aca="false">NORMSINV(F981)</f>
        <v>0.982645383191456</v>
      </c>
      <c r="I981" s="34" t="n">
        <f aca="false">NORMSINV(G981)</f>
        <v>1.35730600528731</v>
      </c>
      <c r="J981" s="59" t="n">
        <f aca="false">mc_s0*EXP((mc_mu-mc_vol^2/2)*mc_t1+mc_vol*SQRT(mc_t1)*H981)</f>
        <v>1259.07243876262</v>
      </c>
      <c r="K981" s="59" t="n">
        <f aca="false">J981*EXP((mc_mu-mc_vol^2/2)*(mc_t2-mc_t1)+mc_vol*SQRT(mc_t2-mc_t1)*I981)</f>
        <v>1587.91873449636</v>
      </c>
      <c r="L981" s="31" t="n">
        <f aca="false">(t1_usd*J981+t2_usd*K981)/1000</f>
        <v>11830.5526668814</v>
      </c>
    </row>
    <row r="982" customFormat="false" ht="15" hidden="false" customHeight="false" outlineLevel="0" collapsed="false">
      <c r="E982" s="54" t="n">
        <v>978</v>
      </c>
      <c r="F982" s="61" t="n">
        <v>0.125633</v>
      </c>
      <c r="G982" s="61" t="n">
        <v>0.095178</v>
      </c>
      <c r="H982" s="34" t="n">
        <f aca="false">NORMSINV(F982)</f>
        <v>-1.14727979949373</v>
      </c>
      <c r="I982" s="34" t="n">
        <f aca="false">NORMSINV(G982)</f>
        <v>-1.30952669868807</v>
      </c>
      <c r="J982" s="59" t="n">
        <f aca="false">mc_s0*EXP((mc_mu-mc_vol^2/2)*mc_t1+mc_vol*SQRT(mc_t1)*H982)</f>
        <v>1027.28484133888</v>
      </c>
      <c r="K982" s="59" t="n">
        <f aca="false">J982*EXP((mc_mu-mc_vol^2/2)*(mc_t2-mc_t1)+mc_vol*SQRT(mc_t2-mc_t1)*I982)</f>
        <v>851.031142692449</v>
      </c>
      <c r="L982" s="31" t="n">
        <f aca="false">(t1_usd*J982+t2_usd*K982)/1000</f>
        <v>8807.95306048785</v>
      </c>
    </row>
    <row r="983" customFormat="false" ht="15" hidden="false" customHeight="false" outlineLevel="0" collapsed="false">
      <c r="E983" s="54" t="n">
        <v>979</v>
      </c>
      <c r="F983" s="61" t="n">
        <v>0.501899</v>
      </c>
      <c r="G983" s="61" t="n">
        <v>0.052711</v>
      </c>
      <c r="H983" s="34" t="n">
        <f aca="false">NORMSINV(F983)</f>
        <v>0.00476010506968281</v>
      </c>
      <c r="I983" s="34" t="n">
        <f aca="false">NORMSINV(G983)</f>
        <v>-1.61911742646713</v>
      </c>
      <c r="J983" s="59" t="n">
        <f aca="false">mc_s0*EXP((mc_mu-mc_vol^2/2)*mc_t1+mc_vol*SQRT(mc_t1)*H983)</f>
        <v>1146.78814931924</v>
      </c>
      <c r="K983" s="59" t="n">
        <f aca="false">J983*EXP((mc_mu-mc_vol^2/2)*(mc_t2-mc_t1)+mc_vol*SQRT(mc_t2-mc_t1)*I983)</f>
        <v>904.7921113073</v>
      </c>
      <c r="L983" s="31" t="n">
        <f aca="false">(t1_usd*J983+t2_usd*K983)/1000</f>
        <v>9746.62205671852</v>
      </c>
    </row>
    <row r="984" customFormat="false" ht="15" hidden="false" customHeight="false" outlineLevel="0" collapsed="false">
      <c r="E984" s="54" t="n">
        <v>980</v>
      </c>
      <c r="F984" s="61" t="n">
        <v>0.42925</v>
      </c>
      <c r="G984" s="61" t="n">
        <v>0.510604</v>
      </c>
      <c r="H984" s="34" t="n">
        <f aca="false">NORMSINV(F984)</f>
        <v>-0.178283928263499</v>
      </c>
      <c r="I984" s="34" t="n">
        <f aca="false">NORMSINV(G984)</f>
        <v>0.0265834168785384</v>
      </c>
      <c r="J984" s="59" t="n">
        <f aca="false">mc_s0*EXP((mc_mu-mc_vol^2/2)*mc_t1+mc_vol*SQRT(mc_t1)*H984)</f>
        <v>1126.91101518456</v>
      </c>
      <c r="K984" s="59" t="n">
        <f aca="false">J984*EXP((mc_mu-mc_vol^2/2)*(mc_t2-mc_t1)+mc_vol*SQRT(mc_t2-mc_t1)*I984)</f>
        <v>1152.36498728518</v>
      </c>
      <c r="L984" s="31" t="n">
        <f aca="false">(t1_usd*J984+t2_usd*K984)/1000</f>
        <v>10077.8705821338</v>
      </c>
    </row>
    <row r="985" customFormat="false" ht="15" hidden="false" customHeight="false" outlineLevel="0" collapsed="false">
      <c r="E985" s="54" t="n">
        <v>981</v>
      </c>
      <c r="F985" s="61" t="n">
        <v>0.121649</v>
      </c>
      <c r="G985" s="61" t="n">
        <v>0.366367</v>
      </c>
      <c r="H985" s="34" t="n">
        <f aca="false">NORMSINV(F985)</f>
        <v>-1.16678303460207</v>
      </c>
      <c r="I985" s="34" t="n">
        <f aca="false">NORMSINV(G985)</f>
        <v>-0.341490972211502</v>
      </c>
      <c r="J985" s="59" t="n">
        <f aca="false">mc_s0*EXP((mc_mu-mc_vol^2/2)*mc_t1+mc_vol*SQRT(mc_t1)*H985)</f>
        <v>1025.3727910849</v>
      </c>
      <c r="K985" s="59" t="n">
        <f aca="false">J985*EXP((mc_mu-mc_vol^2/2)*(mc_t2-mc_t1)+mc_vol*SQRT(mc_t2-mc_t1)*I985)</f>
        <v>989.442417862711</v>
      </c>
      <c r="L985" s="31" t="n">
        <f aca="false">(t1_usd*J985+t2_usd*K985)/1000</f>
        <v>9057.55013153348</v>
      </c>
    </row>
    <row r="986" customFormat="false" ht="15" hidden="false" customHeight="false" outlineLevel="0" collapsed="false">
      <c r="E986" s="54" t="n">
        <v>982</v>
      </c>
      <c r="F986" s="61" t="n">
        <v>0.09886</v>
      </c>
      <c r="G986" s="61" t="n">
        <v>0.629321</v>
      </c>
      <c r="H986" s="34" t="n">
        <f aca="false">NORMSINV(F986)</f>
        <v>-1.28807458883665</v>
      </c>
      <c r="I986" s="34" t="n">
        <f aca="false">NORMSINV(G986)</f>
        <v>0.330055535240981</v>
      </c>
      <c r="J986" s="59" t="n">
        <f aca="false">mc_s0*EXP((mc_mu-mc_vol^2/2)*mc_t1+mc_vol*SQRT(mc_t1)*H986)</f>
        <v>1013.56128871202</v>
      </c>
      <c r="K986" s="59" t="n">
        <f aca="false">J986*EXP((mc_mu-mc_vol^2/2)*(mc_t2-mc_t1)+mc_vol*SQRT(mc_t2-mc_t1)*I986)</f>
        <v>1087.22803077629</v>
      </c>
      <c r="L986" s="31" t="n">
        <f aca="false">(t1_usd*J986+t2_usd*K986)/1000</f>
        <v>9160.66227945911</v>
      </c>
    </row>
    <row r="987" customFormat="false" ht="15" hidden="false" customHeight="false" outlineLevel="0" collapsed="false">
      <c r="E987" s="54" t="n">
        <v>983</v>
      </c>
      <c r="F987" s="61" t="n">
        <v>0.789672</v>
      </c>
      <c r="G987" s="61" t="n">
        <v>0.781392</v>
      </c>
      <c r="H987" s="34" t="n">
        <f aca="false">NORMSINV(F987)</f>
        <v>0.805283675234925</v>
      </c>
      <c r="I987" s="34" t="n">
        <f aca="false">NORMSINV(G987)</f>
        <v>0.776903001973705</v>
      </c>
      <c r="J987" s="59" t="n">
        <f aca="false">mc_s0*EXP((mc_mu-mc_vol^2/2)*mc_t1+mc_vol*SQRT(mc_t1)*H987)</f>
        <v>1237.92084474001</v>
      </c>
      <c r="K987" s="59" t="n">
        <f aca="false">J987*EXP((mc_mu-mc_vol^2/2)*(mc_t2-mc_t1)+mc_vol*SQRT(mc_t2-mc_t1)*I987)</f>
        <v>1424.77593775224</v>
      </c>
      <c r="L987" s="31" t="n">
        <f aca="false">(t1_usd*J987+t2_usd*K987)/1000</f>
        <v>11372.5201949094</v>
      </c>
    </row>
    <row r="988" customFormat="false" ht="15" hidden="false" customHeight="false" outlineLevel="0" collapsed="false">
      <c r="E988" s="54" t="n">
        <v>984</v>
      </c>
      <c r="F988" s="61" t="n">
        <v>0.569817</v>
      </c>
      <c r="G988" s="61" t="n">
        <v>0.253705</v>
      </c>
      <c r="H988" s="34" t="n">
        <f aca="false">NORMSINV(F988)</f>
        <v>0.175908280369087</v>
      </c>
      <c r="I988" s="34" t="n">
        <f aca="false">NORMSINV(G988)</f>
        <v>-0.6628759591051</v>
      </c>
      <c r="J988" s="59" t="n">
        <f aca="false">mc_s0*EXP((mc_mu-mc_vol^2/2)*mc_t1+mc_vol*SQRT(mc_t1)*H988)</f>
        <v>1165.6905337756</v>
      </c>
      <c r="K988" s="59" t="n">
        <f aca="false">J988*EXP((mc_mu-mc_vol^2/2)*(mc_t2-mc_t1)+mc_vol*SQRT(mc_t2-mc_t1)*I988)</f>
        <v>1069.2907755581</v>
      </c>
      <c r="L988" s="31" t="n">
        <f aca="false">(t1_usd*J988+t2_usd*K988)/1000</f>
        <v>10191.4862099896</v>
      </c>
    </row>
    <row r="989" customFormat="false" ht="15" hidden="false" customHeight="false" outlineLevel="0" collapsed="false">
      <c r="E989" s="54" t="n">
        <v>985</v>
      </c>
      <c r="F989" s="61" t="n">
        <v>0.662466</v>
      </c>
      <c r="G989" s="61" t="n">
        <v>0.976035</v>
      </c>
      <c r="H989" s="34" t="n">
        <f aca="false">NORMSINV(F989)</f>
        <v>0.419202698664992</v>
      </c>
      <c r="I989" s="34" t="n">
        <f aca="false">NORMSINV(G989)</f>
        <v>1.97798853554972</v>
      </c>
      <c r="J989" s="59" t="n">
        <f aca="false">mc_s0*EXP((mc_mu-mc_vol^2/2)*mc_t1+mc_vol*SQRT(mc_t1)*H989)</f>
        <v>1193.09857293245</v>
      </c>
      <c r="K989" s="59" t="n">
        <f aca="false">J989*EXP((mc_mu-mc_vol^2/2)*(mc_t2-mc_t1)+mc_vol*SQRT(mc_t2-mc_t1)*I989)</f>
        <v>1659.33680594593</v>
      </c>
      <c r="L989" s="31" t="n">
        <f aca="false">(t1_usd*J989+t2_usd*K989)/1000</f>
        <v>11504.4299418244</v>
      </c>
    </row>
    <row r="990" customFormat="false" ht="15" hidden="false" customHeight="false" outlineLevel="0" collapsed="false">
      <c r="E990" s="54" t="n">
        <v>986</v>
      </c>
      <c r="F990" s="61" t="n">
        <v>0.793815</v>
      </c>
      <c r="G990" s="61" t="n">
        <v>0.89039</v>
      </c>
      <c r="H990" s="34" t="n">
        <f aca="false">NORMSINV(F990)</f>
        <v>0.819730076891591</v>
      </c>
      <c r="I990" s="34" t="n">
        <f aca="false">NORMSINV(G990)</f>
        <v>1.22860483984473</v>
      </c>
      <c r="J990" s="59" t="n">
        <f aca="false">mc_s0*EXP((mc_mu-mc_vol^2/2)*mc_t1+mc_vol*SQRT(mc_t1)*H990)</f>
        <v>1239.63030299272</v>
      </c>
      <c r="K990" s="59" t="n">
        <f aca="false">J990*EXP((mc_mu-mc_vol^2/2)*(mc_t2-mc_t1)+mc_vol*SQRT(mc_t2-mc_t1)*I990)</f>
        <v>1532.00856283958</v>
      </c>
      <c r="L990" s="31" t="n">
        <f aca="false">(t1_usd*J990+t2_usd*K990)/1000</f>
        <v>11588.2283903443</v>
      </c>
    </row>
    <row r="991" customFormat="false" ht="15" hidden="false" customHeight="false" outlineLevel="0" collapsed="false">
      <c r="E991" s="54" t="n">
        <v>987</v>
      </c>
      <c r="F991" s="61" t="n">
        <v>0.100599</v>
      </c>
      <c r="G991" s="61" t="n">
        <v>0.652855</v>
      </c>
      <c r="H991" s="34" t="n">
        <f aca="false">NORMSINV(F991)</f>
        <v>-1.27814586414166</v>
      </c>
      <c r="I991" s="34" t="n">
        <f aca="false">NORMSINV(G991)</f>
        <v>0.393039916221058</v>
      </c>
      <c r="J991" s="59" t="n">
        <f aca="false">mc_s0*EXP((mc_mu-mc_vol^2/2)*mc_t1+mc_vol*SQRT(mc_t1)*H991)</f>
        <v>1014.52302431916</v>
      </c>
      <c r="K991" s="59" t="n">
        <f aca="false">J991*EXP((mc_mu-mc_vol^2/2)*(mc_t2-mc_t1)+mc_vol*SQRT(mc_t2-mc_t1)*I991)</f>
        <v>1099.115421487</v>
      </c>
      <c r="L991" s="31" t="n">
        <f aca="false">(t1_usd*J991+t2_usd*K991)/1000</f>
        <v>9189.98047105943</v>
      </c>
    </row>
    <row r="992" customFormat="false" ht="15" hidden="false" customHeight="false" outlineLevel="0" collapsed="false">
      <c r="E992" s="54" t="n">
        <v>988</v>
      </c>
      <c r="F992" s="61" t="n">
        <v>0.094155</v>
      </c>
      <c r="G992" s="61" t="n">
        <v>0.097643</v>
      </c>
      <c r="H992" s="34" t="n">
        <f aca="false">NORMSINV(F992)</f>
        <v>-1.31559503769232</v>
      </c>
      <c r="I992" s="34" t="n">
        <f aca="false">NORMSINV(G992)</f>
        <v>-1.29509923149378</v>
      </c>
      <c r="J992" s="59" t="n">
        <f aca="false">mc_s0*EXP((mc_mu-mc_vol^2/2)*mc_t1+mc_vol*SQRT(mc_t1)*H992)</f>
        <v>1010.90031208392</v>
      </c>
      <c r="K992" s="59" t="n">
        <f aca="false">J992*EXP((mc_mu-mc_vol^2/2)*(mc_t2-mc_t1)+mc_vol*SQRT(mc_t2-mc_t1)*I992)</f>
        <v>839.364015455622</v>
      </c>
      <c r="L992" s="31" t="n">
        <f aca="false">(t1_usd*J992+t2_usd*K992)/1000</f>
        <v>8671.09381395309</v>
      </c>
    </row>
    <row r="993" customFormat="false" ht="15" hidden="false" customHeight="false" outlineLevel="0" collapsed="false">
      <c r="E993" s="54" t="n">
        <v>989</v>
      </c>
      <c r="F993" s="61" t="n">
        <v>0.663432</v>
      </c>
      <c r="G993" s="61" t="n">
        <v>0.269595</v>
      </c>
      <c r="H993" s="34" t="n">
        <f aca="false">NORMSINV(F993)</f>
        <v>0.421847955344143</v>
      </c>
      <c r="I993" s="34" t="n">
        <f aca="false">NORMSINV(G993)</f>
        <v>-0.614038327982331</v>
      </c>
      <c r="J993" s="59" t="n">
        <f aca="false">mc_s0*EXP((mc_mu-mc_vol^2/2)*mc_t1+mc_vol*SQRT(mc_t1)*H993)</f>
        <v>1193.40008539343</v>
      </c>
      <c r="K993" s="59" t="n">
        <f aca="false">J993*EXP((mc_mu-mc_vol^2/2)*(mc_t2-mc_t1)+mc_vol*SQRT(mc_t2-mc_t1)*I993)</f>
        <v>1103.16672417798</v>
      </c>
      <c r="L993" s="31" t="n">
        <f aca="false">(t1_usd*J993+t2_usd*K993)/1000</f>
        <v>10449.8173736922</v>
      </c>
    </row>
    <row r="994" customFormat="false" ht="15" hidden="false" customHeight="false" outlineLevel="0" collapsed="false">
      <c r="E994" s="54" t="n">
        <v>990</v>
      </c>
      <c r="F994" s="61" t="n">
        <v>0.981768</v>
      </c>
      <c r="G994" s="61" t="n">
        <v>0.620394</v>
      </c>
      <c r="H994" s="34" t="n">
        <f aca="false">NORMSINV(F994)</f>
        <v>2.09171519973928</v>
      </c>
      <c r="I994" s="34" t="n">
        <f aca="false">NORMSINV(G994)</f>
        <v>0.306515736604807</v>
      </c>
      <c r="J994" s="59" t="n">
        <f aca="false">mc_s0*EXP((mc_mu-mc_vol^2/2)*mc_t1+mc_vol*SQRT(mc_t1)*H994)</f>
        <v>1399.78205641989</v>
      </c>
      <c r="K994" s="59" t="n">
        <f aca="false">J994*EXP((mc_mu-mc_vol^2/2)*(mc_t2-mc_t1)+mc_vol*SQRT(mc_t2-mc_t1)*I994)</f>
        <v>1495.95985901841</v>
      </c>
      <c r="L994" s="31" t="n">
        <f aca="false">(t1_usd*J994+t2_usd*K994)/1000</f>
        <v>12640.7981270742</v>
      </c>
    </row>
    <row r="995" customFormat="false" ht="15" hidden="false" customHeight="false" outlineLevel="0" collapsed="false">
      <c r="E995" s="54" t="n">
        <v>991</v>
      </c>
      <c r="F995" s="61" t="n">
        <v>0.760837</v>
      </c>
      <c r="G995" s="61" t="n">
        <v>0.520741</v>
      </c>
      <c r="H995" s="34" t="n">
        <f aca="false">NORMSINV(F995)</f>
        <v>0.708997545514036</v>
      </c>
      <c r="I995" s="34" t="n">
        <f aca="false">NORMSINV(G995)</f>
        <v>0.0520134203454703</v>
      </c>
      <c r="J995" s="59" t="n">
        <f aca="false">mc_s0*EXP((mc_mu-mc_vol^2/2)*mc_t1+mc_vol*SQRT(mc_t1)*H995)</f>
        <v>1226.58726319648</v>
      </c>
      <c r="K995" s="59" t="n">
        <f aca="false">J995*EXP((mc_mu-mc_vol^2/2)*(mc_t2-mc_t1)+mc_vol*SQRT(mc_t2-mc_t1)*I995)</f>
        <v>1259.32944471744</v>
      </c>
      <c r="L995" s="31" t="n">
        <f aca="false">(t1_usd*J995+t2_usd*K995)/1000</f>
        <v>10978.8367873385</v>
      </c>
    </row>
    <row r="996" customFormat="false" ht="15" hidden="false" customHeight="false" outlineLevel="0" collapsed="false">
      <c r="E996" s="54" t="n">
        <v>992</v>
      </c>
      <c r="F996" s="61" t="n">
        <v>0.831098</v>
      </c>
      <c r="G996" s="61" t="n">
        <v>0.346685</v>
      </c>
      <c r="H996" s="34" t="n">
        <f aca="false">NORMSINV(F996)</f>
        <v>0.958513276490815</v>
      </c>
      <c r="I996" s="34" t="n">
        <f aca="false">NORMSINV(G996)</f>
        <v>-0.394285862162231</v>
      </c>
      <c r="J996" s="59" t="n">
        <f aca="false">mc_s0*EXP((mc_mu-mc_vol^2/2)*mc_t1+mc_vol*SQRT(mc_t1)*H996)</f>
        <v>1256.1734152349</v>
      </c>
      <c r="K996" s="59" t="n">
        <f aca="false">J996*EXP((mc_mu-mc_vol^2/2)*(mc_t2-mc_t1)+mc_vol*SQRT(mc_t2-mc_t1)*I996)</f>
        <v>1202.11205850167</v>
      </c>
      <c r="L996" s="31" t="n">
        <f aca="false">(t1_usd*J996+t2_usd*K996)/1000</f>
        <v>11077.2268177975</v>
      </c>
    </row>
    <row r="997" customFormat="false" ht="15" hidden="false" customHeight="false" outlineLevel="0" collapsed="false">
      <c r="E997" s="54" t="n">
        <v>993</v>
      </c>
      <c r="F997" s="61" t="n">
        <v>0.271494</v>
      </c>
      <c r="G997" s="61" t="n">
        <v>0.399736</v>
      </c>
      <c r="H997" s="34" t="n">
        <f aca="false">NORMSINV(F997)</f>
        <v>-0.608300785739491</v>
      </c>
      <c r="I997" s="34" t="n">
        <f aca="false">NORMSINV(G997)</f>
        <v>-0.254030493785659</v>
      </c>
      <c r="J997" s="59" t="n">
        <f aca="false">mc_s0*EXP((mc_mu-mc_vol^2/2)*mc_t1+mc_vol*SQRT(mc_t1)*H997)</f>
        <v>1081.55945081743</v>
      </c>
      <c r="K997" s="59" t="n">
        <f aca="false">J997*EXP((mc_mu-mc_vol^2/2)*(mc_t2-mc_t1)+mc_vol*SQRT(mc_t2-mc_t1)*I997)</f>
        <v>1058.14477063018</v>
      </c>
      <c r="L997" s="31" t="n">
        <f aca="false">(t1_usd*J997+t2_usd*K997)/1000</f>
        <v>9581.39121991934</v>
      </c>
    </row>
    <row r="998" customFormat="false" ht="15" hidden="false" customHeight="false" outlineLevel="0" collapsed="false">
      <c r="E998" s="54" t="n">
        <v>994</v>
      </c>
      <c r="F998" s="61" t="n">
        <v>0.282238</v>
      </c>
      <c r="G998" s="61" t="n">
        <v>0.709111</v>
      </c>
      <c r="H998" s="34" t="n">
        <f aca="false">NORMSINV(F998)</f>
        <v>-0.576205926265759</v>
      </c>
      <c r="I998" s="34" t="n">
        <f aca="false">NORMSINV(G998)</f>
        <v>0.550789474966179</v>
      </c>
      <c r="J998" s="59" t="n">
        <f aca="false">mc_s0*EXP((mc_mu-mc_vol^2/2)*mc_t1+mc_vol*SQRT(mc_t1)*H998)</f>
        <v>1084.88036781636</v>
      </c>
      <c r="K998" s="59" t="n">
        <f aca="false">J998*EXP((mc_mu-mc_vol^2/2)*(mc_t2-mc_t1)+mc_vol*SQRT(mc_t2-mc_t1)*I998)</f>
        <v>1204.92472633164</v>
      </c>
      <c r="L998" s="31" t="n">
        <f aca="false">(t1_usd*J998+t2_usd*K998)/1000</f>
        <v>9883.51955474464</v>
      </c>
    </row>
    <row r="999" customFormat="false" ht="15" hidden="false" customHeight="false" outlineLevel="0" collapsed="false">
      <c r="E999" s="54" t="n">
        <v>995</v>
      </c>
      <c r="F999" s="61" t="n">
        <v>0.508899</v>
      </c>
      <c r="G999" s="61" t="n">
        <v>0.709537</v>
      </c>
      <c r="H999" s="34" t="n">
        <f aca="false">NORMSINV(F999)</f>
        <v>0.0223083352122736</v>
      </c>
      <c r="I999" s="34" t="n">
        <f aca="false">NORMSINV(G999)</f>
        <v>0.552032626504839</v>
      </c>
      <c r="J999" s="59" t="n">
        <f aca="false">mc_s0*EXP((mc_mu-mc_vol^2/2)*mc_t1+mc_vol*SQRT(mc_t1)*H999)</f>
        <v>1148.71206844367</v>
      </c>
      <c r="K999" s="59" t="n">
        <f aca="false">J999*EXP((mc_mu-mc_vol^2/2)*(mc_t2-mc_t1)+mc_vol*SQRT(mc_t2-mc_t1)*I999)</f>
        <v>1276.06951579028</v>
      </c>
      <c r="L999" s="31" t="n">
        <f aca="false">(t1_usd*J999+t2_usd*K999)/1000</f>
        <v>10465.5165591073</v>
      </c>
    </row>
    <row r="1000" customFormat="false" ht="15" hidden="false" customHeight="false" outlineLevel="0" collapsed="false">
      <c r="E1000" s="54" t="n">
        <v>996</v>
      </c>
      <c r="F1000" s="61" t="n">
        <v>0.362159</v>
      </c>
      <c r="G1000" s="61" t="n">
        <v>0.552014</v>
      </c>
      <c r="H1000" s="34" t="n">
        <f aca="false">NORMSINV(F1000)</f>
        <v>-0.352693810580959</v>
      </c>
      <c r="I1000" s="34" t="n">
        <f aca="false">NORMSINV(G1000)</f>
        <v>0.130751362091343</v>
      </c>
      <c r="J1000" s="59" t="n">
        <f aca="false">mc_s0*EXP((mc_mu-mc_vol^2/2)*mc_t1+mc_vol*SQRT(mc_t1)*H1000)</f>
        <v>1108.29210348203</v>
      </c>
      <c r="K1000" s="59" t="n">
        <f aca="false">J1000*EXP((mc_mu-mc_vol^2/2)*(mc_t2-mc_t1)+mc_vol*SQRT(mc_t2-mc_t1)*I1000)</f>
        <v>1152.08392509254</v>
      </c>
      <c r="L1000" s="31" t="n">
        <f aca="false">(t1_usd*J1000+t2_usd*K1000)/1000</f>
        <v>9947.00418205001</v>
      </c>
    </row>
    <row r="1001" customFormat="false" ht="15" hidden="false" customHeight="false" outlineLevel="0" collapsed="false">
      <c r="E1001" s="54" t="n">
        <v>997</v>
      </c>
      <c r="F1001" s="61" t="n">
        <v>0.046023</v>
      </c>
      <c r="G1001" s="61" t="n">
        <v>0.937217</v>
      </c>
      <c r="H1001" s="34" t="n">
        <f aca="false">NORMSINV(F1001)</f>
        <v>-1.68470241680836</v>
      </c>
      <c r="I1001" s="34" t="n">
        <f aca="false">NORMSINV(G1001)</f>
        <v>1.53182348112153</v>
      </c>
      <c r="J1001" s="59" t="n">
        <f aca="false">mc_s0*EXP((mc_mu-mc_vol^2/2)*mc_t1+mc_vol*SQRT(mc_t1)*H1001)</f>
        <v>975.878904111506</v>
      </c>
      <c r="K1001" s="59" t="n">
        <f aca="false">J1001*EXP((mc_mu-mc_vol^2/2)*(mc_t2-mc_t1)+mc_vol*SQRT(mc_t2-mc_t1)*I1001)</f>
        <v>1265.07940381634</v>
      </c>
      <c r="L1001" s="31" t="n">
        <f aca="false">(t1_usd*J1001+t2_usd*K1001)/1000</f>
        <v>9234.80319603159</v>
      </c>
    </row>
    <row r="1002" customFormat="false" ht="15" hidden="false" customHeight="false" outlineLevel="0" collapsed="false">
      <c r="E1002" s="54" t="n">
        <v>998</v>
      </c>
      <c r="F1002" s="61" t="n">
        <v>0.652012</v>
      </c>
      <c r="G1002" s="61" t="n">
        <v>0.27068</v>
      </c>
      <c r="H1002" s="34" t="n">
        <f aca="false">NORMSINV(F1002)</f>
        <v>0.390758165918451</v>
      </c>
      <c r="I1002" s="34" t="n">
        <f aca="false">NORMSINV(G1002)</f>
        <v>-0.610757701303958</v>
      </c>
      <c r="J1002" s="59" t="n">
        <f aca="false">mc_s0*EXP((mc_mu-mc_vol^2/2)*mc_t1+mc_vol*SQRT(mc_t1)*H1002)</f>
        <v>1189.8612091545</v>
      </c>
      <c r="K1002" s="59" t="n">
        <f aca="false">J1002*EXP((mc_mu-mc_vol^2/2)*(mc_t2-mc_t1)+mc_vol*SQRT(mc_t2-mc_t1)*I1002)</f>
        <v>1100.46422135593</v>
      </c>
      <c r="L1002" s="31" t="n">
        <f aca="false">(t1_usd*J1002+t2_usd*K1002)/1000</f>
        <v>10419.9104846578</v>
      </c>
    </row>
    <row r="1003" customFormat="false" ht="15" hidden="false" customHeight="false" outlineLevel="0" collapsed="false">
      <c r="E1003" s="54" t="n">
        <v>999</v>
      </c>
      <c r="F1003" s="61" t="n">
        <v>0.155713</v>
      </c>
      <c r="G1003" s="61" t="n">
        <v>0.64937</v>
      </c>
      <c r="H1003" s="34" t="n">
        <f aca="false">NORMSINV(F1003)</f>
        <v>-1.01223438327902</v>
      </c>
      <c r="I1003" s="34" t="n">
        <f aca="false">NORMSINV(G1003)</f>
        <v>0.383620154199482</v>
      </c>
      <c r="J1003" s="59" t="n">
        <f aca="false">mc_s0*EXP((mc_mu-mc_vol^2/2)*mc_t1+mc_vol*SQRT(mc_t1)*H1003)</f>
        <v>1040.62254807228</v>
      </c>
      <c r="K1003" s="59" t="n">
        <f aca="false">J1003*EXP((mc_mu-mc_vol^2/2)*(mc_t2-mc_t1)+mc_vol*SQRT(mc_t2-mc_t1)*I1003)</f>
        <v>1125.71880149606</v>
      </c>
      <c r="L1003" s="31" t="n">
        <f aca="false">(t1_usd*J1003+t2_usd*K1003)/1000</f>
        <v>9423.22355934848</v>
      </c>
    </row>
    <row r="1004" customFormat="false" ht="15" hidden="false" customHeight="false" outlineLevel="0" collapsed="false">
      <c r="E1004" s="54" t="n">
        <v>1000</v>
      </c>
      <c r="F1004" s="61" t="n">
        <v>0.055153</v>
      </c>
      <c r="G1004" s="61" t="n">
        <v>0.724316</v>
      </c>
      <c r="H1004" s="34" t="n">
        <f aca="false">NORMSINV(F1004)</f>
        <v>-1.59681926647011</v>
      </c>
      <c r="I1004" s="34" t="n">
        <f aca="false">NORMSINV(G1004)</f>
        <v>0.595711461602254</v>
      </c>
      <c r="J1004" s="59" t="n">
        <f aca="false">mc_s0*EXP((mc_mu-mc_vol^2/2)*mc_t1+mc_vol*SQRT(mc_t1)*H1004)</f>
        <v>984.105723918111</v>
      </c>
      <c r="K1004" s="59" t="n">
        <f aca="false">J1004*EXP((mc_mu-mc_vol^2/2)*(mc_t2-mc_t1)+mc_vol*SQRT(mc_t2-mc_t1)*I1004)</f>
        <v>1100.76438207585</v>
      </c>
      <c r="L1004" s="31" t="n">
        <f aca="false">(t1_usd*J1004+t2_usd*K1004)/1000</f>
        <v>8980.1923933709</v>
      </c>
    </row>
    <row r="1005" customFormat="false" ht="15" hidden="false" customHeight="false" outlineLevel="0" collapsed="false">
      <c r="E1005" s="54" t="n">
        <v>1001</v>
      </c>
      <c r="F1005" s="61" t="n">
        <v>0.180806</v>
      </c>
      <c r="G1005" s="61" t="n">
        <v>0.551664</v>
      </c>
      <c r="H1005" s="34" t="n">
        <f aca="false">NORMSINV(F1005)</f>
        <v>-0.912297747061756</v>
      </c>
      <c r="I1005" s="34" t="n">
        <f aca="false">NORMSINV(G1005)</f>
        <v>0.129866561824338</v>
      </c>
      <c r="J1005" s="59" t="n">
        <f aca="false">mc_s0*EXP((mc_mu-mc_vol^2/2)*mc_t1+mc_vol*SQRT(mc_t1)*H1005)</f>
        <v>1050.60411655374</v>
      </c>
      <c r="K1005" s="59" t="n">
        <f aca="false">J1005*EXP((mc_mu-mc_vol^2/2)*(mc_t2-mc_t1)+mc_vol*SQRT(mc_t2-mc_t1)*I1005)</f>
        <v>1091.96424672751</v>
      </c>
      <c r="L1005" s="31" t="n">
        <f aca="false">(t1_usd*J1005+t2_usd*K1005)/1000</f>
        <v>9428.96088465843</v>
      </c>
    </row>
    <row r="1006" customFormat="false" ht="15" hidden="false" customHeight="false" outlineLevel="0" collapsed="false">
      <c r="E1006" s="54" t="n">
        <v>1002</v>
      </c>
      <c r="F1006" s="61" t="n">
        <v>0.335854</v>
      </c>
      <c r="G1006" s="61" t="n">
        <v>0.421992</v>
      </c>
      <c r="H1006" s="34" t="n">
        <f aca="false">NORMSINV(F1006)</f>
        <v>-0.423805042987231</v>
      </c>
      <c r="I1006" s="34" t="n">
        <f aca="false">NORMSINV(G1006)</f>
        <v>-0.196800065317466</v>
      </c>
      <c r="J1006" s="59" t="n">
        <f aca="false">mc_s0*EXP((mc_mu-mc_vol^2/2)*mc_t1+mc_vol*SQRT(mc_t1)*H1006)</f>
        <v>1100.78928385999</v>
      </c>
      <c r="K1006" s="59" t="n">
        <f aca="false">J1006*EXP((mc_mu-mc_vol^2/2)*(mc_t2-mc_t1)+mc_vol*SQRT(mc_t2-mc_t1)*I1006)</f>
        <v>1086.71545431624</v>
      </c>
      <c r="L1006" s="31" t="n">
        <f aca="false">(t1_usd*J1006+t2_usd*K1006)/1000</f>
        <v>9770.28435022078</v>
      </c>
    </row>
    <row r="1007" customFormat="false" ht="15" hidden="false" customHeight="false" outlineLevel="0" collapsed="false">
      <c r="E1007" s="54" t="n">
        <v>1003</v>
      </c>
      <c r="F1007" s="61" t="n">
        <v>0.832143</v>
      </c>
      <c r="G1007" s="61" t="n">
        <v>0.020009</v>
      </c>
      <c r="H1007" s="34" t="n">
        <f aca="false">NORMSINV(F1007)</f>
        <v>0.962668319647206</v>
      </c>
      <c r="I1007" s="34" t="n">
        <f aca="false">NORMSINV(G1007)</f>
        <v>-2.05356306533978</v>
      </c>
      <c r="J1007" s="59" t="n">
        <f aca="false">mc_s0*EXP((mc_mu-mc_vol^2/2)*mc_t1+mc_vol*SQRT(mc_t1)*H1007)</f>
        <v>1256.6720902104</v>
      </c>
      <c r="K1007" s="59" t="n">
        <f aca="false">J1007*EXP((mc_mu-mc_vol^2/2)*(mc_t2-mc_t1)+mc_vol*SQRT(mc_t2-mc_t1)*I1007)</f>
        <v>925.877035929488</v>
      </c>
      <c r="L1007" s="31" t="n">
        <f aca="false">(t1_usd*J1007+t2_usd*K1007)/1000</f>
        <v>10555.8709997388</v>
      </c>
    </row>
    <row r="1008" customFormat="false" ht="15" hidden="false" customHeight="false" outlineLevel="0" collapsed="false">
      <c r="E1008" s="54" t="n">
        <v>1004</v>
      </c>
      <c r="F1008" s="61" t="n">
        <v>0.482302</v>
      </c>
      <c r="G1008" s="61" t="n">
        <v>0.175964</v>
      </c>
      <c r="H1008" s="34" t="n">
        <f aca="false">NORMSINV(F1008)</f>
        <v>-0.044376868178207</v>
      </c>
      <c r="I1008" s="34" t="n">
        <f aca="false">NORMSINV(G1008)</f>
        <v>-0.930856110978346</v>
      </c>
      <c r="J1008" s="59" t="n">
        <f aca="false">mc_s0*EXP((mc_mu-mc_vol^2/2)*mc_t1+mc_vol*SQRT(mc_t1)*H1008)</f>
        <v>1141.41809074171</v>
      </c>
      <c r="K1008" s="59" t="n">
        <f aca="false">J1008*EXP((mc_mu-mc_vol^2/2)*(mc_t2-mc_t1)+mc_vol*SQRT(mc_t2-mc_t1)*I1008)</f>
        <v>1003.72847051035</v>
      </c>
      <c r="L1008" s="31" t="n">
        <f aca="false">(t1_usd*J1008+t2_usd*K1008)/1000</f>
        <v>9897.01072916167</v>
      </c>
    </row>
    <row r="1009" customFormat="false" ht="15" hidden="false" customHeight="false" outlineLevel="0" collapsed="false">
      <c r="E1009" s="54" t="n">
        <v>1005</v>
      </c>
      <c r="F1009" s="61" t="n">
        <v>0.663036</v>
      </c>
      <c r="G1009" s="61" t="n">
        <v>0.575206</v>
      </c>
      <c r="H1009" s="34" t="n">
        <f aca="false">NORMSINV(F1009)</f>
        <v>0.420763208428331</v>
      </c>
      <c r="I1009" s="34" t="n">
        <f aca="false">NORMSINV(G1009)</f>
        <v>0.189644135020514</v>
      </c>
      <c r="J1009" s="59" t="n">
        <f aca="false">mc_s0*EXP((mc_mu-mc_vol^2/2)*mc_t1+mc_vol*SQRT(mc_t1)*H1009)</f>
        <v>1193.27643422125</v>
      </c>
      <c r="K1009" s="59" t="n">
        <f aca="false">J1009*EXP((mc_mu-mc_vol^2/2)*(mc_t2-mc_t1)+mc_vol*SQRT(mc_t2-mc_t1)*I1009)</f>
        <v>1251.99234277532</v>
      </c>
      <c r="L1009" s="31" t="n">
        <f aca="false">(t1_usd*J1009+t2_usd*K1009)/1000</f>
        <v>10731.7204908219</v>
      </c>
    </row>
    <row r="1010" customFormat="false" ht="15" hidden="false" customHeight="false" outlineLevel="0" collapsed="false">
      <c r="E1010" s="54" t="n">
        <v>1006</v>
      </c>
      <c r="F1010" s="61" t="n">
        <v>0.517233</v>
      </c>
      <c r="G1010" s="61" t="n">
        <v>0.327218</v>
      </c>
      <c r="H1010" s="34" t="n">
        <f aca="false">NORMSINV(F1010)</f>
        <v>0.0432101677095709</v>
      </c>
      <c r="I1010" s="34" t="n">
        <f aca="false">NORMSINV(G1010)</f>
        <v>-0.447608178044666</v>
      </c>
      <c r="J1010" s="59" t="n">
        <f aca="false">mc_s0*EXP((mc_mu-mc_vol^2/2)*mc_t1+mc_vol*SQRT(mc_t1)*H1010)</f>
        <v>1151.007875699</v>
      </c>
      <c r="K1010" s="59" t="n">
        <f aca="false">J1010*EXP((mc_mu-mc_vol^2/2)*(mc_t2-mc_t1)+mc_vol*SQRT(mc_t2-mc_t1)*I1010)</f>
        <v>1092.25532965364</v>
      </c>
      <c r="L1010" s="31" t="n">
        <f aca="false">(t1_usd*J1010+t2_usd*K1010)/1000</f>
        <v>10132.3402562349</v>
      </c>
    </row>
    <row r="1011" customFormat="false" ht="15" hidden="false" customHeight="false" outlineLevel="0" collapsed="false">
      <c r="E1011" s="54" t="n">
        <v>1007</v>
      </c>
      <c r="F1011" s="61" t="n">
        <v>0.193252</v>
      </c>
      <c r="G1011" s="61" t="n">
        <v>0.438926</v>
      </c>
      <c r="H1011" s="34" t="n">
        <f aca="false">NORMSINV(F1011)</f>
        <v>-0.86597476600358</v>
      </c>
      <c r="I1011" s="34" t="n">
        <f aca="false">NORMSINV(G1011)</f>
        <v>-0.153692751931041</v>
      </c>
      <c r="J1011" s="59" t="n">
        <f aca="false">mc_s0*EXP((mc_mu-mc_vol^2/2)*mc_t1+mc_vol*SQRT(mc_t1)*H1011)</f>
        <v>1055.26322752971</v>
      </c>
      <c r="K1011" s="59" t="n">
        <f aca="false">J1011*EXP((mc_mu-mc_vol^2/2)*(mc_t2-mc_t1)+mc_vol*SQRT(mc_t2-mc_t1)*I1011)</f>
        <v>1048.87274263578</v>
      </c>
      <c r="L1011" s="31" t="n">
        <f aca="false">(t1_usd*J1011+t2_usd*K1011)/1000</f>
        <v>9379.70080371597</v>
      </c>
    </row>
    <row r="1012" customFormat="false" ht="15" hidden="false" customHeight="false" outlineLevel="0" collapsed="false">
      <c r="E1012" s="54" t="n">
        <v>1008</v>
      </c>
      <c r="F1012" s="61" t="n">
        <v>0.771304</v>
      </c>
      <c r="G1012" s="61" t="n">
        <v>0.734223</v>
      </c>
      <c r="H1012" s="34" t="n">
        <f aca="false">NORMSINV(F1012)</f>
        <v>0.743148134919285</v>
      </c>
      <c r="I1012" s="34" t="n">
        <f aca="false">NORMSINV(G1012)</f>
        <v>0.625635573705714</v>
      </c>
      <c r="J1012" s="59" t="n">
        <f aca="false">mc_s0*EXP((mc_mu-mc_vol^2/2)*mc_t1+mc_vol*SQRT(mc_t1)*H1012)</f>
        <v>1230.59511324089</v>
      </c>
      <c r="K1012" s="59" t="n">
        <f aca="false">J1012*EXP((mc_mu-mc_vol^2/2)*(mc_t2-mc_t1)+mc_vol*SQRT(mc_t2-mc_t1)*I1012)</f>
        <v>1382.97986937217</v>
      </c>
      <c r="L1012" s="31" t="n">
        <f aca="false">(t1_usd*J1012+t2_usd*K1012)/1000</f>
        <v>11241.8275444933</v>
      </c>
    </row>
    <row r="1013" customFormat="false" ht="15" hidden="false" customHeight="false" outlineLevel="0" collapsed="false">
      <c r="E1013" s="54" t="n">
        <v>1009</v>
      </c>
      <c r="F1013" s="61" t="n">
        <v>0.218889</v>
      </c>
      <c r="G1013" s="61" t="n">
        <v>0.869868</v>
      </c>
      <c r="H1013" s="34" t="n">
        <f aca="false">NORMSINV(F1013)</f>
        <v>-0.775950861473935</v>
      </c>
      <c r="I1013" s="34" t="n">
        <f aca="false">NORMSINV(G1013)</f>
        <v>1.12576736778548</v>
      </c>
      <c r="J1013" s="59" t="n">
        <f aca="false">mc_s0*EXP((mc_mu-mc_vol^2/2)*mc_t1+mc_vol*SQRT(mc_t1)*H1013)</f>
        <v>1064.37690292067</v>
      </c>
      <c r="K1013" s="59" t="n">
        <f aca="false">J1013*EXP((mc_mu-mc_vol^2/2)*(mc_t2-mc_t1)+mc_vol*SQRT(mc_t2-mc_t1)*I1013)</f>
        <v>1294.27351084663</v>
      </c>
      <c r="L1013" s="31" t="n">
        <f aca="false">(t1_usd*J1013+t2_usd*K1013)/1000</f>
        <v>9909.75799105327</v>
      </c>
    </row>
    <row r="1014" customFormat="false" ht="15" hidden="false" customHeight="false" outlineLevel="0" collapsed="false">
      <c r="E1014" s="54" t="n">
        <v>1010</v>
      </c>
      <c r="F1014" s="61" t="n">
        <v>0.473195</v>
      </c>
      <c r="G1014" s="61" t="n">
        <v>0.481284</v>
      </c>
      <c r="H1014" s="34" t="n">
        <f aca="false">NORMSINV(F1014)</f>
        <v>-0.0672408061569026</v>
      </c>
      <c r="I1014" s="34" t="n">
        <f aca="false">NORMSINV(G1014)</f>
        <v>-0.0469312771375208</v>
      </c>
      <c r="J1014" s="59" t="n">
        <f aca="false">mc_s0*EXP((mc_mu-mc_vol^2/2)*mc_t1+mc_vol*SQRT(mc_t1)*H1014)</f>
        <v>1138.9279272258</v>
      </c>
      <c r="K1014" s="59" t="n">
        <f aca="false">J1014*EXP((mc_mu-mc_vol^2/2)*(mc_t2-mc_t1)+mc_vol*SQRT(mc_t2-mc_t1)*I1014)</f>
        <v>1151.23819682122</v>
      </c>
      <c r="L1014" s="31" t="n">
        <f aca="false">(t1_usd*J1014+t2_usd*K1014)/1000</f>
        <v>10159.8480645409</v>
      </c>
    </row>
    <row r="1015" customFormat="false" ht="15" hidden="false" customHeight="false" outlineLevel="0" collapsed="false">
      <c r="E1015" s="54" t="n">
        <v>1011</v>
      </c>
      <c r="F1015" s="61" t="n">
        <v>0.799883</v>
      </c>
      <c r="G1015" s="61" t="n">
        <v>0.279752</v>
      </c>
      <c r="H1015" s="34" t="n">
        <f aca="false">NORMSINV(F1015)</f>
        <v>0.841203393060434</v>
      </c>
      <c r="I1015" s="34" t="n">
        <f aca="false">NORMSINV(G1015)</f>
        <v>-0.583578394021721</v>
      </c>
      <c r="J1015" s="59" t="n">
        <f aca="false">mc_s0*EXP((mc_mu-mc_vol^2/2)*mc_t1+mc_vol*SQRT(mc_t1)*H1015)</f>
        <v>1242.17562678953</v>
      </c>
      <c r="K1015" s="59" t="n">
        <f aca="false">J1015*EXP((mc_mu-mc_vol^2/2)*(mc_t2-mc_t1)+mc_vol*SQRT(mc_t2-mc_t1)*I1015)</f>
        <v>1153.77952245653</v>
      </c>
      <c r="L1015" s="31" t="n">
        <f aca="false">(t1_usd*J1015+t2_usd*K1015)/1000</f>
        <v>10887.4104801941</v>
      </c>
    </row>
    <row r="1016" customFormat="false" ht="15" hidden="false" customHeight="false" outlineLevel="0" collapsed="false">
      <c r="E1016" s="54" t="n">
        <v>1012</v>
      </c>
      <c r="F1016" s="61" t="n">
        <v>0.160203</v>
      </c>
      <c r="G1016" s="61" t="n">
        <v>0.502852</v>
      </c>
      <c r="H1016" s="34" t="n">
        <f aca="false">NORMSINV(F1016)</f>
        <v>-0.993623908428271</v>
      </c>
      <c r="I1016" s="34" t="n">
        <f aca="false">NORMSINV(G1016)</f>
        <v>0.00714896473330099</v>
      </c>
      <c r="J1016" s="59" t="n">
        <f aca="false">mc_s0*EXP((mc_mu-mc_vol^2/2)*mc_t1+mc_vol*SQRT(mc_t1)*H1016)</f>
        <v>1042.47413037022</v>
      </c>
      <c r="K1016" s="59" t="n">
        <f aca="false">J1016*EXP((mc_mu-mc_vol^2/2)*(mc_t2-mc_t1)+mc_vol*SQRT(mc_t2-mc_t1)*I1016)</f>
        <v>1062.76094668372</v>
      </c>
      <c r="L1016" s="31" t="n">
        <f aca="false">(t1_usd*J1016+t2_usd*K1016)/1000</f>
        <v>9316.56471129062</v>
      </c>
    </row>
    <row r="1017" customFormat="false" ht="15" hidden="false" customHeight="false" outlineLevel="0" collapsed="false">
      <c r="E1017" s="54" t="n">
        <v>1013</v>
      </c>
      <c r="F1017" s="61" t="n">
        <v>0.382692</v>
      </c>
      <c r="G1017" s="61" t="n">
        <v>0.125612</v>
      </c>
      <c r="H1017" s="34" t="n">
        <f aca="false">NORMSINV(F1017)</f>
        <v>-0.298418199917677</v>
      </c>
      <c r="I1017" s="34" t="n">
        <f aca="false">NORMSINV(G1017)</f>
        <v>-1.14738146059635</v>
      </c>
      <c r="J1017" s="59" t="n">
        <f aca="false">mc_s0*EXP((mc_mu-mc_vol^2/2)*mc_t1+mc_vol*SQRT(mc_t1)*H1017)</f>
        <v>1114.05301896092</v>
      </c>
      <c r="K1017" s="59" t="n">
        <f aca="false">J1017*EXP((mc_mu-mc_vol^2/2)*(mc_t2-mc_t1)+mc_vol*SQRT(mc_t2-mc_t1)*I1017)</f>
        <v>946.799357000811</v>
      </c>
      <c r="L1017" s="31" t="n">
        <f aca="false">(t1_usd*J1017+t2_usd*K1017)/1000</f>
        <v>9597.28991102796</v>
      </c>
    </row>
    <row r="1018" customFormat="false" ht="15" hidden="false" customHeight="false" outlineLevel="0" collapsed="false">
      <c r="E1018" s="54" t="n">
        <v>1014</v>
      </c>
      <c r="F1018" s="61" t="n">
        <v>0.307879</v>
      </c>
      <c r="G1018" s="61" t="n">
        <v>0.733214</v>
      </c>
      <c r="H1018" s="34" t="n">
        <f aca="false">NORMSINV(F1018)</f>
        <v>-0.501871377844127</v>
      </c>
      <c r="I1018" s="34" t="n">
        <f aca="false">NORMSINV(G1018)</f>
        <v>0.622562591946275</v>
      </c>
      <c r="J1018" s="59" t="n">
        <f aca="false">mc_s0*EXP((mc_mu-mc_vol^2/2)*mc_t1+mc_vol*SQRT(mc_t1)*H1018)</f>
        <v>1092.61111732954</v>
      </c>
      <c r="K1018" s="59" t="n">
        <f aca="false">J1018*EXP((mc_mu-mc_vol^2/2)*(mc_t2-mc_t1)+mc_vol*SQRT(mc_t2-mc_t1)*I1018)</f>
        <v>1227.31478773277</v>
      </c>
      <c r="L1018" s="31" t="n">
        <f aca="false">(t1_usd*J1018+t2_usd*K1018)/1000</f>
        <v>9980.17591799907</v>
      </c>
    </row>
    <row r="1019" customFormat="false" ht="15" hidden="false" customHeight="false" outlineLevel="0" collapsed="false">
      <c r="E1019" s="54" t="n">
        <v>1015</v>
      </c>
      <c r="F1019" s="61" t="n">
        <v>0.851439</v>
      </c>
      <c r="G1019" s="61" t="n">
        <v>0.835898</v>
      </c>
      <c r="H1019" s="34" t="n">
        <f aca="false">NORMSINV(F1019)</f>
        <v>1.0426250128837</v>
      </c>
      <c r="I1019" s="34" t="n">
        <f aca="false">NORMSINV(G1019)</f>
        <v>0.977737843002977</v>
      </c>
      <c r="J1019" s="59" t="n">
        <f aca="false">mc_s0*EXP((mc_mu-mc_vol^2/2)*mc_t1+mc_vol*SQRT(mc_t1)*H1019)</f>
        <v>1266.30688788356</v>
      </c>
      <c r="K1019" s="59" t="n">
        <f aca="false">J1019*EXP((mc_mu-mc_vol^2/2)*(mc_t2-mc_t1)+mc_vol*SQRT(mc_t2-mc_t1)*I1019)</f>
        <v>1504.31288244995</v>
      </c>
      <c r="L1019" s="31" t="n">
        <f aca="false">(t1_usd*J1019+t2_usd*K1019)/1000</f>
        <v>11722.3426918398</v>
      </c>
    </row>
    <row r="1020" customFormat="false" ht="15" hidden="false" customHeight="false" outlineLevel="0" collapsed="false">
      <c r="E1020" s="54" t="n">
        <v>1016</v>
      </c>
      <c r="F1020" s="61" t="n">
        <v>0.786699</v>
      </c>
      <c r="G1020" s="61" t="n">
        <v>0.900549</v>
      </c>
      <c r="H1020" s="34" t="n">
        <f aca="false">NORMSINV(F1020)</f>
        <v>0.795019773562654</v>
      </c>
      <c r="I1020" s="34" t="n">
        <f aca="false">NORMSINV(G1020)</f>
        <v>1.28468609289111</v>
      </c>
      <c r="J1020" s="59" t="n">
        <f aca="false">mc_s0*EXP((mc_mu-mc_vol^2/2)*mc_t1+mc_vol*SQRT(mc_t1)*H1020)</f>
        <v>1236.70773880723</v>
      </c>
      <c r="K1020" s="59" t="n">
        <f aca="false">J1020*EXP((mc_mu-mc_vol^2/2)*(mc_t2-mc_t1)+mc_vol*SQRT(mc_t2-mc_t1)*I1020)</f>
        <v>1541.96455988647</v>
      </c>
      <c r="L1020" s="31" t="n">
        <f aca="false">(t1_usd*J1020+t2_usd*K1020)/1000</f>
        <v>11586.6868354349</v>
      </c>
    </row>
    <row r="1021" customFormat="false" ht="15" hidden="false" customHeight="false" outlineLevel="0" collapsed="false">
      <c r="E1021" s="54" t="n">
        <v>1017</v>
      </c>
      <c r="F1021" s="61" t="n">
        <v>0.673256</v>
      </c>
      <c r="G1021" s="61" t="n">
        <v>0.316903</v>
      </c>
      <c r="H1021" s="34" t="n">
        <f aca="false">NORMSINV(F1021)</f>
        <v>0.448921896202278</v>
      </c>
      <c r="I1021" s="34" t="n">
        <f aca="false">NORMSINV(G1021)</f>
        <v>-0.476376743699197</v>
      </c>
      <c r="J1021" s="59" t="n">
        <f aca="false">mc_s0*EXP((mc_mu-mc_vol^2/2)*mc_t1+mc_vol*SQRT(mc_t1)*H1021)</f>
        <v>1196.4904199004</v>
      </c>
      <c r="K1021" s="59" t="n">
        <f aca="false">J1021*EXP((mc_mu-mc_vol^2/2)*(mc_t2-mc_t1)+mc_vol*SQRT(mc_t2-mc_t1)*I1021)</f>
        <v>1130.28022354827</v>
      </c>
      <c r="L1021" s="31" t="n">
        <f aca="false">(t1_usd*J1021+t2_usd*K1021)/1000</f>
        <v>10522.9653640445</v>
      </c>
    </row>
    <row r="1022" customFormat="false" ht="15" hidden="false" customHeight="false" outlineLevel="0" collapsed="false">
      <c r="E1022" s="54" t="n">
        <v>1018</v>
      </c>
      <c r="F1022" s="61" t="n">
        <v>0.971392</v>
      </c>
      <c r="G1022" s="61" t="n">
        <v>0.270534</v>
      </c>
      <c r="H1022" s="34" t="n">
        <f aca="false">NORMSINV(F1022)</f>
        <v>1.9016570830336</v>
      </c>
      <c r="I1022" s="34" t="n">
        <f aca="false">NORMSINV(G1022)</f>
        <v>-0.611198766349926</v>
      </c>
      <c r="J1022" s="59" t="n">
        <f aca="false">mc_s0*EXP((mc_mu-mc_vol^2/2)*mc_t1+mc_vol*SQRT(mc_t1)*H1022)</f>
        <v>1374.59851621709</v>
      </c>
      <c r="K1022" s="59" t="n">
        <f aca="false">J1022*EXP((mc_mu-mc_vol^2/2)*(mc_t2-mc_t1)+mc_vol*SQRT(mc_t2-mc_t1)*I1022)</f>
        <v>1271.23342793841</v>
      </c>
      <c r="L1022" s="31" t="n">
        <f aca="false">(t1_usd*J1022+t2_usd*K1022)/1000</f>
        <v>12037.5331266026</v>
      </c>
    </row>
    <row r="1023" customFormat="false" ht="15" hidden="false" customHeight="false" outlineLevel="0" collapsed="false">
      <c r="E1023" s="54" t="n">
        <v>1019</v>
      </c>
      <c r="F1023" s="61" t="n">
        <v>0.525155</v>
      </c>
      <c r="G1023" s="61" t="n">
        <v>0.521245</v>
      </c>
      <c r="H1023" s="34" t="n">
        <f aca="false">NORMSINV(F1023)</f>
        <v>0.0630960747106803</v>
      </c>
      <c r="I1023" s="34" t="n">
        <f aca="false">NORMSINV(G1023)</f>
        <v>0.0532785130297477</v>
      </c>
      <c r="J1023" s="59" t="n">
        <f aca="false">mc_s0*EXP((mc_mu-mc_vol^2/2)*mc_t1+mc_vol*SQRT(mc_t1)*H1023)</f>
        <v>1153.19635526944</v>
      </c>
      <c r="K1023" s="59" t="n">
        <f aca="false">J1023*EXP((mc_mu-mc_vol^2/2)*(mc_t2-mc_t1)+mc_vol*SQRT(mc_t2-mc_t1)*I1023)</f>
        <v>1184.21553369194</v>
      </c>
      <c r="L1023" s="31" t="n">
        <f aca="false">(t1_usd*J1023+t2_usd*K1023)/1000</f>
        <v>10322.3840009008</v>
      </c>
    </row>
    <row r="1024" customFormat="false" ht="15" hidden="false" customHeight="false" outlineLevel="0" collapsed="false">
      <c r="E1024" s="54" t="n">
        <v>1020</v>
      </c>
      <c r="F1024" s="61" t="n">
        <v>0.454439</v>
      </c>
      <c r="G1024" s="61" t="n">
        <v>0.391426</v>
      </c>
      <c r="H1024" s="34" t="n">
        <f aca="false">NORMSINV(F1024)</f>
        <v>-0.114453885679956</v>
      </c>
      <c r="I1024" s="34" t="n">
        <f aca="false">NORMSINV(G1024)</f>
        <v>-0.275604308614316</v>
      </c>
      <c r="J1024" s="59" t="n">
        <f aca="false">mc_s0*EXP((mc_mu-mc_vol^2/2)*mc_t1+mc_vol*SQRT(mc_t1)*H1024)</f>
        <v>1133.80302160231</v>
      </c>
      <c r="K1024" s="59" t="n">
        <f aca="false">J1024*EXP((mc_mu-mc_vol^2/2)*(mc_t2-mc_t1)+mc_vol*SQRT(mc_t2-mc_t1)*I1024)</f>
        <v>1105.49237520204</v>
      </c>
      <c r="L1024" s="31" t="n">
        <f aca="false">(t1_usd*J1024+t2_usd*K1024)/1000</f>
        <v>10037.0566641</v>
      </c>
    </row>
    <row r="1025" customFormat="false" ht="15" hidden="false" customHeight="false" outlineLevel="0" collapsed="false">
      <c r="E1025" s="54" t="n">
        <v>1021</v>
      </c>
      <c r="F1025" s="61" t="n">
        <v>0.716484</v>
      </c>
      <c r="G1025" s="61" t="n">
        <v>0.768222</v>
      </c>
      <c r="H1025" s="34" t="n">
        <f aca="false">NORMSINV(F1025)</f>
        <v>0.572428075390574</v>
      </c>
      <c r="I1025" s="34" t="n">
        <f aca="false">NORMSINV(G1025)</f>
        <v>0.733003983175992</v>
      </c>
      <c r="J1025" s="59" t="n">
        <f aca="false">mc_s0*EXP((mc_mu-mc_vol^2/2)*mc_t1+mc_vol*SQRT(mc_t1)*H1025)</f>
        <v>1210.6897711937</v>
      </c>
      <c r="K1025" s="59" t="n">
        <f aca="false">J1025*EXP((mc_mu-mc_vol^2/2)*(mc_t2-mc_t1)+mc_vol*SQRT(mc_t2-mc_t1)*I1025)</f>
        <v>1383.82776154066</v>
      </c>
      <c r="L1025" s="31" t="n">
        <f aca="false">(t1_usd*J1025+t2_usd*K1025)/1000</f>
        <v>11104.1011452832</v>
      </c>
    </row>
    <row r="1026" customFormat="false" ht="15" hidden="false" customHeight="false" outlineLevel="0" collapsed="false">
      <c r="E1026" s="54" t="n">
        <v>1022</v>
      </c>
      <c r="F1026" s="61" t="n">
        <v>0.067617</v>
      </c>
      <c r="G1026" s="61" t="n">
        <v>0.032287</v>
      </c>
      <c r="H1026" s="34" t="n">
        <f aca="false">NORMSINV(F1026)</f>
        <v>-1.49377667496002</v>
      </c>
      <c r="I1026" s="34" t="n">
        <f aca="false">NORMSINV(G1026)</f>
        <v>-1.84819595766809</v>
      </c>
      <c r="J1026" s="59" t="n">
        <f aca="false">mc_s0*EXP((mc_mu-mc_vol^2/2)*mc_t1+mc_vol*SQRT(mc_t1)*H1026)</f>
        <v>993.840005193786</v>
      </c>
      <c r="K1026" s="59" t="n">
        <f aca="false">J1026*EXP((mc_mu-mc_vol^2/2)*(mc_t2-mc_t1)+mc_vol*SQRT(mc_t2-mc_t1)*I1026)</f>
        <v>756.316409962881</v>
      </c>
      <c r="L1026" s="31" t="n">
        <f aca="false">(t1_usd*J1026+t2_usd*K1026)/1000</f>
        <v>8393.88121528598</v>
      </c>
    </row>
    <row r="1027" customFormat="false" ht="15" hidden="false" customHeight="false" outlineLevel="0" collapsed="false">
      <c r="E1027" s="54" t="n">
        <v>1023</v>
      </c>
      <c r="F1027" s="61" t="n">
        <v>0.488689</v>
      </c>
      <c r="G1027" s="61" t="n">
        <v>0.664974</v>
      </c>
      <c r="H1027" s="34" t="n">
        <f aca="false">NORMSINV(F1027)</f>
        <v>-0.0283562720659278</v>
      </c>
      <c r="I1027" s="34" t="n">
        <f aca="false">NORMSINV(G1027)</f>
        <v>0.426076641886763</v>
      </c>
      <c r="J1027" s="59" t="n">
        <f aca="false">mc_s0*EXP((mc_mu-mc_vol^2/2)*mc_t1+mc_vol*SQRT(mc_t1)*H1027)</f>
        <v>1143.16617363075</v>
      </c>
      <c r="K1027" s="59" t="n">
        <f aca="false">J1027*EXP((mc_mu-mc_vol^2/2)*(mc_t2-mc_t1)+mc_vol*SQRT(mc_t2-mc_t1)*I1027)</f>
        <v>1244.94984010412</v>
      </c>
      <c r="L1027" s="31" t="n">
        <f aca="false">(t1_usd*J1027+t2_usd*K1027)/1000</f>
        <v>10367.5679116131</v>
      </c>
    </row>
    <row r="1028" customFormat="false" ht="15" hidden="false" customHeight="false" outlineLevel="0" collapsed="false">
      <c r="E1028" s="54" t="n">
        <v>1024</v>
      </c>
      <c r="F1028" s="61" t="n">
        <v>0.601852</v>
      </c>
      <c r="G1028" s="61" t="n">
        <v>0.891097</v>
      </c>
      <c r="H1028" s="34" t="n">
        <f aca="false">NORMSINV(F1028)</f>
        <v>0.258143708354773</v>
      </c>
      <c r="I1028" s="34" t="n">
        <f aca="false">NORMSINV(G1028)</f>
        <v>1.23238312913035</v>
      </c>
      <c r="J1028" s="59" t="n">
        <f aca="false">mc_s0*EXP((mc_mu-mc_vol^2/2)*mc_t1+mc_vol*SQRT(mc_t1)*H1028)</f>
        <v>1174.88349353068</v>
      </c>
      <c r="K1028" s="59" t="n">
        <f aca="false">J1028*EXP((mc_mu-mc_vol^2/2)*(mc_t2-mc_t1)+mc_vol*SQRT(mc_t2-mc_t1)*I1028)</f>
        <v>1452.85544030837</v>
      </c>
      <c r="L1028" s="31" t="n">
        <f aca="false">(t1_usd*J1028+t2_usd*K1028)/1000</f>
        <v>10984.6097913006</v>
      </c>
    </row>
    <row r="1029" customFormat="false" ht="15" hidden="false" customHeight="false" outlineLevel="0" collapsed="false">
      <c r="E1029" s="54" t="n">
        <v>1025</v>
      </c>
      <c r="F1029" s="61" t="n">
        <v>0.102859</v>
      </c>
      <c r="G1029" s="61" t="n">
        <v>0.47526</v>
      </c>
      <c r="H1029" s="34" t="n">
        <f aca="false">NORMSINV(F1029)</f>
        <v>-1.265427841605</v>
      </c>
      <c r="I1029" s="34" t="n">
        <f aca="false">NORMSINV(G1029)</f>
        <v>-0.0620537853204987</v>
      </c>
      <c r="J1029" s="59" t="n">
        <f aca="false">mc_s0*EXP((mc_mu-mc_vol^2/2)*mc_t1+mc_vol*SQRT(mc_t1)*H1029)</f>
        <v>1015.75627560555</v>
      </c>
      <c r="K1029" s="59" t="n">
        <f aca="false">J1029*EXP((mc_mu-mc_vol^2/2)*(mc_t2-mc_t1)+mc_vol*SQRT(mc_t2-mc_t1)*I1029)</f>
        <v>1024.29121981915</v>
      </c>
      <c r="L1029" s="31" t="n">
        <f aca="false">(t1_usd*J1029+t2_usd*K1029)/1000</f>
        <v>9056.44724689521</v>
      </c>
    </row>
    <row r="1030" customFormat="false" ht="15" hidden="false" customHeight="false" outlineLevel="0" collapsed="false">
      <c r="E1030" s="54" t="n">
        <v>1026</v>
      </c>
      <c r="F1030" s="61" t="n">
        <v>0.660302</v>
      </c>
      <c r="G1030" s="61" t="n">
        <v>0.022513</v>
      </c>
      <c r="H1030" s="34" t="n">
        <f aca="false">NORMSINV(F1030)</f>
        <v>0.413287482232778</v>
      </c>
      <c r="I1030" s="34" t="n">
        <f aca="false">NORMSINV(G1030)</f>
        <v>-2.00441148541732</v>
      </c>
      <c r="J1030" s="59" t="n">
        <f aca="false">mc_s0*EXP((mc_mu-mc_vol^2/2)*mc_t1+mc_vol*SQRT(mc_t1)*H1030)</f>
        <v>1192.42461851422</v>
      </c>
      <c r="K1030" s="59" t="n">
        <f aca="false">J1030*EXP((mc_mu-mc_vol^2/2)*(mc_t2-mc_t1)+mc_vol*SQRT(mc_t2-mc_t1)*I1030)</f>
        <v>885.373057582331</v>
      </c>
      <c r="L1030" s="31" t="n">
        <f aca="false">(t1_usd*J1030+t2_usd*K1030)/1000</f>
        <v>10029.181139006</v>
      </c>
    </row>
    <row r="1031" customFormat="false" ht="15" hidden="false" customHeight="false" outlineLevel="0" collapsed="false">
      <c r="E1031" s="54" t="n">
        <v>1027</v>
      </c>
      <c r="F1031" s="61" t="n">
        <v>0.658934</v>
      </c>
      <c r="G1031" s="61" t="n">
        <v>0.393783</v>
      </c>
      <c r="H1031" s="34" t="n">
        <f aca="false">NORMSINV(F1031)</f>
        <v>0.409555562894948</v>
      </c>
      <c r="I1031" s="34" t="n">
        <f aca="false">NORMSINV(G1031)</f>
        <v>-0.269472632036576</v>
      </c>
      <c r="J1031" s="59" t="n">
        <f aca="false">mc_s0*EXP((mc_mu-mc_vol^2/2)*mc_t1+mc_vol*SQRT(mc_t1)*H1031)</f>
        <v>1191.99961548608</v>
      </c>
      <c r="K1031" s="59" t="n">
        <f aca="false">J1031*EXP((mc_mu-mc_vol^2/2)*(mc_t2-mc_t1)+mc_vol*SQRT(mc_t2-mc_t1)*I1031)</f>
        <v>1163.35944494841</v>
      </c>
      <c r="L1031" s="31" t="n">
        <f aca="false">(t1_usd*J1031+t2_usd*K1031)/1000</f>
        <v>10554.3802538046</v>
      </c>
    </row>
    <row r="1032" customFormat="false" ht="15" hidden="false" customHeight="false" outlineLevel="0" collapsed="false">
      <c r="E1032" s="54" t="n">
        <v>1028</v>
      </c>
      <c r="F1032" s="61" t="n">
        <v>0.550053</v>
      </c>
      <c r="G1032" s="61" t="n">
        <v>0.301031</v>
      </c>
      <c r="H1032" s="34" t="n">
        <f aca="false">NORMSINV(F1032)</f>
        <v>0.125795252344746</v>
      </c>
      <c r="I1032" s="34" t="n">
        <f aca="false">NORMSINV(G1032)</f>
        <v>-0.521437548584637</v>
      </c>
      <c r="J1032" s="59" t="n">
        <f aca="false">mc_s0*EXP((mc_mu-mc_vol^2/2)*mc_t1+mc_vol*SQRT(mc_t1)*H1032)</f>
        <v>1160.12379155689</v>
      </c>
      <c r="K1032" s="59" t="n">
        <f aca="false">J1032*EXP((mc_mu-mc_vol^2/2)*(mc_t2-mc_t1)+mc_vol*SQRT(mc_t2-mc_t1)*I1032)</f>
        <v>1088.17110940278</v>
      </c>
      <c r="L1032" s="31" t="n">
        <f aca="false">(t1_usd*J1032+t2_usd*K1032)/1000</f>
        <v>10188.3916487635</v>
      </c>
    </row>
    <row r="1033" customFormat="false" ht="15" hidden="false" customHeight="false" outlineLevel="0" collapsed="false">
      <c r="E1033" s="54" t="n">
        <v>1029</v>
      </c>
      <c r="F1033" s="61" t="n">
        <v>0.805938</v>
      </c>
      <c r="G1033" s="61" t="n">
        <v>0.087286</v>
      </c>
      <c r="H1033" s="34" t="n">
        <f aca="false">NORMSINV(F1033)</f>
        <v>0.863024493917655</v>
      </c>
      <c r="I1033" s="34" t="n">
        <f aca="false">NORMSINV(G1033)</f>
        <v>-1.35765872347551</v>
      </c>
      <c r="J1033" s="59" t="n">
        <f aca="false">mc_s0*EXP((mc_mu-mc_vol^2/2)*mc_t1+mc_vol*SQRT(mc_t1)*H1033)</f>
        <v>1244.76752899762</v>
      </c>
      <c r="K1033" s="59" t="n">
        <f aca="false">J1033*EXP((mc_mu-mc_vol^2/2)*(mc_t2-mc_t1)+mc_vol*SQRT(mc_t2-mc_t1)*I1033)</f>
        <v>1023.40746127939</v>
      </c>
      <c r="L1033" s="31" t="n">
        <f aca="false">(t1_usd*J1033+t2_usd*K1033)/1000</f>
        <v>10657.8468794141</v>
      </c>
    </row>
    <row r="1034" customFormat="false" ht="15" hidden="false" customHeight="false" outlineLevel="0" collapsed="false">
      <c r="E1034" s="54" t="n">
        <v>1030</v>
      </c>
      <c r="F1034" s="61" t="n">
        <v>0.693471</v>
      </c>
      <c r="G1034" s="61" t="n">
        <v>0.647386</v>
      </c>
      <c r="H1034" s="34" t="n">
        <f aca="false">NORMSINV(F1034)</f>
        <v>0.505713200561183</v>
      </c>
      <c r="I1034" s="34" t="n">
        <f aca="false">NORMSINV(G1034)</f>
        <v>0.378272731765188</v>
      </c>
      <c r="J1034" s="59" t="n">
        <f aca="false">mc_s0*EXP((mc_mu-mc_vol^2/2)*mc_t1+mc_vol*SQRT(mc_t1)*H1034)</f>
        <v>1202.99884397893</v>
      </c>
      <c r="K1034" s="59" t="n">
        <f aca="false">J1034*EXP((mc_mu-mc_vol^2/2)*(mc_t2-mc_t1)+mc_vol*SQRT(mc_t2-mc_t1)*I1034)</f>
        <v>1300.27708874691</v>
      </c>
      <c r="L1034" s="31" t="n">
        <f aca="false">(t1_usd*J1034+t2_usd*K1034)/1000</f>
        <v>10891.5183764716</v>
      </c>
    </row>
    <row r="1035" customFormat="false" ht="15" hidden="false" customHeight="false" outlineLevel="0" collapsed="false">
      <c r="E1035" s="54" t="n">
        <v>1031</v>
      </c>
      <c r="F1035" s="61" t="n">
        <v>0.166395</v>
      </c>
      <c r="G1035" s="61" t="n">
        <v>0.561404</v>
      </c>
      <c r="H1035" s="34" t="n">
        <f aca="false">NORMSINV(F1035)</f>
        <v>-0.968509453551287</v>
      </c>
      <c r="I1035" s="34" t="n">
        <f aca="false">NORMSINV(G1035)</f>
        <v>0.15452982081058</v>
      </c>
      <c r="J1035" s="59" t="n">
        <f aca="false">mc_s0*EXP((mc_mu-mc_vol^2/2)*mc_t1+mc_vol*SQRT(mc_t1)*H1035)</f>
        <v>1044.97802663242</v>
      </c>
      <c r="K1035" s="59" t="n">
        <f aca="false">J1035*EXP((mc_mu-mc_vol^2/2)*(mc_t2-mc_t1)+mc_vol*SQRT(mc_t2-mc_t1)*I1035)</f>
        <v>1090.34636063153</v>
      </c>
      <c r="L1035" s="31" t="n">
        <f aca="false">(t1_usd*J1035+t2_usd*K1035)/1000</f>
        <v>9386.50427162681</v>
      </c>
    </row>
    <row r="1036" customFormat="false" ht="15" hidden="false" customHeight="false" outlineLevel="0" collapsed="false">
      <c r="E1036" s="54" t="n">
        <v>1032</v>
      </c>
      <c r="F1036" s="61" t="n">
        <v>0.767739</v>
      </c>
      <c r="G1036" s="61" t="n">
        <v>0.661077</v>
      </c>
      <c r="H1036" s="34" t="n">
        <f aca="false">NORMSINV(F1036)</f>
        <v>0.731421069024356</v>
      </c>
      <c r="I1036" s="34" t="n">
        <f aca="false">NORMSINV(G1036)</f>
        <v>0.415404244492864</v>
      </c>
      <c r="J1036" s="59" t="n">
        <f aca="false">mc_s0*EXP((mc_mu-mc_vol^2/2)*mc_t1+mc_vol*SQRT(mc_t1)*H1036)</f>
        <v>1229.21737226457</v>
      </c>
      <c r="K1036" s="59" t="n">
        <f aca="false">J1036*EXP((mc_mu-mc_vol^2/2)*(mc_t2-mc_t1)+mc_vol*SQRT(mc_t2-mc_t1)*I1036)</f>
        <v>1336.41314682272</v>
      </c>
      <c r="L1036" s="31" t="n">
        <f aca="false">(t1_usd*J1036+t2_usd*K1036)/1000</f>
        <v>11143.7065848152</v>
      </c>
    </row>
    <row r="1037" customFormat="false" ht="15" hidden="false" customHeight="false" outlineLevel="0" collapsed="false">
      <c r="E1037" s="54" t="n">
        <v>1033</v>
      </c>
      <c r="F1037" s="61" t="n">
        <v>0.710803</v>
      </c>
      <c r="G1037" s="61" t="n">
        <v>0.873362</v>
      </c>
      <c r="H1037" s="34" t="n">
        <f aca="false">NORMSINV(F1037)</f>
        <v>0.555732113248387</v>
      </c>
      <c r="I1037" s="34" t="n">
        <f aca="false">NORMSINV(G1037)</f>
        <v>1.14242838061836</v>
      </c>
      <c r="J1037" s="59" t="n">
        <f aca="false">mc_s0*EXP((mc_mu-mc_vol^2/2)*mc_t1+mc_vol*SQRT(mc_t1)*H1037)</f>
        <v>1208.76045102558</v>
      </c>
      <c r="K1037" s="59" t="n">
        <f aca="false">J1037*EXP((mc_mu-mc_vol^2/2)*(mc_t2-mc_t1)+mc_vol*SQRT(mc_t2-mc_t1)*I1037)</f>
        <v>1473.70709286977</v>
      </c>
      <c r="L1037" s="31" t="n">
        <f aca="false">(t1_usd*J1037+t2_usd*K1037)/1000</f>
        <v>11261.3666336316</v>
      </c>
    </row>
    <row r="1038" customFormat="false" ht="15" hidden="false" customHeight="false" outlineLevel="0" collapsed="false">
      <c r="E1038" s="54" t="n">
        <v>1034</v>
      </c>
      <c r="F1038" s="61" t="n">
        <v>0.054979</v>
      </c>
      <c r="G1038" s="61" t="n">
        <v>0.739616</v>
      </c>
      <c r="H1038" s="34" t="n">
        <f aca="false">NORMSINV(F1038)</f>
        <v>-1.59838194638937</v>
      </c>
      <c r="I1038" s="34" t="n">
        <f aca="false">NORMSINV(G1038)</f>
        <v>0.6421620049757</v>
      </c>
      <c r="J1038" s="59" t="n">
        <f aca="false">mc_s0*EXP((mc_mu-mc_vol^2/2)*mc_t1+mc_vol*SQRT(mc_t1)*H1038)</f>
        <v>983.958836152337</v>
      </c>
      <c r="K1038" s="59" t="n">
        <f aca="false">J1038*EXP((mc_mu-mc_vol^2/2)*(mc_t2-mc_t1)+mc_vol*SQRT(mc_t2-mc_t1)*I1038)</f>
        <v>1108.6863541217</v>
      </c>
      <c r="L1038" s="31" t="n">
        <f aca="false">(t1_usd*J1038+t2_usd*K1038)/1000</f>
        <v>8994.2159258976</v>
      </c>
    </row>
    <row r="1039" customFormat="false" ht="15" hidden="false" customHeight="false" outlineLevel="0" collapsed="false">
      <c r="E1039" s="54" t="n">
        <v>1035</v>
      </c>
      <c r="F1039" s="61" t="n">
        <v>0.039509</v>
      </c>
      <c r="G1039" s="61" t="n">
        <v>0.761073</v>
      </c>
      <c r="H1039" s="34" t="n">
        <f aca="false">NORMSINV(F1039)</f>
        <v>-1.75641250008223</v>
      </c>
      <c r="I1039" s="34" t="n">
        <f aca="false">NORMSINV(G1039)</f>
        <v>0.709758351886548</v>
      </c>
      <c r="J1039" s="59" t="n">
        <f aca="false">mc_s0*EXP((mc_mu-mc_vol^2/2)*mc_t1+mc_vol*SQRT(mc_t1)*H1039)</f>
        <v>969.217039375669</v>
      </c>
      <c r="K1039" s="59" t="n">
        <f aca="false">J1039*EXP((mc_mu-mc_vol^2/2)*(mc_t2-mc_t1)+mc_vol*SQRT(mc_t2-mc_t1)*I1039)</f>
        <v>1103.77164254867</v>
      </c>
      <c r="L1039" s="31" t="n">
        <f aca="false">(t1_usd*J1039+t2_usd*K1039)/1000</f>
        <v>8881.68539647215</v>
      </c>
    </row>
    <row r="1040" customFormat="false" ht="15" hidden="false" customHeight="false" outlineLevel="0" collapsed="false">
      <c r="E1040" s="54" t="n">
        <v>1036</v>
      </c>
      <c r="F1040" s="61" t="n">
        <v>0.651835</v>
      </c>
      <c r="G1040" s="61" t="n">
        <v>0.516768</v>
      </c>
      <c r="H1040" s="34" t="n">
        <f aca="false">NORMSINV(F1040)</f>
        <v>0.390279338267882</v>
      </c>
      <c r="I1040" s="34" t="n">
        <f aca="false">NORMSINV(G1040)</f>
        <v>0.0420435260552371</v>
      </c>
      <c r="J1040" s="59" t="n">
        <f aca="false">mc_s0*EXP((mc_mu-mc_vol^2/2)*mc_t1+mc_vol*SQRT(mc_t1)*H1040)</f>
        <v>1189.80678748696</v>
      </c>
      <c r="K1040" s="59" t="n">
        <f aca="false">J1040*EXP((mc_mu-mc_vol^2/2)*(mc_t2-mc_t1)+mc_vol*SQRT(mc_t2-mc_t1)*I1040)</f>
        <v>1219.64935706132</v>
      </c>
      <c r="L1040" s="31" t="n">
        <f aca="false">(t1_usd*J1040+t2_usd*K1040)/1000</f>
        <v>10645.9812908252</v>
      </c>
    </row>
    <row r="1041" customFormat="false" ht="15" hidden="false" customHeight="false" outlineLevel="0" collapsed="false">
      <c r="E1041" s="54" t="n">
        <v>1037</v>
      </c>
      <c r="F1041" s="61" t="n">
        <v>0.975857</v>
      </c>
      <c r="G1041" s="61" t="n">
        <v>0.544223</v>
      </c>
      <c r="H1041" s="34" t="n">
        <f aca="false">NORMSINV(F1041)</f>
        <v>1.97484271435446</v>
      </c>
      <c r="I1041" s="34" t="n">
        <f aca="false">NORMSINV(G1041)</f>
        <v>0.111078623252345</v>
      </c>
      <c r="J1041" s="59" t="n">
        <f aca="false">mc_s0*EXP((mc_mu-mc_vol^2/2)*mc_t1+mc_vol*SQRT(mc_t1)*H1041)</f>
        <v>1384.24184289193</v>
      </c>
      <c r="K1041" s="59" t="n">
        <f aca="false">J1041*EXP((mc_mu-mc_vol^2/2)*(mc_t2-mc_t1)+mc_vol*SQRT(mc_t2-mc_t1)*I1041)</f>
        <v>1434.4830213508</v>
      </c>
      <c r="L1041" s="31" t="n">
        <f aca="false">(t1_usd*J1041+t2_usd*K1041)/1000</f>
        <v>12415.2106408101</v>
      </c>
    </row>
    <row r="1042" customFormat="false" ht="15" hidden="false" customHeight="false" outlineLevel="0" collapsed="false">
      <c r="E1042" s="54" t="n">
        <v>1038</v>
      </c>
      <c r="F1042" s="61" t="n">
        <v>0.32469</v>
      </c>
      <c r="G1042" s="61" t="n">
        <v>0.856044</v>
      </c>
      <c r="H1042" s="34" t="n">
        <f aca="false">NORMSINV(F1042)</f>
        <v>-0.454623674153945</v>
      </c>
      <c r="I1042" s="34" t="n">
        <f aca="false">NORMSINV(G1042)</f>
        <v>1.06271327253197</v>
      </c>
      <c r="J1042" s="59" t="n">
        <f aca="false">mc_s0*EXP((mc_mu-mc_vol^2/2)*mc_t1+mc_vol*SQRT(mc_t1)*H1042)</f>
        <v>1097.55346136541</v>
      </c>
      <c r="K1042" s="59" t="n">
        <f aca="false">J1042*EXP((mc_mu-mc_vol^2/2)*(mc_t2-mc_t1)+mc_vol*SQRT(mc_t2-mc_t1)*I1042)</f>
        <v>1321.41966457356</v>
      </c>
      <c r="L1042" s="31" t="n">
        <f aca="false">(t1_usd*J1042+t2_usd*K1042)/1000</f>
        <v>10193.5715922476</v>
      </c>
    </row>
    <row r="1043" customFormat="false" ht="15" hidden="false" customHeight="false" outlineLevel="0" collapsed="false">
      <c r="E1043" s="54" t="n">
        <v>1039</v>
      </c>
      <c r="F1043" s="61" t="n">
        <v>0.950236</v>
      </c>
      <c r="G1043" s="61" t="n">
        <v>0.72588</v>
      </c>
      <c r="H1043" s="34" t="n">
        <f aca="false">NORMSINV(F1043)</f>
        <v>1.64714619484052</v>
      </c>
      <c r="I1043" s="34" t="n">
        <f aca="false">NORMSINV(G1043)</f>
        <v>0.600399531452707</v>
      </c>
      <c r="J1043" s="59" t="n">
        <f aca="false">mc_s0*EXP((mc_mu-mc_vol^2/2)*mc_t1+mc_vol*SQRT(mc_t1)*H1043)</f>
        <v>1341.5828552351</v>
      </c>
      <c r="K1043" s="59" t="n">
        <f aca="false">J1043*EXP((mc_mu-mc_vol^2/2)*(mc_t2-mc_t1)+mc_vol*SQRT(mc_t2-mc_t1)*I1043)</f>
        <v>1501.7269351755</v>
      </c>
      <c r="L1043" s="31" t="n">
        <f aca="false">(t1_usd*J1043+t2_usd*K1043)/1000</f>
        <v>12244.3611634792</v>
      </c>
    </row>
    <row r="1044" customFormat="false" ht="15" hidden="false" customHeight="false" outlineLevel="0" collapsed="false">
      <c r="E1044" s="54" t="n">
        <v>1040</v>
      </c>
      <c r="F1044" s="61" t="n">
        <v>0.40476</v>
      </c>
      <c r="G1044" s="61" t="n">
        <v>0.563307</v>
      </c>
      <c r="H1044" s="34" t="n">
        <f aca="false">NORMSINV(F1044)</f>
        <v>-0.241045309154512</v>
      </c>
      <c r="I1044" s="34" t="n">
        <f aca="false">NORMSINV(G1044)</f>
        <v>0.15935904990529</v>
      </c>
      <c r="J1044" s="59" t="n">
        <f aca="false">mc_s0*EXP((mc_mu-mc_vol^2/2)*mc_t1+mc_vol*SQRT(mc_t1)*H1044)</f>
        <v>1120.17524613869</v>
      </c>
      <c r="K1044" s="59" t="n">
        <f aca="false">J1044*EXP((mc_mu-mc_vol^2/2)*(mc_t2-mc_t1)+mc_vol*SQRT(mc_t2-mc_t1)*I1044)</f>
        <v>1169.69817595345</v>
      </c>
      <c r="L1044" s="31" t="n">
        <f aca="false">(t1_usd*J1044+t2_usd*K1044)/1000</f>
        <v>10063.6532572824</v>
      </c>
    </row>
    <row r="1045" customFormat="false" ht="15" hidden="false" customHeight="false" outlineLevel="0" collapsed="false">
      <c r="E1045" s="54" t="n">
        <v>1041</v>
      </c>
      <c r="F1045" s="61" t="n">
        <v>0.605103</v>
      </c>
      <c r="G1045" s="61" t="n">
        <v>0.115481</v>
      </c>
      <c r="H1045" s="34" t="n">
        <f aca="false">NORMSINV(F1045)</f>
        <v>0.266578125043582</v>
      </c>
      <c r="I1045" s="34" t="n">
        <f aca="false">NORMSINV(G1045)</f>
        <v>-1.19788446088305</v>
      </c>
      <c r="J1045" s="59" t="n">
        <f aca="false">mc_s0*EXP((mc_mu-mc_vol^2/2)*mc_t1+mc_vol*SQRT(mc_t1)*H1045)</f>
        <v>1175.83045229253</v>
      </c>
      <c r="K1045" s="59" t="n">
        <f aca="false">J1045*EXP((mc_mu-mc_vol^2/2)*(mc_t2-mc_t1)+mc_vol*SQRT(mc_t2-mc_t1)*I1045)</f>
        <v>991.380286907223</v>
      </c>
      <c r="L1045" s="31" t="n">
        <f aca="false">(t1_usd*J1045+t2_usd*K1045)/1000</f>
        <v>10114.4357111715</v>
      </c>
    </row>
    <row r="1046" customFormat="false" ht="15" hidden="false" customHeight="false" outlineLevel="0" collapsed="false">
      <c r="E1046" s="54" t="n">
        <v>1042</v>
      </c>
      <c r="F1046" s="61" t="n">
        <v>0.111428</v>
      </c>
      <c r="G1046" s="61" t="n">
        <v>0.492698</v>
      </c>
      <c r="H1046" s="34" t="n">
        <f aca="false">NORMSINV(F1046)</f>
        <v>-1.21896889125228</v>
      </c>
      <c r="I1046" s="34" t="n">
        <f aca="false">NORMSINV(G1046)</f>
        <v>-0.0183044217650677</v>
      </c>
      <c r="J1046" s="59" t="n">
        <f aca="false">mc_s0*EXP((mc_mu-mc_vol^2/2)*mc_t1+mc_vol*SQRT(mc_t1)*H1046)</f>
        <v>1020.27409834489</v>
      </c>
      <c r="K1046" s="59" t="n">
        <f aca="false">J1046*EXP((mc_mu-mc_vol^2/2)*(mc_t2-mc_t1)+mc_vol*SQRT(mc_t2-mc_t1)*I1046)</f>
        <v>1035.96500427122</v>
      </c>
      <c r="L1046" s="31" t="n">
        <f aca="false">(t1_usd*J1046+t2_usd*K1046)/1000</f>
        <v>9110.25219652957</v>
      </c>
    </row>
    <row r="1047" customFormat="false" ht="15" hidden="false" customHeight="false" outlineLevel="0" collapsed="false">
      <c r="E1047" s="54" t="n">
        <v>1043</v>
      </c>
      <c r="F1047" s="61" t="n">
        <v>0.977075</v>
      </c>
      <c r="G1047" s="61" t="n">
        <v>0.414996</v>
      </c>
      <c r="H1047" s="34" t="n">
        <f aca="false">NORMSINV(F1047)</f>
        <v>1.99677160032665</v>
      </c>
      <c r="I1047" s="34" t="n">
        <f aca="false">NORMSINV(G1047)</f>
        <v>-0.214711828304806</v>
      </c>
      <c r="J1047" s="59" t="n">
        <f aca="false">mc_s0*EXP((mc_mu-mc_vol^2/2)*mc_t1+mc_vol*SQRT(mc_t1)*H1047)</f>
        <v>1387.14445986367</v>
      </c>
      <c r="K1047" s="59" t="n">
        <f aca="false">J1047*EXP((mc_mu-mc_vol^2/2)*(mc_t2-mc_t1)+mc_vol*SQRT(mc_t2-mc_t1)*I1047)</f>
        <v>1365.54943707884</v>
      </c>
      <c r="L1047" s="31" t="n">
        <f aca="false">(t1_usd*J1047+t2_usd*K1047)/1000</f>
        <v>12304.5551494955</v>
      </c>
    </row>
    <row r="1048" customFormat="false" ht="15" hidden="false" customHeight="false" outlineLevel="0" collapsed="false">
      <c r="E1048" s="54" t="n">
        <v>1044</v>
      </c>
      <c r="F1048" s="61" t="n">
        <v>0.751748</v>
      </c>
      <c r="G1048" s="61" t="n">
        <v>0.783893</v>
      </c>
      <c r="H1048" s="34" t="n">
        <f aca="false">NORMSINV(F1048)</f>
        <v>0.680000727917847</v>
      </c>
      <c r="I1048" s="34" t="n">
        <f aca="false">NORMSINV(G1048)</f>
        <v>0.785408668397932</v>
      </c>
      <c r="J1048" s="59" t="n">
        <f aca="false">mc_s0*EXP((mc_mu-mc_vol^2/2)*mc_t1+mc_vol*SQRT(mc_t1)*H1048)</f>
        <v>1223.19449873999</v>
      </c>
      <c r="K1048" s="59" t="n">
        <f aca="false">J1048*EXP((mc_mu-mc_vol^2/2)*(mc_t2-mc_t1)+mc_vol*SQRT(mc_t2-mc_t1)*I1048)</f>
        <v>1409.71512343477</v>
      </c>
      <c r="L1048" s="31" t="n">
        <f aca="false">(t1_usd*J1048+t2_usd*K1048)/1000</f>
        <v>11240.820225706</v>
      </c>
    </row>
    <row r="1049" customFormat="false" ht="15" hidden="false" customHeight="false" outlineLevel="0" collapsed="false">
      <c r="E1049" s="54" t="n">
        <v>1045</v>
      </c>
      <c r="F1049" s="61" t="n">
        <v>0.404307</v>
      </c>
      <c r="G1049" s="61" t="n">
        <v>0.421688</v>
      </c>
      <c r="H1049" s="34" t="n">
        <f aca="false">NORMSINV(F1049)</f>
        <v>-0.242214448566101</v>
      </c>
      <c r="I1049" s="34" t="n">
        <f aca="false">NORMSINV(G1049)</f>
        <v>-0.197577040120604</v>
      </c>
      <c r="J1049" s="59" t="n">
        <f aca="false">mc_s0*EXP((mc_mu-mc_vol^2/2)*mc_t1+mc_vol*SQRT(mc_t1)*H1049)</f>
        <v>1120.05015277496</v>
      </c>
      <c r="K1049" s="59" t="n">
        <f aca="false">J1049*EXP((mc_mu-mc_vol^2/2)*(mc_t2-mc_t1)+mc_vol*SQRT(mc_t2-mc_t1)*I1049)</f>
        <v>1105.59468497381</v>
      </c>
      <c r="L1049" s="31" t="n">
        <f aca="false">(t1_usd*J1049+t2_usd*K1049)/1000</f>
        <v>9940.98097087495</v>
      </c>
    </row>
    <row r="1050" customFormat="false" ht="15" hidden="false" customHeight="false" outlineLevel="0" collapsed="false">
      <c r="E1050" s="54" t="n">
        <v>1046</v>
      </c>
      <c r="F1050" s="61" t="n">
        <v>0.671144</v>
      </c>
      <c r="G1050" s="61" t="n">
        <v>0.881302</v>
      </c>
      <c r="H1050" s="34" t="n">
        <f aca="false">NORMSINV(F1050)</f>
        <v>0.443074291117612</v>
      </c>
      <c r="I1050" s="34" t="n">
        <f aca="false">NORMSINV(G1050)</f>
        <v>1.18152053673542</v>
      </c>
      <c r="J1050" s="59" t="n">
        <f aca="false">mc_s0*EXP((mc_mu-mc_vol^2/2)*mc_t1+mc_vol*SQRT(mc_t1)*H1050)</f>
        <v>1195.82227259415</v>
      </c>
      <c r="K1050" s="59" t="n">
        <f aca="false">J1050*EXP((mc_mu-mc_vol^2/2)*(mc_t2-mc_t1)+mc_vol*SQRT(mc_t2-mc_t1)*I1050)</f>
        <v>1466.94256229969</v>
      </c>
      <c r="L1050" s="31" t="n">
        <f aca="false">(t1_usd*J1050+t2_usd*K1050)/1000</f>
        <v>11157.9467765285</v>
      </c>
    </row>
    <row r="1051" customFormat="false" ht="15" hidden="false" customHeight="false" outlineLevel="0" collapsed="false">
      <c r="E1051" s="54" t="n">
        <v>1047</v>
      </c>
      <c r="F1051" s="61" t="n">
        <v>0.317672</v>
      </c>
      <c r="G1051" s="61" t="n">
        <v>0.743646</v>
      </c>
      <c r="H1051" s="34" t="n">
        <f aca="false">NORMSINV(F1051)</f>
        <v>-0.474218643445105</v>
      </c>
      <c r="I1051" s="34" t="n">
        <f aca="false">NORMSINV(G1051)</f>
        <v>0.654626900613766</v>
      </c>
      <c r="J1051" s="59" t="n">
        <f aca="false">mc_s0*EXP((mc_mu-mc_vol^2/2)*mc_t1+mc_vol*SQRT(mc_t1)*H1051)</f>
        <v>1095.50102294662</v>
      </c>
      <c r="K1051" s="59" t="n">
        <f aca="false">J1051*EXP((mc_mu-mc_vol^2/2)*(mc_t2-mc_t1)+mc_vol*SQRT(mc_t2-mc_t1)*I1051)</f>
        <v>1236.79488393776</v>
      </c>
      <c r="L1051" s="31" t="n">
        <f aca="false">(t1_usd*J1051+t2_usd*K1051)/1000</f>
        <v>10018.4174401081</v>
      </c>
    </row>
    <row r="1052" customFormat="false" ht="15" hidden="false" customHeight="false" outlineLevel="0" collapsed="false">
      <c r="E1052" s="54" t="n">
        <v>1048</v>
      </c>
      <c r="F1052" s="61" t="n">
        <v>0.014225</v>
      </c>
      <c r="G1052" s="61" t="n">
        <v>0.907344</v>
      </c>
      <c r="H1052" s="34" t="n">
        <f aca="false">NORMSINV(F1052)</f>
        <v>-2.19102477024237</v>
      </c>
      <c r="I1052" s="34" t="n">
        <f aca="false">NORMSINV(G1052)</f>
        <v>1.3245754589177</v>
      </c>
      <c r="J1052" s="59" t="n">
        <f aca="false">mc_s0*EXP((mc_mu-mc_vol^2/2)*mc_t1+mc_vol*SQRT(mc_t1)*H1052)</f>
        <v>929.803491800217</v>
      </c>
      <c r="K1052" s="59" t="n">
        <f aca="false">J1052*EXP((mc_mu-mc_vol^2/2)*(mc_t2-mc_t1)+mc_vol*SQRT(mc_t2-mc_t1)*I1052)</f>
        <v>1166.61777382247</v>
      </c>
      <c r="L1052" s="31" t="n">
        <f aca="false">(t1_usd*J1052+t2_usd*K1052)/1000</f>
        <v>8725.19821286421</v>
      </c>
    </row>
    <row r="1053" customFormat="false" ht="15" hidden="false" customHeight="false" outlineLevel="0" collapsed="false">
      <c r="E1053" s="54" t="n">
        <v>1049</v>
      </c>
      <c r="F1053" s="61" t="n">
        <v>0.120123</v>
      </c>
      <c r="G1053" s="61" t="n">
        <v>0.9155</v>
      </c>
      <c r="H1053" s="34" t="n">
        <f aca="false">NORMSINV(F1053)</f>
        <v>-1.17437213849769</v>
      </c>
      <c r="I1053" s="34" t="n">
        <f aca="false">NORMSINV(G1053)</f>
        <v>1.37542410526545</v>
      </c>
      <c r="J1053" s="59" t="n">
        <f aca="false">mc_s0*EXP((mc_mu-mc_vol^2/2)*mc_t1+mc_vol*SQRT(mc_t1)*H1053)</f>
        <v>1024.62973579663</v>
      </c>
      <c r="K1053" s="59" t="n">
        <f aca="false">J1053*EXP((mc_mu-mc_vol^2/2)*(mc_t2-mc_t1)+mc_vol*SQRT(mc_t2-mc_t1)*I1053)</f>
        <v>1295.93896240657</v>
      </c>
      <c r="L1053" s="31" t="n">
        <f aca="false">(t1_usd*J1053+t2_usd*K1053)/1000</f>
        <v>9634.69217914891</v>
      </c>
    </row>
    <row r="1054" customFormat="false" ht="15" hidden="false" customHeight="false" outlineLevel="0" collapsed="false">
      <c r="E1054" s="54" t="n">
        <v>1050</v>
      </c>
      <c r="F1054" s="61" t="n">
        <v>0.785549</v>
      </c>
      <c r="G1054" s="61" t="n">
        <v>0.800032</v>
      </c>
      <c r="H1054" s="34" t="n">
        <f aca="false">NORMSINV(F1054)</f>
        <v>0.791071961211092</v>
      </c>
      <c r="I1054" s="34" t="n">
        <f aca="false">NORMSINV(G1054)</f>
        <v>0.841735540330403</v>
      </c>
      <c r="J1054" s="59" t="n">
        <f aca="false">mc_s0*EXP((mc_mu-mc_vol^2/2)*mc_t1+mc_vol*SQRT(mc_t1)*H1054)</f>
        <v>1236.24145756548</v>
      </c>
      <c r="K1054" s="59" t="n">
        <f aca="false">J1054*EXP((mc_mu-mc_vol^2/2)*(mc_t2-mc_t1)+mc_vol*SQRT(mc_t2-mc_t1)*I1054)</f>
        <v>1437.45500394172</v>
      </c>
      <c r="L1054" s="31" t="n">
        <f aca="false">(t1_usd*J1054+t2_usd*K1054)/1000</f>
        <v>11384.8547104476</v>
      </c>
    </row>
    <row r="1055" customFormat="false" ht="15" hidden="false" customHeight="false" outlineLevel="0" collapsed="false">
      <c r="E1055" s="54" t="n">
        <v>1051</v>
      </c>
      <c r="F1055" s="61" t="n">
        <v>0.873214</v>
      </c>
      <c r="G1055" s="61" t="n">
        <v>0.417361</v>
      </c>
      <c r="H1055" s="34" t="n">
        <f aca="false">NORMSINV(F1055)</f>
        <v>1.14171621153114</v>
      </c>
      <c r="I1055" s="34" t="n">
        <f aca="false">NORMSINV(G1055)</f>
        <v>-0.208649327727467</v>
      </c>
      <c r="J1055" s="59" t="n">
        <f aca="false">mc_s0*EXP((mc_mu-mc_vol^2/2)*mc_t1+mc_vol*SQRT(mc_t1)*H1055)</f>
        <v>1278.3499608652</v>
      </c>
      <c r="K1055" s="59" t="n">
        <f aca="false">J1055*EXP((mc_mu-mc_vol^2/2)*(mc_t2-mc_t1)+mc_vol*SQRT(mc_t2-mc_t1)*I1055)</f>
        <v>1259.65155506564</v>
      </c>
      <c r="L1055" s="31" t="n">
        <f aca="false">(t1_usd*J1055+t2_usd*K1055)/1000</f>
        <v>11341.7876806811</v>
      </c>
    </row>
    <row r="1056" customFormat="false" ht="15" hidden="false" customHeight="false" outlineLevel="0" collapsed="false">
      <c r="E1056" s="54" t="n">
        <v>1052</v>
      </c>
      <c r="F1056" s="61" t="n">
        <v>0.005344</v>
      </c>
      <c r="G1056" s="61" t="n">
        <v>0.720121</v>
      </c>
      <c r="H1056" s="34" t="n">
        <f aca="false">NORMSINV(F1056)</f>
        <v>-2.55273754499463</v>
      </c>
      <c r="I1056" s="34" t="n">
        <f aca="false">NORMSINV(G1056)</f>
        <v>0.583200997131825</v>
      </c>
      <c r="J1056" s="59" t="n">
        <f aca="false">mc_s0*EXP((mc_mu-mc_vol^2/2)*mc_t1+mc_vol*SQRT(mc_t1)*H1056)</f>
        <v>898.225823826364</v>
      </c>
      <c r="K1056" s="59" t="n">
        <f aca="false">J1056*EXP((mc_mu-mc_vol^2/2)*(mc_t2-mc_t1)+mc_vol*SQRT(mc_t2-mc_t1)*I1056)</f>
        <v>1002.72515023958</v>
      </c>
      <c r="L1056" s="31" t="n">
        <f aca="false">(t1_usd*J1056+t2_usd*K1056)/1000</f>
        <v>8192.75855223974</v>
      </c>
    </row>
    <row r="1057" customFormat="false" ht="15" hidden="false" customHeight="false" outlineLevel="0" collapsed="false">
      <c r="E1057" s="54" t="n">
        <v>1053</v>
      </c>
      <c r="F1057" s="61" t="n">
        <v>0.657206</v>
      </c>
      <c r="G1057" s="61" t="n">
        <v>0.276966</v>
      </c>
      <c r="H1057" s="34" t="n">
        <f aca="false">NORMSINV(F1057)</f>
        <v>0.40484969149501</v>
      </c>
      <c r="I1057" s="34" t="n">
        <f aca="false">NORMSINV(G1057)</f>
        <v>-0.59187842817866</v>
      </c>
      <c r="J1057" s="59" t="n">
        <f aca="false">mc_s0*EXP((mc_mu-mc_vol^2/2)*mc_t1+mc_vol*SQRT(mc_t1)*H1057)</f>
        <v>1191.46391158177</v>
      </c>
      <c r="K1057" s="59" t="n">
        <f aca="false">J1057*EXP((mc_mu-mc_vol^2/2)*(mc_t2-mc_t1)+mc_vol*SQRT(mc_t2-mc_t1)*I1057)</f>
        <v>1105.22995209152</v>
      </c>
      <c r="L1057" s="31" t="n">
        <f aca="false">(t1_usd*J1057+t2_usd*K1057)/1000</f>
        <v>10440.1842900463</v>
      </c>
    </row>
    <row r="1058" customFormat="false" ht="15" hidden="false" customHeight="false" outlineLevel="0" collapsed="false">
      <c r="E1058" s="54" t="n">
        <v>1054</v>
      </c>
      <c r="F1058" s="61" t="n">
        <v>0.724848</v>
      </c>
      <c r="G1058" s="61" t="n">
        <v>0.263715</v>
      </c>
      <c r="H1058" s="34" t="n">
        <f aca="false">NORMSINV(F1058)</f>
        <v>0.597304650720576</v>
      </c>
      <c r="I1058" s="34" t="n">
        <f aca="false">NORMSINV(G1058)</f>
        <v>-0.631934007981187</v>
      </c>
      <c r="J1058" s="59" t="n">
        <f aca="false">mc_s0*EXP((mc_mu-mc_vol^2/2)*mc_t1+mc_vol*SQRT(mc_t1)*H1058)</f>
        <v>1213.57012487673</v>
      </c>
      <c r="K1058" s="59" t="n">
        <f aca="false">J1058*EXP((mc_mu-mc_vol^2/2)*(mc_t2-mc_t1)+mc_vol*SQRT(mc_t2-mc_t1)*I1058)</f>
        <v>1118.6523822641</v>
      </c>
      <c r="L1058" s="31" t="n">
        <f aca="false">(t1_usd*J1058+t2_usd*K1058)/1000</f>
        <v>10620.4304004389</v>
      </c>
    </row>
    <row r="1059" customFormat="false" ht="15" hidden="false" customHeight="false" outlineLevel="0" collapsed="false">
      <c r="E1059" s="54" t="n">
        <v>1055</v>
      </c>
      <c r="F1059" s="61" t="n">
        <v>0.314178</v>
      </c>
      <c r="G1059" s="61" t="n">
        <v>0.150212</v>
      </c>
      <c r="H1059" s="34" t="n">
        <f aca="false">NORMSINV(F1059)</f>
        <v>-0.484042087667007</v>
      </c>
      <c r="I1059" s="34" t="n">
        <f aca="false">NORMSINV(G1059)</f>
        <v>-1.03552456588423</v>
      </c>
      <c r="J1059" s="59" t="n">
        <f aca="false">mc_s0*EXP((mc_mu-mc_vol^2/2)*mc_t1+mc_vol*SQRT(mc_t1)*H1059)</f>
        <v>1094.4735294692</v>
      </c>
      <c r="K1059" s="59" t="n">
        <f aca="false">J1059*EXP((mc_mu-mc_vol^2/2)*(mc_t2-mc_t1)+mc_vol*SQRT(mc_t2-mc_t1)*I1059)</f>
        <v>946.701467591688</v>
      </c>
      <c r="L1059" s="31" t="n">
        <f aca="false">(t1_usd*J1059+t2_usd*K1059)/1000</f>
        <v>9460.04749470864</v>
      </c>
    </row>
    <row r="1060" customFormat="false" ht="15" hidden="false" customHeight="false" outlineLevel="0" collapsed="false">
      <c r="E1060" s="54" t="n">
        <v>1056</v>
      </c>
      <c r="F1060" s="61" t="n">
        <v>0.09372</v>
      </c>
      <c r="G1060" s="61" t="n">
        <v>0.742009</v>
      </c>
      <c r="H1060" s="34" t="n">
        <f aca="false">NORMSINV(F1060)</f>
        <v>-1.3181901560751</v>
      </c>
      <c r="I1060" s="34" t="n">
        <f aca="false">NORMSINV(G1060)</f>
        <v>0.64955145363345</v>
      </c>
      <c r="J1060" s="59" t="n">
        <f aca="false">mc_s0*EXP((mc_mu-mc_vol^2/2)*mc_t1+mc_vol*SQRT(mc_t1)*H1060)</f>
        <v>1010.64974851525</v>
      </c>
      <c r="K1060" s="59" t="n">
        <f aca="false">J1060*EXP((mc_mu-mc_vol^2/2)*(mc_t2-mc_t1)+mc_vol*SQRT(mc_t2-mc_t1)*I1060)</f>
        <v>1140.08752062271</v>
      </c>
      <c r="L1060" s="31" t="n">
        <f aca="false">(t1_usd*J1060+t2_usd*K1060)/1000</f>
        <v>9240.7145287899</v>
      </c>
    </row>
    <row r="1061" customFormat="false" ht="15" hidden="false" customHeight="false" outlineLevel="0" collapsed="false">
      <c r="E1061" s="54" t="n">
        <v>1057</v>
      </c>
      <c r="F1061" s="61" t="n">
        <v>0.786075</v>
      </c>
      <c r="G1061" s="61" t="n">
        <v>0.709312</v>
      </c>
      <c r="H1061" s="34" t="n">
        <f aca="false">NORMSINV(F1061)</f>
        <v>0.792876122743903</v>
      </c>
      <c r="I1061" s="34" t="n">
        <f aca="false">NORMSINV(G1061)</f>
        <v>0.551375926203424</v>
      </c>
      <c r="J1061" s="59" t="n">
        <f aca="false">mc_s0*EXP((mc_mu-mc_vol^2/2)*mc_t1+mc_vol*SQRT(mc_t1)*H1061)</f>
        <v>1236.45452760923</v>
      </c>
      <c r="K1061" s="59" t="n">
        <f aca="false">J1061*EXP((mc_mu-mc_vol^2/2)*(mc_t2-mc_t1)+mc_vol*SQRT(mc_t2-mc_t1)*I1061)</f>
        <v>1373.39781921066</v>
      </c>
      <c r="L1061" s="31" t="n">
        <f aca="false">(t1_usd*J1061+t2_usd*K1061)/1000</f>
        <v>11264.6375497648</v>
      </c>
    </row>
    <row r="1062" customFormat="false" ht="15" hidden="false" customHeight="false" outlineLevel="0" collapsed="false">
      <c r="E1062" s="54" t="n">
        <v>1058</v>
      </c>
      <c r="F1062" s="61" t="n">
        <v>0.629733</v>
      </c>
      <c r="G1062" s="61" t="n">
        <v>0.389764</v>
      </c>
      <c r="H1062" s="34" t="n">
        <f aca="false">NORMSINV(F1062)</f>
        <v>0.331146273890427</v>
      </c>
      <c r="I1062" s="34" t="n">
        <f aca="false">NORMSINV(G1062)</f>
        <v>-0.279934184282957</v>
      </c>
      <c r="J1062" s="59" t="n">
        <f aca="false">mc_s0*EXP((mc_mu-mc_vol^2/2)*mc_t1+mc_vol*SQRT(mc_t1)*H1062)</f>
        <v>1183.10505499964</v>
      </c>
      <c r="K1062" s="59" t="n">
        <f aca="false">J1062*EXP((mc_mu-mc_vol^2/2)*(mc_t2-mc_t1)+mc_vol*SQRT(mc_t2-mc_t1)*I1062)</f>
        <v>1152.77647907998</v>
      </c>
      <c r="L1062" s="31" t="n">
        <f aca="false">(t1_usd*J1062+t2_usd*K1062)/1000</f>
        <v>10472.0106952494</v>
      </c>
    </row>
    <row r="1063" customFormat="false" ht="15" hidden="false" customHeight="false" outlineLevel="0" collapsed="false">
      <c r="E1063" s="54" t="n">
        <v>1059</v>
      </c>
      <c r="F1063" s="61" t="n">
        <v>0.048617</v>
      </c>
      <c r="G1063" s="61" t="n">
        <v>0.369911</v>
      </c>
      <c r="H1063" s="34" t="n">
        <f aca="false">NORMSINV(F1063)</f>
        <v>-1.65841366650479</v>
      </c>
      <c r="I1063" s="34" t="n">
        <f aca="false">NORMSINV(G1063)</f>
        <v>-0.332089074141983</v>
      </c>
      <c r="J1063" s="59" t="n">
        <f aca="false">mc_s0*EXP((mc_mu-mc_vol^2/2)*mc_t1+mc_vol*SQRT(mc_t1)*H1063)</f>
        <v>978.332581881863</v>
      </c>
      <c r="K1063" s="59" t="n">
        <f aca="false">J1063*EXP((mc_mu-mc_vol^2/2)*(mc_t2-mc_t1)+mc_vol*SQRT(mc_t2-mc_t1)*I1063)</f>
        <v>945.450370789218</v>
      </c>
      <c r="L1063" s="31" t="n">
        <f aca="false">(t1_usd*J1063+t2_usd*K1063)/1000</f>
        <v>8644.68377767256</v>
      </c>
    </row>
    <row r="1064" customFormat="false" ht="15" hidden="false" customHeight="false" outlineLevel="0" collapsed="false">
      <c r="E1064" s="54" t="n">
        <v>1060</v>
      </c>
      <c r="F1064" s="61" t="n">
        <v>0.015598</v>
      </c>
      <c r="G1064" s="61" t="n">
        <v>0.025447</v>
      </c>
      <c r="H1064" s="34" t="n">
        <f aca="false">NORMSINV(F1064)</f>
        <v>-2.15456360044884</v>
      </c>
      <c r="I1064" s="34" t="n">
        <f aca="false">NORMSINV(G1064)</f>
        <v>-1.9523724623709</v>
      </c>
      <c r="J1064" s="59" t="n">
        <f aca="false">mc_s0*EXP((mc_mu-mc_vol^2/2)*mc_t1+mc_vol*SQRT(mc_t1)*H1064)</f>
        <v>933.047519356082</v>
      </c>
      <c r="K1064" s="59" t="n">
        <f aca="false">J1064*EXP((mc_mu-mc_vol^2/2)*(mc_t2-mc_t1)+mc_vol*SQRT(mc_t2-mc_t1)*I1064)</f>
        <v>698.490941327619</v>
      </c>
      <c r="L1064" s="31" t="n">
        <f aca="false">(t1_usd*J1064+t2_usd*K1064)/1000</f>
        <v>7858.46542401505</v>
      </c>
    </row>
    <row r="1065" customFormat="false" ht="15" hidden="false" customHeight="false" outlineLevel="0" collapsed="false">
      <c r="E1065" s="54" t="n">
        <v>1061</v>
      </c>
      <c r="F1065" s="61" t="n">
        <v>0.148105</v>
      </c>
      <c r="G1065" s="61" t="n">
        <v>0.617287</v>
      </c>
      <c r="H1065" s="34" t="n">
        <f aca="false">NORMSINV(F1065)</f>
        <v>-1.04459541410604</v>
      </c>
      <c r="I1065" s="34" t="n">
        <f aca="false">NORMSINV(G1065)</f>
        <v>0.298363164360491</v>
      </c>
      <c r="J1065" s="59" t="n">
        <f aca="false">mc_s0*EXP((mc_mu-mc_vol^2/2)*mc_t1+mc_vol*SQRT(mc_t1)*H1065)</f>
        <v>1037.41073136135</v>
      </c>
      <c r="K1065" s="59" t="n">
        <f aca="false">J1065*EXP((mc_mu-mc_vol^2/2)*(mc_t2-mc_t1)+mc_vol*SQRT(mc_t2-mc_t1)*I1065)</f>
        <v>1107.26679718182</v>
      </c>
      <c r="L1065" s="31" t="n">
        <f aca="false">(t1_usd*J1065+t2_usd*K1065)/1000</f>
        <v>9365.68203417492</v>
      </c>
    </row>
    <row r="1066" customFormat="false" ht="15" hidden="false" customHeight="false" outlineLevel="0" collapsed="false">
      <c r="E1066" s="54" t="n">
        <v>1062</v>
      </c>
      <c r="F1066" s="61" t="n">
        <v>0.054868</v>
      </c>
      <c r="G1066" s="61" t="n">
        <v>0.989644</v>
      </c>
      <c r="H1066" s="34" t="n">
        <f aca="false">NORMSINV(F1066)</f>
        <v>-1.59938087123831</v>
      </c>
      <c r="I1066" s="34" t="n">
        <f aca="false">NORMSINV(G1066)</f>
        <v>2.31319355069918</v>
      </c>
      <c r="J1066" s="59" t="n">
        <f aca="false">mc_s0*EXP((mc_mu-mc_vol^2/2)*mc_t1+mc_vol*SQRT(mc_t1)*H1066)</f>
        <v>983.864951354372</v>
      </c>
      <c r="K1066" s="59" t="n">
        <f aca="false">J1066*EXP((mc_mu-mc_vol^2/2)*(mc_t2-mc_t1)+mc_vol*SQRT(mc_t2-mc_t1)*I1066)</f>
        <v>1442.56623776673</v>
      </c>
      <c r="L1066" s="31" t="n">
        <f aca="false">(t1_usd*J1066+t2_usd*K1066)/1000</f>
        <v>9627.9305112374</v>
      </c>
    </row>
    <row r="1067" customFormat="false" ht="15" hidden="false" customHeight="false" outlineLevel="0" collapsed="false">
      <c r="E1067" s="54" t="n">
        <v>1063</v>
      </c>
      <c r="F1067" s="61" t="n">
        <v>0.46188</v>
      </c>
      <c r="G1067" s="61" t="n">
        <v>0.913333</v>
      </c>
      <c r="H1067" s="34" t="n">
        <f aca="false">NORMSINV(F1067)</f>
        <v>-0.095698540617578</v>
      </c>
      <c r="I1067" s="34" t="n">
        <f aca="false">NORMSINV(G1067)</f>
        <v>1.36156882286291</v>
      </c>
      <c r="J1067" s="59" t="n">
        <f aca="false">mc_s0*EXP((mc_mu-mc_vol^2/2)*mc_t1+mc_vol*SQRT(mc_t1)*H1067)</f>
        <v>1135.83611817583</v>
      </c>
      <c r="K1067" s="59" t="n">
        <f aca="false">J1067*EXP((mc_mu-mc_vol^2/2)*(mc_t2-mc_t1)+mc_vol*SQRT(mc_t2-mc_t1)*I1067)</f>
        <v>1433.45804071248</v>
      </c>
      <c r="L1067" s="31" t="n">
        <f aca="false">(t1_usd*J1067+t2_usd*K1067)/1000</f>
        <v>10674.4231045845</v>
      </c>
    </row>
    <row r="1068" customFormat="false" ht="15" hidden="false" customHeight="false" outlineLevel="0" collapsed="false">
      <c r="E1068" s="54" t="n">
        <v>1064</v>
      </c>
      <c r="F1068" s="61" t="n">
        <v>0.149501</v>
      </c>
      <c r="G1068" s="61" t="n">
        <v>0.487646</v>
      </c>
      <c r="H1068" s="34" t="n">
        <f aca="false">NORMSINV(F1068)</f>
        <v>-1.03857594076218</v>
      </c>
      <c r="I1068" s="34" t="n">
        <f aca="false">NORMSINV(G1068)</f>
        <v>-0.0309718366388513</v>
      </c>
      <c r="J1068" s="59" t="n">
        <f aca="false">mc_s0*EXP((mc_mu-mc_vol^2/2)*mc_t1+mc_vol*SQRT(mc_t1)*H1068)</f>
        <v>1038.00740980163</v>
      </c>
      <c r="K1068" s="59" t="n">
        <f aca="false">J1068*EXP((mc_mu-mc_vol^2/2)*(mc_t2-mc_t1)+mc_vol*SQRT(mc_t2-mc_t1)*I1068)</f>
        <v>1051.86909626148</v>
      </c>
      <c r="L1068" s="31" t="n">
        <f aca="false">(t1_usd*J1068+t2_usd*K1068)/1000</f>
        <v>9264.60315150822</v>
      </c>
    </row>
    <row r="1069" customFormat="false" ht="15" hidden="false" customHeight="false" outlineLevel="0" collapsed="false">
      <c r="E1069" s="54" t="n">
        <v>1065</v>
      </c>
      <c r="F1069" s="61" t="n">
        <v>0.269779</v>
      </c>
      <c r="G1069" s="61" t="n">
        <v>0.033148</v>
      </c>
      <c r="H1069" s="34" t="n">
        <f aca="false">NORMSINV(F1069)</f>
        <v>-0.61348151750814</v>
      </c>
      <c r="I1069" s="34" t="n">
        <f aca="false">NORMSINV(G1069)</f>
        <v>-1.83641704884106</v>
      </c>
      <c r="J1069" s="59" t="n">
        <f aca="false">mc_s0*EXP((mc_mu-mc_vol^2/2)*mc_t1+mc_vol*SQRT(mc_t1)*H1069)</f>
        <v>1081.02434423115</v>
      </c>
      <c r="K1069" s="59" t="n">
        <f aca="false">J1069*EXP((mc_mu-mc_vol^2/2)*(mc_t2-mc_t1)+mc_vol*SQRT(mc_t2-mc_t1)*I1069)</f>
        <v>824.192567145825</v>
      </c>
      <c r="L1069" s="31" t="n">
        <f aca="false">(t1_usd*J1069+t2_usd*K1069)/1000</f>
        <v>9133.13628719509</v>
      </c>
    </row>
    <row r="1070" customFormat="false" ht="15" hidden="false" customHeight="false" outlineLevel="0" collapsed="false">
      <c r="E1070" s="54" t="n">
        <v>1066</v>
      </c>
      <c r="F1070" s="61" t="n">
        <v>0.804758</v>
      </c>
      <c r="G1070" s="61" t="n">
        <v>0.336035</v>
      </c>
      <c r="H1070" s="34" t="n">
        <f aca="false">NORMSINV(F1070)</f>
        <v>0.858739957867724</v>
      </c>
      <c r="I1070" s="34" t="n">
        <f aca="false">NORMSINV(G1070)</f>
        <v>-0.42330876521313</v>
      </c>
      <c r="J1070" s="59" t="n">
        <f aca="false">mc_s0*EXP((mc_mu-mc_vol^2/2)*mc_t1+mc_vol*SQRT(mc_t1)*H1070)</f>
        <v>1244.25818706418</v>
      </c>
      <c r="K1070" s="59" t="n">
        <f aca="false">J1070*EXP((mc_mu-mc_vol^2/2)*(mc_t2-mc_t1)+mc_vol*SQRT(mc_t2-mc_t1)*I1070)</f>
        <v>1185.27597410938</v>
      </c>
      <c r="L1070" s="31" t="n">
        <f aca="false">(t1_usd*J1070+t2_usd*K1070)/1000</f>
        <v>10961.8316602571</v>
      </c>
    </row>
    <row r="1071" customFormat="false" ht="15" hidden="false" customHeight="false" outlineLevel="0" collapsed="false">
      <c r="E1071" s="54" t="n">
        <v>1067</v>
      </c>
      <c r="F1071" s="61" t="n">
        <v>0.31711</v>
      </c>
      <c r="G1071" s="61" t="n">
        <v>0.932863</v>
      </c>
      <c r="H1071" s="34" t="n">
        <f aca="false">NORMSINV(F1071)</f>
        <v>-0.475795606797361</v>
      </c>
      <c r="I1071" s="34" t="n">
        <f aca="false">NORMSINV(G1071)</f>
        <v>1.49745848552551</v>
      </c>
      <c r="J1071" s="59" t="n">
        <f aca="false">mc_s0*EXP((mc_mu-mc_vol^2/2)*mc_t1+mc_vol*SQRT(mc_t1)*H1071)</f>
        <v>1095.33601383442</v>
      </c>
      <c r="K1071" s="59" t="n">
        <f aca="false">J1071*EXP((mc_mu-mc_vol^2/2)*(mc_t2-mc_t1)+mc_vol*SQRT(mc_t2-mc_t1)*I1071)</f>
        <v>1412.26832444807</v>
      </c>
      <c r="L1071" s="31" t="n">
        <f aca="false">(t1_usd*J1071+t2_usd*K1071)/1000</f>
        <v>10350.6619132923</v>
      </c>
    </row>
    <row r="1072" customFormat="false" ht="15" hidden="false" customHeight="false" outlineLevel="0" collapsed="false">
      <c r="E1072" s="54" t="n">
        <v>1068</v>
      </c>
      <c r="F1072" s="61" t="n">
        <v>0.453341</v>
      </c>
      <c r="G1072" s="61" t="n">
        <v>0.58439</v>
      </c>
      <c r="H1072" s="34" t="n">
        <f aca="false">NORMSINV(F1072)</f>
        <v>-0.117224692538177</v>
      </c>
      <c r="I1072" s="34" t="n">
        <f aca="false">NORMSINV(G1072)</f>
        <v>0.213137135635003</v>
      </c>
      <c r="J1072" s="59" t="n">
        <f aca="false">mc_s0*EXP((mc_mu-mc_vol^2/2)*mc_t1+mc_vol*SQRT(mc_t1)*H1072)</f>
        <v>1133.50297228627</v>
      </c>
      <c r="K1072" s="59" t="n">
        <f aca="false">J1072*EXP((mc_mu-mc_vol^2/2)*(mc_t2-mc_t1)+mc_vol*SQRT(mc_t2-mc_t1)*I1072)</f>
        <v>1193.68895840549</v>
      </c>
      <c r="L1072" s="31" t="n">
        <f aca="false">(t1_usd*J1072+t2_usd*K1072)/1000</f>
        <v>10202.5298269743</v>
      </c>
    </row>
    <row r="1073" customFormat="false" ht="15" hidden="false" customHeight="false" outlineLevel="0" collapsed="false">
      <c r="E1073" s="54" t="n">
        <v>1069</v>
      </c>
      <c r="F1073" s="61" t="n">
        <v>0.688067</v>
      </c>
      <c r="G1073" s="61" t="n">
        <v>0.910371</v>
      </c>
      <c r="H1073" s="34" t="n">
        <f aca="false">NORMSINV(F1073)</f>
        <v>0.490378623976092</v>
      </c>
      <c r="I1073" s="34" t="n">
        <f aca="false">NORMSINV(G1073)</f>
        <v>1.34304315646606</v>
      </c>
      <c r="J1073" s="59" t="n">
        <f aca="false">mc_s0*EXP((mc_mu-mc_vol^2/2)*mc_t1+mc_vol*SQRT(mc_t1)*H1073)</f>
        <v>1201.23798243082</v>
      </c>
      <c r="K1073" s="59" t="n">
        <f aca="false">J1073*EXP((mc_mu-mc_vol^2/2)*(mc_t2-mc_t1)+mc_vol*SQRT(mc_t2-mc_t1)*I1073)</f>
        <v>1511.57755770755</v>
      </c>
      <c r="L1073" s="31" t="n">
        <f aca="false">(t1_usd*J1073+t2_usd*K1073)/1000</f>
        <v>11280.6632366601</v>
      </c>
    </row>
    <row r="1074" customFormat="false" ht="15" hidden="false" customHeight="false" outlineLevel="0" collapsed="false">
      <c r="E1074" s="54" t="n">
        <v>1070</v>
      </c>
      <c r="F1074" s="61" t="n">
        <v>0.564182</v>
      </c>
      <c r="G1074" s="61" t="n">
        <v>0.941229</v>
      </c>
      <c r="H1074" s="34" t="n">
        <f aca="false">NORMSINV(F1074)</f>
        <v>0.161580772052454</v>
      </c>
      <c r="I1074" s="34" t="n">
        <f aca="false">NORMSINV(G1074)</f>
        <v>1.5651744953453</v>
      </c>
      <c r="J1074" s="59" t="n">
        <f aca="false">mc_s0*EXP((mc_mu-mc_vol^2/2)*mc_t1+mc_vol*SQRT(mc_t1)*H1074)</f>
        <v>1164.09625951643</v>
      </c>
      <c r="K1074" s="59" t="n">
        <f aca="false">J1074*EXP((mc_mu-mc_vol^2/2)*(mc_t2-mc_t1)+mc_vol*SQRT(mc_t2-mc_t1)*I1074)</f>
        <v>1517.02715405625</v>
      </c>
      <c r="L1074" s="31" t="n">
        <f aca="false">(t1_usd*J1074+t2_usd*K1074)/1000</f>
        <v>11031.0254093219</v>
      </c>
    </row>
    <row r="1075" customFormat="false" ht="15" hidden="false" customHeight="false" outlineLevel="0" collapsed="false">
      <c r="E1075" s="54" t="n">
        <v>1071</v>
      </c>
      <c r="F1075" s="61" t="n">
        <v>0.34399</v>
      </c>
      <c r="G1075" s="61" t="n">
        <v>0.931918</v>
      </c>
      <c r="H1075" s="34" t="n">
        <f aca="false">NORMSINV(F1075)</f>
        <v>-0.401597866857452</v>
      </c>
      <c r="I1075" s="34" t="n">
        <f aca="false">NORMSINV(G1075)</f>
        <v>1.4902291280763</v>
      </c>
      <c r="J1075" s="59" t="n">
        <f aca="false">mc_s0*EXP((mc_mu-mc_vol^2/2)*mc_t1+mc_vol*SQRT(mc_t1)*H1075)</f>
        <v>1103.12685314766</v>
      </c>
      <c r="K1075" s="59" t="n">
        <f aca="false">J1075*EXP((mc_mu-mc_vol^2/2)*(mc_t2-mc_t1)+mc_vol*SQRT(mc_t2-mc_t1)*I1075)</f>
        <v>1420.69390511308</v>
      </c>
      <c r="L1075" s="31" t="n">
        <f aca="false">(t1_usd*J1075+t2_usd*K1075)/1000</f>
        <v>10421.2063917485</v>
      </c>
    </row>
    <row r="1076" customFormat="false" ht="15" hidden="false" customHeight="false" outlineLevel="0" collapsed="false">
      <c r="E1076" s="54" t="n">
        <v>1072</v>
      </c>
      <c r="F1076" s="61" t="n">
        <v>0.765006</v>
      </c>
      <c r="G1076" s="61" t="n">
        <v>0.392913</v>
      </c>
      <c r="H1076" s="34" t="n">
        <f aca="false">NORMSINV(F1076)</f>
        <v>0.722498576876325</v>
      </c>
      <c r="I1076" s="34" t="n">
        <f aca="false">NORMSINV(G1076)</f>
        <v>-0.271734723561197</v>
      </c>
      <c r="J1076" s="59" t="n">
        <f aca="false">mc_s0*EXP((mc_mu-mc_vol^2/2)*mc_t1+mc_vol*SQRT(mc_t1)*H1076)</f>
        <v>1228.17015678854</v>
      </c>
      <c r="K1076" s="59" t="n">
        <f aca="false">J1076*EXP((mc_mu-mc_vol^2/2)*(mc_t2-mc_t1)+mc_vol*SQRT(mc_t2-mc_t1)*I1076)</f>
        <v>1198.23368202196</v>
      </c>
      <c r="L1076" s="31" t="n">
        <f aca="false">(t1_usd*J1076+t2_usd*K1076)/1000</f>
        <v>10873.8350933615</v>
      </c>
    </row>
    <row r="1077" customFormat="false" ht="15" hidden="false" customHeight="false" outlineLevel="0" collapsed="false">
      <c r="E1077" s="54" t="n">
        <v>1073</v>
      </c>
      <c r="F1077" s="61" t="n">
        <v>0.424012</v>
      </c>
      <c r="G1077" s="61" t="n">
        <v>0.317847</v>
      </c>
      <c r="H1077" s="34" t="n">
        <f aca="false">NORMSINV(F1077)</f>
        <v>-0.191640265166142</v>
      </c>
      <c r="I1077" s="34" t="n">
        <f aca="false">NORMSINV(G1077)</f>
        <v>-0.473727837006601</v>
      </c>
      <c r="J1077" s="59" t="n">
        <f aca="false">mc_s0*EXP((mc_mu-mc_vol^2/2)*mc_t1+mc_vol*SQRT(mc_t1)*H1077)</f>
        <v>1125.4741824144</v>
      </c>
      <c r="K1077" s="59" t="n">
        <f aca="false">J1077*EXP((mc_mu-mc_vol^2/2)*(mc_t2-mc_t1)+mc_vol*SQRT(mc_t2-mc_t1)*I1077)</f>
        <v>1063.63773451923</v>
      </c>
      <c r="L1077" s="31" t="n">
        <f aca="false">(t1_usd*J1077+t2_usd*K1077)/1000</f>
        <v>9899.2309724873</v>
      </c>
    </row>
    <row r="1078" customFormat="false" ht="15" hidden="false" customHeight="false" outlineLevel="0" collapsed="false">
      <c r="E1078" s="54" t="n">
        <v>1074</v>
      </c>
      <c r="F1078" s="61" t="n">
        <v>0.553824</v>
      </c>
      <c r="G1078" s="61" t="n">
        <v>0.875924</v>
      </c>
      <c r="H1078" s="34" t="n">
        <f aca="false">NORMSINV(F1078)</f>
        <v>0.135328693015018</v>
      </c>
      <c r="I1078" s="34" t="n">
        <f aca="false">NORMSINV(G1078)</f>
        <v>1.15484965251973</v>
      </c>
      <c r="J1078" s="59" t="n">
        <f aca="false">mc_s0*EXP((mc_mu-mc_vol^2/2)*mc_t1+mc_vol*SQRT(mc_t1)*H1078)</f>
        <v>1161.18075024479</v>
      </c>
      <c r="K1078" s="59" t="n">
        <f aca="false">J1078*EXP((mc_mu-mc_vol^2/2)*(mc_t2-mc_t1)+mc_vol*SQRT(mc_t2-mc_t1)*I1078)</f>
        <v>1418.47241409653</v>
      </c>
      <c r="L1078" s="31" t="n">
        <f aca="false">(t1_usd*J1078+t2_usd*K1078)/1000</f>
        <v>10823.3628384969</v>
      </c>
    </row>
    <row r="1079" customFormat="false" ht="15" hidden="false" customHeight="false" outlineLevel="0" collapsed="false">
      <c r="E1079" s="54" t="n">
        <v>1075</v>
      </c>
      <c r="F1079" s="61" t="n">
        <v>0.032341</v>
      </c>
      <c r="G1079" s="61" t="n">
        <v>0.019883</v>
      </c>
      <c r="H1079" s="34" t="n">
        <f aca="false">NORMSINV(F1079)</f>
        <v>-1.84744964318191</v>
      </c>
      <c r="I1079" s="34" t="n">
        <f aca="false">NORMSINV(G1079)</f>
        <v>-2.05617137898103</v>
      </c>
      <c r="J1079" s="59" t="n">
        <f aca="false">mc_s0*EXP((mc_mu-mc_vol^2/2)*mc_t1+mc_vol*SQRT(mc_t1)*H1079)</f>
        <v>960.825165595762</v>
      </c>
      <c r="K1079" s="59" t="n">
        <f aca="false">J1079*EXP((mc_mu-mc_vol^2/2)*(mc_t2-mc_t1)+mc_vol*SQRT(mc_t2-mc_t1)*I1079)</f>
        <v>707.615267098215</v>
      </c>
      <c r="L1079" s="31" t="n">
        <f aca="false">(t1_usd*J1079+t2_usd*K1079)/1000</f>
        <v>8070.24516665695</v>
      </c>
    </row>
    <row r="1080" customFormat="false" ht="15" hidden="false" customHeight="false" outlineLevel="0" collapsed="false">
      <c r="E1080" s="54" t="n">
        <v>1076</v>
      </c>
      <c r="F1080" s="61" t="n">
        <v>0.500348</v>
      </c>
      <c r="G1080" s="61" t="n">
        <v>0.7492</v>
      </c>
      <c r="H1080" s="34" t="n">
        <f aca="false">NORMSINV(F1080)</f>
        <v>0.00087230675019742</v>
      </c>
      <c r="I1080" s="34" t="n">
        <f aca="false">NORMSINV(G1080)</f>
        <v>0.671974390443033</v>
      </c>
      <c r="J1080" s="59" t="n">
        <f aca="false">mc_s0*EXP((mc_mu-mc_vol^2/2)*mc_t1+mc_vol*SQRT(mc_t1)*H1080)</f>
        <v>1146.36234257748</v>
      </c>
      <c r="K1080" s="59" t="n">
        <f aca="false">J1080*EXP((mc_mu-mc_vol^2/2)*(mc_t2-mc_t1)+mc_vol*SQRT(mc_t2-mc_t1)*I1080)</f>
        <v>1297.75914626213</v>
      </c>
      <c r="L1080" s="31" t="n">
        <f aca="false">(t1_usd*J1080+t2_usd*K1080)/1000</f>
        <v>10490.2787759404</v>
      </c>
    </row>
    <row r="1081" customFormat="false" ht="15" hidden="false" customHeight="false" outlineLevel="0" collapsed="false">
      <c r="E1081" s="54" t="n">
        <v>1077</v>
      </c>
      <c r="F1081" s="61" t="n">
        <v>0.283702</v>
      </c>
      <c r="G1081" s="61" t="n">
        <v>0.073759</v>
      </c>
      <c r="H1081" s="34" t="n">
        <f aca="false">NORMSINV(F1081)</f>
        <v>-0.571878929013757</v>
      </c>
      <c r="I1081" s="34" t="n">
        <f aca="false">NORMSINV(G1081)</f>
        <v>-1.44835425981942</v>
      </c>
      <c r="J1081" s="59" t="n">
        <f aca="false">mc_s0*EXP((mc_mu-mc_vol^2/2)*mc_t1+mc_vol*SQRT(mc_t1)*H1081)</f>
        <v>1085.32886990988</v>
      </c>
      <c r="K1081" s="59" t="n">
        <f aca="false">J1081*EXP((mc_mu-mc_vol^2/2)*(mc_t2-mc_t1)+mc_vol*SQRT(mc_t2-mc_t1)*I1081)</f>
        <v>879.658923564926</v>
      </c>
      <c r="L1081" s="31" t="n">
        <f aca="false">(t1_usd*J1081+t2_usd*K1081)/1000</f>
        <v>9268.65404414249</v>
      </c>
    </row>
    <row r="1082" customFormat="false" ht="15" hidden="false" customHeight="false" outlineLevel="0" collapsed="false">
      <c r="E1082" s="54" t="n">
        <v>1078</v>
      </c>
      <c r="F1082" s="61" t="n">
        <v>0.957389</v>
      </c>
      <c r="G1082" s="61" t="n">
        <v>0.868298</v>
      </c>
      <c r="H1082" s="34" t="n">
        <f aca="false">NORMSINV(F1082)</f>
        <v>1.72115886473949</v>
      </c>
      <c r="I1082" s="34" t="n">
        <f aca="false">NORMSINV(G1082)</f>
        <v>1.11838171576123</v>
      </c>
      <c r="J1082" s="59" t="n">
        <f aca="false">mc_s0*EXP((mc_mu-mc_vol^2/2)*mc_t1+mc_vol*SQRT(mc_t1)*H1082)</f>
        <v>1351.10129860182</v>
      </c>
      <c r="K1082" s="59" t="n">
        <f aca="false">J1082*EXP((mc_mu-mc_vol^2/2)*(mc_t2-mc_t1)+mc_vol*SQRT(mc_t2-mc_t1)*I1082)</f>
        <v>1641.01686624489</v>
      </c>
      <c r="L1082" s="31" t="n">
        <f aca="false">(t1_usd*J1082+t2_usd*K1082)/1000</f>
        <v>12575.6411360781</v>
      </c>
    </row>
    <row r="1083" customFormat="false" ht="15" hidden="false" customHeight="false" outlineLevel="0" collapsed="false">
      <c r="E1083" s="54" t="n">
        <v>1079</v>
      </c>
      <c r="F1083" s="61" t="n">
        <v>0.699662</v>
      </c>
      <c r="G1083" s="61" t="n">
        <v>0.765546</v>
      </c>
      <c r="H1083" s="34" t="n">
        <f aca="false">NORMSINV(F1083)</f>
        <v>0.523428637219379</v>
      </c>
      <c r="I1083" s="34" t="n">
        <f aca="false">NORMSINV(G1083)</f>
        <v>0.724256951987345</v>
      </c>
      <c r="J1083" s="59" t="n">
        <f aca="false">mc_s0*EXP((mc_mu-mc_vol^2/2)*mc_t1+mc_vol*SQRT(mc_t1)*H1083)</f>
        <v>1205.0363121574</v>
      </c>
      <c r="K1083" s="59" t="n">
        <f aca="false">J1083*EXP((mc_mu-mc_vol^2/2)*(mc_t2-mc_t1)+mc_vol*SQRT(mc_t2-mc_t1)*I1083)</f>
        <v>1375.46846113751</v>
      </c>
      <c r="L1083" s="31" t="n">
        <f aca="false">(t1_usd*J1083+t2_usd*K1083)/1000</f>
        <v>11048.644261263</v>
      </c>
    </row>
    <row r="1084" customFormat="false" ht="15" hidden="false" customHeight="false" outlineLevel="0" collapsed="false">
      <c r="E1084" s="54" t="n">
        <v>1080</v>
      </c>
      <c r="F1084" s="61" t="n">
        <v>0.461002</v>
      </c>
      <c r="G1084" s="61" t="n">
        <v>0.885753</v>
      </c>
      <c r="H1084" s="34" t="n">
        <f aca="false">NORMSINV(F1084)</f>
        <v>-0.097909696866715</v>
      </c>
      <c r="I1084" s="34" t="n">
        <f aca="false">NORMSINV(G1084)</f>
        <v>1.20424732335776</v>
      </c>
      <c r="J1084" s="59" t="n">
        <f aca="false">mc_s0*EXP((mc_mu-mc_vol^2/2)*mc_t1+mc_vol*SQRT(mc_t1)*H1084)</f>
        <v>1135.59623737366</v>
      </c>
      <c r="K1084" s="59" t="n">
        <f aca="false">J1084*EXP((mc_mu-mc_vol^2/2)*(mc_t2-mc_t1)+mc_vol*SQRT(mc_t2-mc_t1)*I1084)</f>
        <v>1398.06022395202</v>
      </c>
      <c r="L1084" s="31" t="n">
        <f aca="false">(t1_usd*J1084+t2_usd*K1084)/1000</f>
        <v>10605.4880871245</v>
      </c>
    </row>
    <row r="1085" customFormat="false" ht="15" hidden="false" customHeight="false" outlineLevel="0" collapsed="false">
      <c r="E1085" s="54" t="n">
        <v>1081</v>
      </c>
      <c r="F1085" s="61" t="n">
        <v>0.118128</v>
      </c>
      <c r="G1085" s="61" t="n">
        <v>0.429935</v>
      </c>
      <c r="H1085" s="34" t="n">
        <f aca="false">NORMSINV(F1085)</f>
        <v>-1.184396866581</v>
      </c>
      <c r="I1085" s="34" t="n">
        <f aca="false">NORMSINV(G1085)</f>
        <v>-0.176539652059308</v>
      </c>
      <c r="J1085" s="59" t="n">
        <f aca="false">mc_s0*EXP((mc_mu-mc_vol^2/2)*mc_t1+mc_vol*SQRT(mc_t1)*H1085)</f>
        <v>1023.64903193592</v>
      </c>
      <c r="K1085" s="59" t="n">
        <f aca="false">J1085*EXP((mc_mu-mc_vol^2/2)*(mc_t2-mc_t1)+mc_vol*SQRT(mc_t2-mc_t1)*I1085)</f>
        <v>1013.79323892247</v>
      </c>
      <c r="L1085" s="31" t="n">
        <f aca="false">(t1_usd*J1085+t2_usd*K1085)/1000</f>
        <v>9091.75037750415</v>
      </c>
    </row>
    <row r="1086" customFormat="false" ht="15" hidden="false" customHeight="false" outlineLevel="0" collapsed="false">
      <c r="E1086" s="54" t="n">
        <v>1082</v>
      </c>
      <c r="F1086" s="61" t="n">
        <v>0.360348</v>
      </c>
      <c r="G1086" s="61" t="n">
        <v>0.756908</v>
      </c>
      <c r="H1086" s="34" t="n">
        <f aca="false">NORMSINV(F1086)</f>
        <v>-0.357528759556474</v>
      </c>
      <c r="I1086" s="34" t="n">
        <f aca="false">NORMSINV(G1086)</f>
        <v>0.696390996459561</v>
      </c>
      <c r="J1086" s="59" t="n">
        <f aca="false">mc_s0*EXP((mc_mu-mc_vol^2/2)*mc_t1+mc_vol*SQRT(mc_t1)*H1086)</f>
        <v>1107.78036026086</v>
      </c>
      <c r="K1086" s="59" t="n">
        <f aca="false">J1086*EXP((mc_mu-mc_vol^2/2)*(mc_t2-mc_t1)+mc_vol*SQRT(mc_t2-mc_t1)*I1086)</f>
        <v>1258.91661763537</v>
      </c>
      <c r="L1086" s="31" t="n">
        <f aca="false">(t1_usd*J1086+t2_usd*K1086)/1000</f>
        <v>10146.4040953332</v>
      </c>
    </row>
    <row r="1087" customFormat="false" ht="15" hidden="false" customHeight="false" outlineLevel="0" collapsed="false">
      <c r="E1087" s="54" t="n">
        <v>1083</v>
      </c>
      <c r="F1087" s="61" t="n">
        <v>0.135426</v>
      </c>
      <c r="G1087" s="61" t="n">
        <v>0.831129</v>
      </c>
      <c r="H1087" s="34" t="n">
        <f aca="false">NORMSINV(F1087)</f>
        <v>-1.10110261283406</v>
      </c>
      <c r="I1087" s="34" t="n">
        <f aca="false">NORMSINV(G1087)</f>
        <v>0.958636297918506</v>
      </c>
      <c r="J1087" s="59" t="n">
        <f aca="false">mc_s0*EXP((mc_mu-mc_vol^2/2)*mc_t1+mc_vol*SQRT(mc_t1)*H1087)</f>
        <v>1031.82616839778</v>
      </c>
      <c r="K1087" s="59" t="n">
        <f aca="false">J1087*EXP((mc_mu-mc_vol^2/2)*(mc_t2-mc_t1)+mc_vol*SQRT(mc_t2-mc_t1)*I1087)</f>
        <v>1222.07651504858</v>
      </c>
      <c r="L1087" s="31" t="n">
        <f aca="false">(t1_usd*J1087+t2_usd*K1087)/1000</f>
        <v>9544.72855737678</v>
      </c>
    </row>
    <row r="1088" customFormat="false" ht="15" hidden="false" customHeight="false" outlineLevel="0" collapsed="false">
      <c r="E1088" s="54" t="n">
        <v>1084</v>
      </c>
      <c r="F1088" s="61" t="n">
        <v>0.959601</v>
      </c>
      <c r="G1088" s="61" t="n">
        <v>0.312839</v>
      </c>
      <c r="H1088" s="34" t="n">
        <f aca="false">NORMSINV(F1088)</f>
        <v>1.7460745412197</v>
      </c>
      <c r="I1088" s="34" t="n">
        <f aca="false">NORMSINV(G1088)</f>
        <v>-0.487819073597051</v>
      </c>
      <c r="J1088" s="59" t="n">
        <f aca="false">mc_s0*EXP((mc_mu-mc_vol^2/2)*mc_t1+mc_vol*SQRT(mc_t1)*H1088)</f>
        <v>1354.32076397978</v>
      </c>
      <c r="K1088" s="59" t="n">
        <f aca="false">J1088*EXP((mc_mu-mc_vol^2/2)*(mc_t2-mc_t1)+mc_vol*SQRT(mc_t2-mc_t1)*I1088)</f>
        <v>1277.07177309991</v>
      </c>
      <c r="L1088" s="31" t="n">
        <f aca="false">(t1_usd*J1088+t2_usd*K1088)/1000</f>
        <v>11906.6817167483</v>
      </c>
    </row>
    <row r="1089" customFormat="false" ht="15" hidden="false" customHeight="false" outlineLevel="0" collapsed="false">
      <c r="E1089" s="54" t="n">
        <v>1085</v>
      </c>
      <c r="F1089" s="61" t="n">
        <v>0.147857</v>
      </c>
      <c r="G1089" s="61" t="n">
        <v>0.122795</v>
      </c>
      <c r="H1089" s="34" t="n">
        <f aca="false">NORMSINV(F1089)</f>
        <v>-1.04566874041392</v>
      </c>
      <c r="I1089" s="34" t="n">
        <f aca="false">NORMSINV(G1089)</f>
        <v>-1.16112762982072</v>
      </c>
      <c r="J1089" s="59" t="n">
        <f aca="false">mc_s0*EXP((mc_mu-mc_vol^2/2)*mc_t1+mc_vol*SQRT(mc_t1)*H1089)</f>
        <v>1037.30437425904</v>
      </c>
      <c r="K1089" s="59" t="n">
        <f aca="false">J1089*EXP((mc_mu-mc_vol^2/2)*(mc_t2-mc_t1)+mc_vol*SQRT(mc_t2-mc_t1)*I1089)</f>
        <v>879.665360018459</v>
      </c>
      <c r="L1089" s="31" t="n">
        <f aca="false">(t1_usd*J1089+t2_usd*K1089)/1000</f>
        <v>8932.49480384834</v>
      </c>
    </row>
    <row r="1090" customFormat="false" ht="15" hidden="false" customHeight="false" outlineLevel="0" collapsed="false">
      <c r="E1090" s="54" t="n">
        <v>1086</v>
      </c>
      <c r="F1090" s="61" t="n">
        <v>0.635483</v>
      </c>
      <c r="G1090" s="61" t="n">
        <v>0.629525</v>
      </c>
      <c r="H1090" s="34" t="n">
        <f aca="false">NORMSINV(F1090)</f>
        <v>0.346410812999313</v>
      </c>
      <c r="I1090" s="34" t="n">
        <f aca="false">NORMSINV(G1090)</f>
        <v>0.330595560557916</v>
      </c>
      <c r="J1090" s="59" t="n">
        <f aca="false">mc_s0*EXP((mc_mu-mc_vol^2/2)*mc_t1+mc_vol*SQRT(mc_t1)*H1090)</f>
        <v>1184.83140924827</v>
      </c>
      <c r="K1090" s="59" t="n">
        <f aca="false">J1090*EXP((mc_mu-mc_vol^2/2)*(mc_t2-mc_t1)+mc_vol*SQRT(mc_t2-mc_t1)*I1090)</f>
        <v>1271.05441844965</v>
      </c>
      <c r="L1090" s="31" t="n">
        <f aca="false">(t1_usd*J1090+t2_usd*K1090)/1000</f>
        <v>10708.8232597922</v>
      </c>
    </row>
    <row r="1091" customFormat="false" ht="15" hidden="false" customHeight="false" outlineLevel="0" collapsed="false">
      <c r="E1091" s="54" t="n">
        <v>1087</v>
      </c>
      <c r="F1091" s="61" t="n">
        <v>0.192526</v>
      </c>
      <c r="G1091" s="61" t="n">
        <v>0.872708</v>
      </c>
      <c r="H1091" s="34" t="n">
        <f aca="false">NORMSINV(F1091)</f>
        <v>-0.868625504035128</v>
      </c>
      <c r="I1091" s="34" t="n">
        <f aca="false">NORMSINV(G1091)</f>
        <v>1.13928572591525</v>
      </c>
      <c r="J1091" s="59" t="n">
        <f aca="false">mc_s0*EXP((mc_mu-mc_vol^2/2)*mc_t1+mc_vol*SQRT(mc_t1)*H1091)</f>
        <v>1054.99606294882</v>
      </c>
      <c r="K1091" s="59" t="n">
        <f aca="false">J1091*EXP((mc_mu-mc_vol^2/2)*(mc_t2-mc_t1)+mc_vol*SQRT(mc_t2-mc_t1)*I1091)</f>
        <v>1285.60242074938</v>
      </c>
      <c r="L1091" s="31" t="n">
        <f aca="false">(t1_usd*J1091+t2_usd*K1091)/1000</f>
        <v>9827.61704006557</v>
      </c>
    </row>
    <row r="1092" customFormat="false" ht="15" hidden="false" customHeight="false" outlineLevel="0" collapsed="false">
      <c r="E1092" s="54" t="n">
        <v>1088</v>
      </c>
      <c r="F1092" s="61" t="n">
        <v>0.509618</v>
      </c>
      <c r="G1092" s="61" t="n">
        <v>0.045563</v>
      </c>
      <c r="H1092" s="34" t="n">
        <f aca="false">NORMSINV(F1092)</f>
        <v>0.0241110866829759</v>
      </c>
      <c r="I1092" s="34" t="n">
        <f aca="false">NORMSINV(G1092)</f>
        <v>-1.68948773672605</v>
      </c>
      <c r="J1092" s="59" t="n">
        <f aca="false">mc_s0*EXP((mc_mu-mc_vol^2/2)*mc_t1+mc_vol*SQRT(mc_t1)*H1092)</f>
        <v>1148.9098977762</v>
      </c>
      <c r="K1092" s="59" t="n">
        <f aca="false">J1092*EXP((mc_mu-mc_vol^2/2)*(mc_t2-mc_t1)+mc_vol*SQRT(mc_t2-mc_t1)*I1092)</f>
        <v>896.469059848362</v>
      </c>
      <c r="L1092" s="31" t="n">
        <f aca="false">(t1_usd*J1092+t2_usd*K1092)/1000</f>
        <v>9745.66049814528</v>
      </c>
    </row>
    <row r="1093" customFormat="false" ht="15" hidden="false" customHeight="false" outlineLevel="0" collapsed="false">
      <c r="E1093" s="54" t="n">
        <v>1089</v>
      </c>
      <c r="F1093" s="61" t="n">
        <v>0.397761</v>
      </c>
      <c r="G1093" s="61" t="n">
        <v>0.942153</v>
      </c>
      <c r="H1093" s="34" t="n">
        <f aca="false">NORMSINV(F1093)</f>
        <v>-0.259146769697346</v>
      </c>
      <c r="I1093" s="34" t="n">
        <f aca="false">NORMSINV(G1093)</f>
        <v>1.57310719160462</v>
      </c>
      <c r="J1093" s="59" t="n">
        <f aca="false">mc_s0*EXP((mc_mu-mc_vol^2/2)*mc_t1+mc_vol*SQRT(mc_t1)*H1093)</f>
        <v>1118.24002578279</v>
      </c>
      <c r="K1093" s="59" t="n">
        <f aca="false">J1093*EXP((mc_mu-mc_vol^2/2)*(mc_t2-mc_t1)+mc_vol*SQRT(mc_t2-mc_t1)*I1093)</f>
        <v>1459.0911468993</v>
      </c>
      <c r="L1093" s="31" t="n">
        <f aca="false">(t1_usd*J1093+t2_usd*K1093)/1000</f>
        <v>10599.9533595882</v>
      </c>
    </row>
    <row r="1094" customFormat="false" ht="15" hidden="false" customHeight="false" outlineLevel="0" collapsed="false">
      <c r="E1094" s="54" t="n">
        <v>1090</v>
      </c>
      <c r="F1094" s="61" t="n">
        <v>0.87198</v>
      </c>
      <c r="G1094" s="61" t="n">
        <v>0.103635</v>
      </c>
      <c r="H1094" s="34" t="n">
        <f aca="false">NORMSINV(F1094)</f>
        <v>1.13580066190071</v>
      </c>
      <c r="I1094" s="34" t="n">
        <f aca="false">NORMSINV(G1094)</f>
        <v>-1.26110782984936</v>
      </c>
      <c r="J1094" s="59" t="n">
        <f aca="false">mc_s0*EXP((mc_mu-mc_vol^2/2)*mc_t1+mc_vol*SQRT(mc_t1)*H1094)</f>
        <v>1277.62780920043</v>
      </c>
      <c r="K1094" s="59" t="n">
        <f aca="false">J1094*EXP((mc_mu-mc_vol^2/2)*(mc_t2-mc_t1)+mc_vol*SQRT(mc_t2-mc_t1)*I1094)</f>
        <v>1066.52933872147</v>
      </c>
      <c r="L1094" s="31" t="n">
        <f aca="false">(t1_usd*J1094+t2_usd*K1094)/1000</f>
        <v>10969.8004079738</v>
      </c>
    </row>
    <row r="1095" customFormat="false" ht="15" hidden="false" customHeight="false" outlineLevel="0" collapsed="false">
      <c r="E1095" s="54" t="n">
        <v>1091</v>
      </c>
      <c r="F1095" s="61" t="n">
        <v>0.901978</v>
      </c>
      <c r="G1095" s="61" t="n">
        <v>0.991903</v>
      </c>
      <c r="H1095" s="34" t="n">
        <f aca="false">NORMSINV(F1095)</f>
        <v>1.2929047629227</v>
      </c>
      <c r="I1095" s="34" t="n">
        <f aca="false">NORMSINV(G1095)</f>
        <v>2.4045136822871</v>
      </c>
      <c r="J1095" s="59" t="n">
        <f aca="false">mc_s0*EXP((mc_mu-mc_vol^2/2)*mc_t1+mc_vol*SQRT(mc_t1)*H1095)</f>
        <v>1296.94575443531</v>
      </c>
      <c r="K1095" s="59" t="n">
        <f aca="false">J1095*EXP((mc_mu-mc_vol^2/2)*(mc_t2-mc_t1)+mc_vol*SQRT(mc_t2-mc_t1)*I1095)</f>
        <v>1929.1775751959</v>
      </c>
      <c r="L1095" s="31" t="n">
        <f aca="false">(t1_usd*J1095+t2_usd*K1095)/1000</f>
        <v>12744.0576739194</v>
      </c>
    </row>
    <row r="1096" customFormat="false" ht="15" hidden="false" customHeight="false" outlineLevel="0" collapsed="false">
      <c r="E1096" s="54" t="n">
        <v>1092</v>
      </c>
      <c r="F1096" s="61" t="n">
        <v>0.458803</v>
      </c>
      <c r="G1096" s="61" t="n">
        <v>0.576209</v>
      </c>
      <c r="H1096" s="34" t="n">
        <f aca="false">NORMSINV(F1096)</f>
        <v>-0.103449786699182</v>
      </c>
      <c r="I1096" s="34" t="n">
        <f aca="false">NORMSINV(G1096)</f>
        <v>0.19220452697876</v>
      </c>
      <c r="J1096" s="59" t="n">
        <f aca="false">mc_s0*EXP((mc_mu-mc_vol^2/2)*mc_t1+mc_vol*SQRT(mc_t1)*H1096)</f>
        <v>1134.99543437595</v>
      </c>
      <c r="K1096" s="59" t="n">
        <f aca="false">J1096*EXP((mc_mu-mc_vol^2/2)*(mc_t2-mc_t1)+mc_vol*SQRT(mc_t2-mc_t1)*I1096)</f>
        <v>1191.32419288406</v>
      </c>
      <c r="L1096" s="31" t="n">
        <f aca="false">(t1_usd*J1096+t2_usd*K1096)/1000</f>
        <v>10208.4840071114</v>
      </c>
    </row>
    <row r="1097" customFormat="false" ht="15" hidden="false" customHeight="false" outlineLevel="0" collapsed="false">
      <c r="E1097" s="54" t="n">
        <v>1093</v>
      </c>
      <c r="F1097" s="61" t="n">
        <v>0.877401</v>
      </c>
      <c r="G1097" s="61" t="n">
        <v>0.26793</v>
      </c>
      <c r="H1097" s="34" t="n">
        <f aca="false">NORMSINV(F1097)</f>
        <v>1.16209223801074</v>
      </c>
      <c r="I1097" s="34" t="n">
        <f aca="false">NORMSINV(G1097)</f>
        <v>-0.619085553187022</v>
      </c>
      <c r="J1097" s="59" t="n">
        <f aca="false">mc_s0*EXP((mc_mu-mc_vol^2/2)*mc_t1+mc_vol*SQRT(mc_t1)*H1097)</f>
        <v>1280.84052784488</v>
      </c>
      <c r="K1097" s="59" t="n">
        <f aca="false">J1097*EXP((mc_mu-mc_vol^2/2)*(mc_t2-mc_t1)+mc_vol*SQRT(mc_t2-mc_t1)*I1097)</f>
        <v>1183.05438118047</v>
      </c>
      <c r="L1097" s="31" t="n">
        <f aca="false">(t1_usd*J1097+t2_usd*K1097)/1000</f>
        <v>11213.687019157</v>
      </c>
    </row>
    <row r="1098" customFormat="false" ht="15" hidden="false" customHeight="false" outlineLevel="0" collapsed="false">
      <c r="E1098" s="54" t="n">
        <v>1094</v>
      </c>
      <c r="F1098" s="61" t="n">
        <v>0.994221</v>
      </c>
      <c r="G1098" s="61" t="n">
        <v>0.223716</v>
      </c>
      <c r="H1098" s="34" t="n">
        <f aca="false">NORMSINV(F1098)</f>
        <v>2.52535946106052</v>
      </c>
      <c r="I1098" s="34" t="n">
        <f aca="false">NORMSINV(G1098)</f>
        <v>-0.759703225997291</v>
      </c>
      <c r="J1098" s="59" t="n">
        <f aca="false">mc_s0*EXP((mc_mu-mc_vol^2/2)*mc_t1+mc_vol*SQRT(mc_t1)*H1098)</f>
        <v>1458.98266602173</v>
      </c>
      <c r="K1098" s="59" t="n">
        <f aca="false">J1098*EXP((mc_mu-mc_vol^2/2)*(mc_t2-mc_t1)+mc_vol*SQRT(mc_t2-mc_t1)*I1098)</f>
        <v>1318.06140936261</v>
      </c>
      <c r="L1098" s="31" t="n">
        <f aca="false">(t1_usd*J1098+t2_usd*K1098)/1000</f>
        <v>12717.1953399411</v>
      </c>
    </row>
    <row r="1099" customFormat="false" ht="15" hidden="false" customHeight="false" outlineLevel="0" collapsed="false">
      <c r="E1099" s="54" t="n">
        <v>1095</v>
      </c>
      <c r="F1099" s="61" t="n">
        <v>0.932663</v>
      </c>
      <c r="G1099" s="61" t="n">
        <v>0.43707</v>
      </c>
      <c r="H1099" s="34" t="n">
        <f aca="false">NORMSINV(F1099)</f>
        <v>1.49592193299561</v>
      </c>
      <c r="I1099" s="34" t="n">
        <f aca="false">NORMSINV(G1099)</f>
        <v>-0.158402048105341</v>
      </c>
      <c r="J1099" s="59" t="n">
        <f aca="false">mc_s0*EXP((mc_mu-mc_vol^2/2)*mc_t1+mc_vol*SQRT(mc_t1)*H1099)</f>
        <v>1322.34253781005</v>
      </c>
      <c r="K1099" s="59" t="n">
        <f aca="false">J1099*EXP((mc_mu-mc_vol^2/2)*(mc_t2-mc_t1)+mc_vol*SQRT(mc_t2-mc_t1)*I1099)</f>
        <v>1313.35959289049</v>
      </c>
      <c r="L1099" s="31" t="n">
        <f aca="false">(t1_usd*J1099+t2_usd*K1099)/1000</f>
        <v>11751.7809911623</v>
      </c>
    </row>
    <row r="1100" customFormat="false" ht="15" hidden="false" customHeight="false" outlineLevel="0" collapsed="false">
      <c r="E1100" s="54" t="n">
        <v>1096</v>
      </c>
      <c r="F1100" s="61" t="n">
        <v>0.852298</v>
      </c>
      <c r="G1100" s="61" t="n">
        <v>0.492402</v>
      </c>
      <c r="H1100" s="34" t="n">
        <f aca="false">NORMSINV(F1100)</f>
        <v>1.046340181525</v>
      </c>
      <c r="I1100" s="34" t="n">
        <f aca="false">NORMSINV(G1100)</f>
        <v>-0.0190465131508453</v>
      </c>
      <c r="J1100" s="59" t="n">
        <f aca="false">mc_s0*EXP((mc_mu-mc_vol^2/2)*mc_t1+mc_vol*SQRT(mc_t1)*H1100)</f>
        <v>1266.75635799211</v>
      </c>
      <c r="K1100" s="59" t="n">
        <f aca="false">J1100*EXP((mc_mu-mc_vol^2/2)*(mc_t2-mc_t1)+mc_vol*SQRT(mc_t2-mc_t1)*I1100)</f>
        <v>1286.08752642721</v>
      </c>
      <c r="L1100" s="31" t="n">
        <f aca="false">(t1_usd*J1100+t2_usd*K1100)/1000</f>
        <v>11310.8608061565</v>
      </c>
    </row>
    <row r="1101" customFormat="false" ht="15" hidden="false" customHeight="false" outlineLevel="0" collapsed="false">
      <c r="E1101" s="54" t="n">
        <v>1097</v>
      </c>
      <c r="F1101" s="61" t="n">
        <v>0.927947</v>
      </c>
      <c r="G1101" s="61" t="n">
        <v>0.811775</v>
      </c>
      <c r="H1101" s="34" t="n">
        <f aca="false">NORMSINV(F1101)</f>
        <v>1.46067009402363</v>
      </c>
      <c r="I1101" s="34" t="n">
        <f aca="false">NORMSINV(G1101)</f>
        <v>0.884456193639433</v>
      </c>
      <c r="J1101" s="59" t="n">
        <f aca="false">mc_s0*EXP((mc_mu-mc_vol^2/2)*mc_t1+mc_vol*SQRT(mc_t1)*H1101)</f>
        <v>1317.89723868053</v>
      </c>
      <c r="K1101" s="59" t="n">
        <f aca="false">J1101*EXP((mc_mu-mc_vol^2/2)*(mc_t2-mc_t1)+mc_vol*SQRT(mc_t2-mc_t1)*I1101)</f>
        <v>1542.75294550109</v>
      </c>
      <c r="L1101" s="31" t="n">
        <f aca="false">(t1_usd*J1101+t2_usd*K1101)/1000</f>
        <v>12156.5112672157</v>
      </c>
    </row>
    <row r="1102" customFormat="false" ht="15" hidden="false" customHeight="false" outlineLevel="0" collapsed="false">
      <c r="E1102" s="54" t="n">
        <v>1098</v>
      </c>
      <c r="F1102" s="61" t="n">
        <v>0.531271</v>
      </c>
      <c r="G1102" s="61" t="n">
        <v>0.485641</v>
      </c>
      <c r="H1102" s="34" t="n">
        <f aca="false">NORMSINV(F1102)</f>
        <v>0.0784652141114245</v>
      </c>
      <c r="I1102" s="34" t="n">
        <f aca="false">NORMSINV(G1102)</f>
        <v>-0.0360004501756283</v>
      </c>
      <c r="J1102" s="59" t="n">
        <f aca="false">mc_s0*EXP((mc_mu-mc_vol^2/2)*mc_t1+mc_vol*SQRT(mc_t1)*H1102)</f>
        <v>1154.8906068252</v>
      </c>
      <c r="K1102" s="59" t="n">
        <f aca="false">J1102*EXP((mc_mu-mc_vol^2/2)*(mc_t2-mc_t1)+mc_vol*SQRT(mc_t2-mc_t1)*I1102)</f>
        <v>1169.38608987628</v>
      </c>
      <c r="L1102" s="31" t="n">
        <f aca="false">(t1_usd*J1102+t2_usd*K1102)/1000</f>
        <v>10306.0678185413</v>
      </c>
    </row>
    <row r="1103" customFormat="false" ht="15" hidden="false" customHeight="false" outlineLevel="0" collapsed="false">
      <c r="E1103" s="54" t="n">
        <v>1099</v>
      </c>
      <c r="F1103" s="61" t="n">
        <v>0.759968</v>
      </c>
      <c r="G1103" s="61" t="n">
        <v>0.18466</v>
      </c>
      <c r="H1103" s="34" t="n">
        <f aca="false">NORMSINV(F1103)</f>
        <v>0.706199630720064</v>
      </c>
      <c r="I1103" s="34" t="n">
        <f aca="false">NORMSINV(G1103)</f>
        <v>-0.897747836797856</v>
      </c>
      <c r="J1103" s="59" t="n">
        <f aca="false">mc_s0*EXP((mc_mu-mc_vol^2/2)*mc_t1+mc_vol*SQRT(mc_t1)*H1103)</f>
        <v>1226.25948417818</v>
      </c>
      <c r="K1103" s="59" t="n">
        <f aca="false">J1103*EXP((mc_mu-mc_vol^2/2)*(mc_t2-mc_t1)+mc_vol*SQRT(mc_t2-mc_t1)*I1103)</f>
        <v>1083.97648871095</v>
      </c>
      <c r="L1103" s="31" t="n">
        <f aca="false">(t1_usd*J1103+t2_usd*K1103)/1000</f>
        <v>10643.3717177981</v>
      </c>
    </row>
    <row r="1104" customFormat="false" ht="15" hidden="false" customHeight="false" outlineLevel="0" collapsed="false">
      <c r="E1104" s="54" t="n">
        <v>1100</v>
      </c>
      <c r="F1104" s="61" t="n">
        <v>0.789361</v>
      </c>
      <c r="G1104" s="61" t="n">
        <v>0.226537</v>
      </c>
      <c r="H1104" s="34" t="n">
        <f aca="false">NORMSINV(F1104)</f>
        <v>0.804206024614468</v>
      </c>
      <c r="I1104" s="34" t="n">
        <f aca="false">NORMSINV(G1104)</f>
        <v>-0.750300070784956</v>
      </c>
      <c r="J1104" s="59" t="n">
        <f aca="false">mc_s0*EXP((mc_mu-mc_vol^2/2)*mc_t1+mc_vol*SQRT(mc_t1)*H1104)</f>
        <v>1237.79341970679</v>
      </c>
      <c r="K1104" s="59" t="n">
        <f aca="false">J1104*EXP((mc_mu-mc_vol^2/2)*(mc_t2-mc_t1)+mc_vol*SQRT(mc_t2-mc_t1)*I1104)</f>
        <v>1119.89486077387</v>
      </c>
      <c r="L1104" s="31" t="n">
        <f aca="false">(t1_usd*J1104+t2_usd*K1104)/1000</f>
        <v>10792.3541734179</v>
      </c>
    </row>
    <row r="1105" customFormat="false" ht="15" hidden="false" customHeight="false" outlineLevel="0" collapsed="false">
      <c r="E1105" s="54" t="n">
        <v>1101</v>
      </c>
      <c r="F1105" s="61" t="n">
        <v>0.364246</v>
      </c>
      <c r="G1105" s="61" t="n">
        <v>0.955546</v>
      </c>
      <c r="H1105" s="34" t="n">
        <f aca="false">NORMSINV(F1105)</f>
        <v>-0.347132204951715</v>
      </c>
      <c r="I1105" s="34" t="n">
        <f aca="false">NORMSINV(G1105)</f>
        <v>1.7011863510463</v>
      </c>
      <c r="J1105" s="59" t="n">
        <f aca="false">mc_s0*EXP((mc_mu-mc_vol^2/2)*mc_t1+mc_vol*SQRT(mc_t1)*H1105)</f>
        <v>1108.88105025268</v>
      </c>
      <c r="K1105" s="59" t="n">
        <f aca="false">J1105*EXP((mc_mu-mc_vol^2/2)*(mc_t2-mc_t1)+mc_vol*SQRT(mc_t2-mc_t1)*I1105)</f>
        <v>1476.38058890078</v>
      </c>
      <c r="L1105" s="31" t="n">
        <f aca="false">(t1_usd*J1105+t2_usd*K1105)/1000</f>
        <v>10567.2904706802</v>
      </c>
    </row>
    <row r="1106" customFormat="false" ht="15" hidden="false" customHeight="false" outlineLevel="0" collapsed="false">
      <c r="E1106" s="54" t="n">
        <v>1102</v>
      </c>
      <c r="F1106" s="61" t="n">
        <v>0.666324</v>
      </c>
      <c r="G1106" s="61" t="n">
        <v>0.253453</v>
      </c>
      <c r="H1106" s="34" t="n">
        <f aca="false">NORMSINV(F1106)</f>
        <v>0.429785062223897</v>
      </c>
      <c r="I1106" s="34" t="n">
        <f aca="false">NORMSINV(G1106)</f>
        <v>-0.663663039856408</v>
      </c>
      <c r="J1106" s="59" t="n">
        <f aca="false">mc_s0*EXP((mc_mu-mc_vol^2/2)*mc_t1+mc_vol*SQRT(mc_t1)*H1106)</f>
        <v>1194.30523254274</v>
      </c>
      <c r="K1106" s="59" t="n">
        <f aca="false">J1106*EXP((mc_mu-mc_vol^2/2)*(mc_t2-mc_t1)+mc_vol*SQRT(mc_t2-mc_t1)*I1106)</f>
        <v>1095.40322798998</v>
      </c>
      <c r="L1106" s="31" t="n">
        <f aca="false">(t1_usd*J1106+t2_usd*K1106)/1000</f>
        <v>10441.4027609801</v>
      </c>
    </row>
    <row r="1107" customFormat="false" ht="15" hidden="false" customHeight="false" outlineLevel="0" collapsed="false">
      <c r="E1107" s="54" t="n">
        <v>1103</v>
      </c>
      <c r="F1107" s="61" t="n">
        <v>0.803075</v>
      </c>
      <c r="G1107" s="61" t="n">
        <v>0.884027</v>
      </c>
      <c r="H1107" s="34" t="n">
        <f aca="false">NORMSINV(F1107)</f>
        <v>0.852656176413016</v>
      </c>
      <c r="I1107" s="34" t="n">
        <f aca="false">NORMSINV(G1107)</f>
        <v>1.19536104154875</v>
      </c>
      <c r="J1107" s="59" t="n">
        <f aca="false">mc_s0*EXP((mc_mu-mc_vol^2/2)*mc_t1+mc_vol*SQRT(mc_t1)*H1107)</f>
        <v>1243.53531045114</v>
      </c>
      <c r="K1107" s="59" t="n">
        <f aca="false">J1107*EXP((mc_mu-mc_vol^2/2)*(mc_t2-mc_t1)+mc_vol*SQRT(mc_t2-mc_t1)*I1107)</f>
        <v>1528.80418527136</v>
      </c>
      <c r="L1107" s="31" t="n">
        <f aca="false">(t1_usd*J1107+t2_usd*K1107)/1000</f>
        <v>11609.4751251736</v>
      </c>
    </row>
    <row r="1108" customFormat="false" ht="15" hidden="false" customHeight="false" outlineLevel="0" collapsed="false">
      <c r="E1108" s="54" t="n">
        <v>1104</v>
      </c>
      <c r="F1108" s="61" t="n">
        <v>0.303112</v>
      </c>
      <c r="G1108" s="61" t="n">
        <v>0.363558</v>
      </c>
      <c r="H1108" s="34" t="n">
        <f aca="false">NORMSINV(F1108)</f>
        <v>-0.515470899029286</v>
      </c>
      <c r="I1108" s="34" t="n">
        <f aca="false">NORMSINV(G1108)</f>
        <v>-0.348964448198206</v>
      </c>
      <c r="J1108" s="59" t="n">
        <f aca="false">mc_s0*EXP((mc_mu-mc_vol^2/2)*mc_t1+mc_vol*SQRT(mc_t1)*H1108)</f>
        <v>1091.19266931039</v>
      </c>
      <c r="K1108" s="59" t="n">
        <f aca="false">J1108*EXP((mc_mu-mc_vol^2/2)*(mc_t2-mc_t1)+mc_vol*SQRT(mc_t2-mc_t1)*I1108)</f>
        <v>1051.71647464933</v>
      </c>
      <c r="L1108" s="31" t="n">
        <f aca="false">(t1_usd*J1108+t2_usd*K1108)/1000</f>
        <v>9636.60998700644</v>
      </c>
    </row>
    <row r="1109" customFormat="false" ht="15" hidden="false" customHeight="false" outlineLevel="0" collapsed="false">
      <c r="E1109" s="54" t="n">
        <v>1105</v>
      </c>
      <c r="F1109" s="61" t="n">
        <v>0.560818</v>
      </c>
      <c r="G1109" s="61" t="n">
        <v>0.173086</v>
      </c>
      <c r="H1109" s="34" t="n">
        <f aca="false">NORMSINV(F1109)</f>
        <v>0.153043463603037</v>
      </c>
      <c r="I1109" s="34" t="n">
        <f aca="false">NORMSINV(G1109)</f>
        <v>-0.942040314812109</v>
      </c>
      <c r="J1109" s="59" t="n">
        <f aca="false">mc_s0*EXP((mc_mu-mc_vol^2/2)*mc_t1+mc_vol*SQRT(mc_t1)*H1109)</f>
        <v>1163.14731888449</v>
      </c>
      <c r="K1109" s="59" t="n">
        <f aca="false">J1109*EXP((mc_mu-mc_vol^2/2)*(mc_t2-mc_t1)+mc_vol*SQRT(mc_t2-mc_t1)*I1109)</f>
        <v>1021.03527789498</v>
      </c>
      <c r="L1109" s="31" t="n">
        <f aca="false">(t1_usd*J1109+t2_usd*K1109)/1000</f>
        <v>10081.9982601919</v>
      </c>
    </row>
    <row r="1110" customFormat="false" ht="15" hidden="false" customHeight="false" outlineLevel="0" collapsed="false">
      <c r="E1110" s="54" t="n">
        <v>1106</v>
      </c>
      <c r="F1110" s="61" t="n">
        <v>0.612936</v>
      </c>
      <c r="G1110" s="61" t="n">
        <v>0.980756</v>
      </c>
      <c r="H1110" s="34" t="n">
        <f aca="false">NORMSINV(F1110)</f>
        <v>0.28697952214604</v>
      </c>
      <c r="I1110" s="34" t="n">
        <f aca="false">NORMSINV(G1110)</f>
        <v>2.06961939880202</v>
      </c>
      <c r="J1110" s="59" t="n">
        <f aca="false">mc_s0*EXP((mc_mu-mc_vol^2/2)*mc_t1+mc_vol*SQRT(mc_t1)*H1110)</f>
        <v>1178.12413904518</v>
      </c>
      <c r="K1110" s="59" t="n">
        <f aca="false">J1110*EXP((mc_mu-mc_vol^2/2)*(mc_t2-mc_t1)+mc_vol*SQRT(mc_t2-mc_t1)*I1110)</f>
        <v>1662.34308479761</v>
      </c>
      <c r="L1110" s="31" t="n">
        <f aca="false">(t1_usd*J1110+t2_usd*K1110)/1000</f>
        <v>11405.3208344317</v>
      </c>
    </row>
    <row r="1111" customFormat="false" ht="15" hidden="false" customHeight="false" outlineLevel="0" collapsed="false">
      <c r="E1111" s="54" t="n">
        <v>1107</v>
      </c>
      <c r="F1111" s="61" t="n">
        <v>0.334975</v>
      </c>
      <c r="G1111" s="61" t="n">
        <v>0.293154</v>
      </c>
      <c r="H1111" s="34" t="n">
        <f aca="false">NORMSINV(F1111)</f>
        <v>-0.426216630998248</v>
      </c>
      <c r="I1111" s="34" t="n">
        <f aca="false">NORMSINV(G1111)</f>
        <v>-0.544193971295726</v>
      </c>
      <c r="J1111" s="59" t="n">
        <f aca="false">mc_s0*EXP((mc_mu-mc_vol^2/2)*mc_t1+mc_vol*SQRT(mc_t1)*H1111)</f>
        <v>1100.53573390537</v>
      </c>
      <c r="K1111" s="59" t="n">
        <f aca="false">J1111*EXP((mc_mu-mc_vol^2/2)*(mc_t2-mc_t1)+mc_vol*SQRT(mc_t2-mc_t1)*I1111)</f>
        <v>1028.58340851343</v>
      </c>
      <c r="L1111" s="31" t="n">
        <f aca="false">(t1_usd*J1111+t2_usd*K1111)/1000</f>
        <v>9658.05861351313</v>
      </c>
    </row>
    <row r="1112" customFormat="false" ht="15" hidden="false" customHeight="false" outlineLevel="0" collapsed="false">
      <c r="E1112" s="54" t="n">
        <v>1108</v>
      </c>
      <c r="F1112" s="61" t="n">
        <v>0.231375</v>
      </c>
      <c r="G1112" s="61" t="n">
        <v>0.001224</v>
      </c>
      <c r="H1112" s="34" t="n">
        <f aca="false">NORMSINV(F1112)</f>
        <v>-0.734326123730174</v>
      </c>
      <c r="I1112" s="34" t="n">
        <f aca="false">NORMSINV(G1112)</f>
        <v>-3.02969600729933</v>
      </c>
      <c r="J1112" s="59" t="n">
        <f aca="false">mc_s0*EXP((mc_mu-mc_vol^2/2)*mc_t1+mc_vol*SQRT(mc_t1)*H1112)</f>
        <v>1068.61740116189</v>
      </c>
      <c r="K1112" s="59" t="n">
        <f aca="false">J1112*EXP((mc_mu-mc_vol^2/2)*(mc_t2-mc_t1)+mc_vol*SQRT(mc_t2-mc_t1)*I1112)</f>
        <v>675.064443358921</v>
      </c>
      <c r="L1112" s="31" t="n">
        <f aca="false">(t1_usd*J1112+t2_usd*K1112)/1000</f>
        <v>8762.9442505152</v>
      </c>
    </row>
    <row r="1113" customFormat="false" ht="15" hidden="false" customHeight="false" outlineLevel="0" collapsed="false">
      <c r="E1113" s="54" t="n">
        <v>1109</v>
      </c>
      <c r="F1113" s="61" t="n">
        <v>0.241629</v>
      </c>
      <c r="G1113" s="61" t="n">
        <v>0.230768</v>
      </c>
      <c r="H1113" s="34" t="n">
        <f aca="false">NORMSINV(F1113)</f>
        <v>-0.701072133428192</v>
      </c>
      <c r="I1113" s="34" t="n">
        <f aca="false">NORMSINV(G1113)</f>
        <v>-0.73631996309783</v>
      </c>
      <c r="J1113" s="59" t="n">
        <f aca="false">mc_s0*EXP((mc_mu-mc_vol^2/2)*mc_t1+mc_vol*SQRT(mc_t1)*H1113)</f>
        <v>1072.01727036515</v>
      </c>
      <c r="K1113" s="59" t="n">
        <f aca="false">J1113*EXP((mc_mu-mc_vol^2/2)*(mc_t2-mc_t1)+mc_vol*SQRT(mc_t2-mc_t1)*I1113)</f>
        <v>972.047949703504</v>
      </c>
      <c r="L1113" s="31" t="n">
        <f aca="false">(t1_usd*J1113+t2_usd*K1113)/1000</f>
        <v>9351.01199699271</v>
      </c>
    </row>
    <row r="1114" customFormat="false" ht="15" hidden="false" customHeight="false" outlineLevel="0" collapsed="false">
      <c r="E1114" s="54" t="n">
        <v>1110</v>
      </c>
      <c r="F1114" s="61" t="n">
        <v>0.163694</v>
      </c>
      <c r="G1114" s="61" t="n">
        <v>0.503444</v>
      </c>
      <c r="H1114" s="34" t="n">
        <f aca="false">NORMSINV(F1114)</f>
        <v>-0.979388615618786</v>
      </c>
      <c r="I1114" s="34" t="n">
        <f aca="false">NORMSINV(G1114)</f>
        <v>0.0086329350085706</v>
      </c>
      <c r="J1114" s="59" t="n">
        <f aca="false">mc_s0*EXP((mc_mu-mc_vol^2/2)*mc_t1+mc_vol*SQRT(mc_t1)*H1114)</f>
        <v>1043.89264313788</v>
      </c>
      <c r="K1114" s="59" t="n">
        <f aca="false">J1114*EXP((mc_mu-mc_vol^2/2)*(mc_t2-mc_t1)+mc_vol*SQRT(mc_t2-mc_t1)*I1114)</f>
        <v>1064.45597250091</v>
      </c>
      <c r="L1114" s="31" t="n">
        <f aca="false">(t1_usd*J1114+t2_usd*K1114)/1000</f>
        <v>9329.71484971688</v>
      </c>
    </row>
    <row r="1115" customFormat="false" ht="15" hidden="false" customHeight="false" outlineLevel="0" collapsed="false">
      <c r="E1115" s="54" t="n">
        <v>1111</v>
      </c>
      <c r="F1115" s="61" t="n">
        <v>0.982273</v>
      </c>
      <c r="G1115" s="61" t="n">
        <v>0.475309</v>
      </c>
      <c r="H1115" s="34" t="n">
        <f aca="false">NORMSINV(F1115)</f>
        <v>2.10313465932886</v>
      </c>
      <c r="I1115" s="34" t="n">
        <f aca="false">NORMSINV(G1115)</f>
        <v>-0.0619307242978093</v>
      </c>
      <c r="J1115" s="59" t="n">
        <f aca="false">mc_s0*EXP((mc_mu-mc_vol^2/2)*mc_t1+mc_vol*SQRT(mc_t1)*H1115)</f>
        <v>1401.30979523454</v>
      </c>
      <c r="K1115" s="59" t="n">
        <f aca="false">J1115*EXP((mc_mu-mc_vol^2/2)*(mc_t2-mc_t1)+mc_vol*SQRT(mc_t2-mc_t1)*I1115)</f>
        <v>1413.11177770649</v>
      </c>
      <c r="L1115" s="31" t="n">
        <f aca="false">(t1_usd*J1115+t2_usd*K1115)/1000</f>
        <v>12494.0809442841</v>
      </c>
    </row>
    <row r="1116" customFormat="false" ht="15" hidden="false" customHeight="false" outlineLevel="0" collapsed="false">
      <c r="E1116" s="54" t="n">
        <v>1112</v>
      </c>
      <c r="F1116" s="61" t="n">
        <v>0.248046</v>
      </c>
      <c r="G1116" s="61" t="n">
        <v>0.607803</v>
      </c>
      <c r="H1116" s="34" t="n">
        <f aca="false">NORMSINV(F1116)</f>
        <v>-0.680651550152064</v>
      </c>
      <c r="I1116" s="34" t="n">
        <f aca="false">NORMSINV(G1116)</f>
        <v>0.273597442008166</v>
      </c>
      <c r="J1116" s="59" t="n">
        <f aca="false">mc_s0*EXP((mc_mu-mc_vol^2/2)*mc_t1+mc_vol*SQRT(mc_t1)*H1116)</f>
        <v>1074.11041778305</v>
      </c>
      <c r="K1116" s="59" t="n">
        <f aca="false">J1116*EXP((mc_mu-mc_vol^2/2)*(mc_t2-mc_t1)+mc_vol*SQRT(mc_t2-mc_t1)*I1116)</f>
        <v>1141.9720059631</v>
      </c>
      <c r="L1116" s="31" t="n">
        <f aca="false">(t1_usd*J1116+t2_usd*K1116)/1000</f>
        <v>9688.51973581122</v>
      </c>
    </row>
    <row r="1117" customFormat="false" ht="15" hidden="false" customHeight="false" outlineLevel="0" collapsed="false">
      <c r="E1117" s="54" t="n">
        <v>1113</v>
      </c>
      <c r="F1117" s="61" t="n">
        <v>0.373638</v>
      </c>
      <c r="G1117" s="61" t="n">
        <v>0.295234</v>
      </c>
      <c r="H1117" s="34" t="n">
        <f aca="false">NORMSINV(F1117)</f>
        <v>-0.322233245897078</v>
      </c>
      <c r="I1117" s="34" t="n">
        <f aca="false">NORMSINV(G1117)</f>
        <v>-0.538157961199319</v>
      </c>
      <c r="J1117" s="59" t="n">
        <f aca="false">mc_s0*EXP((mc_mu-mc_vol^2/2)*mc_t1+mc_vol*SQRT(mc_t1)*H1117)</f>
        <v>1111.52156726878</v>
      </c>
      <c r="K1117" s="59" t="n">
        <f aca="false">J1117*EXP((mc_mu-mc_vol^2/2)*(mc_t2-mc_t1)+mc_vol*SQRT(mc_t2-mc_t1)*I1117)</f>
        <v>1039.8396557719</v>
      </c>
      <c r="L1117" s="31" t="n">
        <f aca="false">(t1_usd*J1117+t2_usd*K1117)/1000</f>
        <v>9756.34631684805</v>
      </c>
    </row>
    <row r="1118" customFormat="false" ht="15" hidden="false" customHeight="false" outlineLevel="0" collapsed="false">
      <c r="E1118" s="54" t="n">
        <v>1114</v>
      </c>
      <c r="F1118" s="61" t="n">
        <v>0.824712</v>
      </c>
      <c r="G1118" s="61" t="n">
        <v>0.535477</v>
      </c>
      <c r="H1118" s="34" t="n">
        <f aca="false">NORMSINV(F1118)</f>
        <v>0.933472621506299</v>
      </c>
      <c r="I1118" s="34" t="n">
        <f aca="false">NORMSINV(G1118)</f>
        <v>0.0890451853556728</v>
      </c>
      <c r="J1118" s="59" t="n">
        <f aca="false">mc_s0*EXP((mc_mu-mc_vol^2/2)*mc_t1+mc_vol*SQRT(mc_t1)*H1118)</f>
        <v>1253.1723030497</v>
      </c>
      <c r="K1118" s="59" t="n">
        <f aca="false">J1118*EXP((mc_mu-mc_vol^2/2)*(mc_t2-mc_t1)+mc_vol*SQRT(mc_t2-mc_t1)*I1118)</f>
        <v>1294.15477081853</v>
      </c>
      <c r="L1118" s="31" t="n">
        <f aca="false">(t1_usd*J1118+t2_usd*K1118)/1000</f>
        <v>11231.1001859031</v>
      </c>
    </row>
    <row r="1119" customFormat="false" ht="15" hidden="false" customHeight="false" outlineLevel="0" collapsed="false">
      <c r="E1119" s="54" t="n">
        <v>1115</v>
      </c>
      <c r="F1119" s="61" t="n">
        <v>0.141628</v>
      </c>
      <c r="G1119" s="61" t="n">
        <v>0.933515</v>
      </c>
      <c r="H1119" s="34" t="n">
        <f aca="false">NORMSINV(F1119)</f>
        <v>-1.07303369118966</v>
      </c>
      <c r="I1119" s="34" t="n">
        <f aca="false">NORMSINV(G1119)</f>
        <v>1.50249235833267</v>
      </c>
      <c r="J1119" s="59" t="n">
        <f aca="false">mc_s0*EXP((mc_mu-mc_vol^2/2)*mc_t1+mc_vol*SQRT(mc_t1)*H1119)</f>
        <v>1034.59643052251</v>
      </c>
      <c r="K1119" s="59" t="n">
        <f aca="false">J1119*EXP((mc_mu-mc_vol^2/2)*(mc_t2-mc_t1)+mc_vol*SQRT(mc_t2-mc_t1)*I1119)</f>
        <v>1335.01256921271</v>
      </c>
      <c r="L1119" s="31" t="n">
        <f aca="false">(t1_usd*J1119+t2_usd*K1119)/1000</f>
        <v>9778.69889516172</v>
      </c>
    </row>
    <row r="1120" customFormat="false" ht="15" hidden="false" customHeight="false" outlineLevel="0" collapsed="false">
      <c r="E1120" s="54" t="n">
        <v>1116</v>
      </c>
      <c r="F1120" s="61" t="n">
        <v>0.010137</v>
      </c>
      <c r="G1120" s="61" t="n">
        <v>0.032566</v>
      </c>
      <c r="H1120" s="34" t="n">
        <f aca="false">NORMSINV(F1120)</f>
        <v>-2.32123804345246</v>
      </c>
      <c r="I1120" s="34" t="n">
        <f aca="false">NORMSINV(G1120)</f>
        <v>-1.84435102360744</v>
      </c>
      <c r="J1120" s="59" t="n">
        <f aca="false">mc_s0*EXP((mc_mu-mc_vol^2/2)*mc_t1+mc_vol*SQRT(mc_t1)*H1120)</f>
        <v>918.309932729522</v>
      </c>
      <c r="K1120" s="59" t="n">
        <f aca="false">J1120*EXP((mc_mu-mc_vol^2/2)*(mc_t2-mc_t1)+mc_vol*SQRT(mc_t2-mc_t1)*I1120)</f>
        <v>699.261287073721</v>
      </c>
      <c r="L1120" s="31" t="n">
        <f aca="false">(t1_usd*J1120+t2_usd*K1120)/1000</f>
        <v>7756.76597454673</v>
      </c>
    </row>
    <row r="1121" customFormat="false" ht="15" hidden="false" customHeight="false" outlineLevel="0" collapsed="false">
      <c r="E1121" s="54" t="n">
        <v>1117</v>
      </c>
      <c r="F1121" s="61" t="n">
        <v>0.736268</v>
      </c>
      <c r="G1121" s="61" t="n">
        <v>0.762431</v>
      </c>
      <c r="H1121" s="34" t="n">
        <f aca="false">NORMSINV(F1121)</f>
        <v>0.631881978748204</v>
      </c>
      <c r="I1121" s="34" t="n">
        <f aca="false">NORMSINV(G1121)</f>
        <v>0.714144227444387</v>
      </c>
      <c r="J1121" s="59" t="n">
        <f aca="false">mc_s0*EXP((mc_mu-mc_vol^2/2)*mc_t1+mc_vol*SQRT(mc_t1)*H1121)</f>
        <v>1217.58507331899</v>
      </c>
      <c r="K1121" s="59" t="n">
        <f aca="false">J1121*EXP((mc_mu-mc_vol^2/2)*(mc_t2-mc_t1)+mc_vol*SQRT(mc_t2-mc_t1)*I1121)</f>
        <v>1387.57889097137</v>
      </c>
      <c r="L1121" s="31" t="n">
        <f aca="false">(t1_usd*J1121+t2_usd*K1121)/1000</f>
        <v>11159.4954060785</v>
      </c>
    </row>
    <row r="1122" customFormat="false" ht="15" hidden="false" customHeight="false" outlineLevel="0" collapsed="false">
      <c r="E1122" s="54" t="n">
        <v>1118</v>
      </c>
      <c r="F1122" s="61" t="n">
        <v>0.361561</v>
      </c>
      <c r="G1122" s="61" t="n">
        <v>0.270307</v>
      </c>
      <c r="H1122" s="34" t="n">
        <f aca="false">NORMSINV(F1122)</f>
        <v>-0.354289414442328</v>
      </c>
      <c r="I1122" s="34" t="n">
        <f aca="false">NORMSINV(G1122)</f>
        <v>-0.611884768134747</v>
      </c>
      <c r="J1122" s="59" t="n">
        <f aca="false">mc_s0*EXP((mc_mu-mc_vol^2/2)*mc_t1+mc_vol*SQRT(mc_t1)*H1122)</f>
        <v>1108.12319460659</v>
      </c>
      <c r="K1122" s="59" t="n">
        <f aca="false">J1122*EXP((mc_mu-mc_vol^2/2)*(mc_t2-mc_t1)+mc_vol*SQRT(mc_t2-mc_t1)*I1122)</f>
        <v>1024.68535156323</v>
      </c>
      <c r="L1122" s="31" t="n">
        <f aca="false">(t1_usd*J1122+t2_usd*K1122)/1000</f>
        <v>9703.76453021629</v>
      </c>
    </row>
    <row r="1123" customFormat="false" ht="15" hidden="false" customHeight="false" outlineLevel="0" collapsed="false">
      <c r="E1123" s="54" t="n">
        <v>1119</v>
      </c>
      <c r="F1123" s="61" t="n">
        <v>0.628596</v>
      </c>
      <c r="G1123" s="61" t="n">
        <v>0.004883</v>
      </c>
      <c r="H1123" s="34" t="n">
        <f aca="false">NORMSINV(F1123)</f>
        <v>0.32813710505569</v>
      </c>
      <c r="I1123" s="34" t="n">
        <f aca="false">NORMSINV(G1123)</f>
        <v>-2.58400633687806</v>
      </c>
      <c r="J1123" s="59" t="n">
        <f aca="false">mc_s0*EXP((mc_mu-mc_vol^2/2)*mc_t1+mc_vol*SQRT(mc_t1)*H1123)</f>
        <v>1182.76502776896</v>
      </c>
      <c r="K1123" s="59" t="n">
        <f aca="false">J1123*EXP((mc_mu-mc_vol^2/2)*(mc_t2-mc_t1)+mc_vol*SQRT(mc_t2-mc_t1)*I1123)</f>
        <v>801.54017513501</v>
      </c>
      <c r="L1123" s="31" t="n">
        <f aca="false">(t1_usd*J1123+t2_usd*K1123)/1000</f>
        <v>9802.28152713924</v>
      </c>
    </row>
    <row r="1124" customFormat="false" ht="15" hidden="false" customHeight="false" outlineLevel="0" collapsed="false">
      <c r="E1124" s="54" t="n">
        <v>1120</v>
      </c>
      <c r="F1124" s="61" t="n">
        <v>0.171342</v>
      </c>
      <c r="G1124" s="61" t="n">
        <v>0.228419</v>
      </c>
      <c r="H1124" s="34" t="n">
        <f aca="false">NORMSINV(F1124)</f>
        <v>-0.948875375394415</v>
      </c>
      <c r="I1124" s="34" t="n">
        <f aca="false">NORMSINV(G1124)</f>
        <v>-0.744063598788416</v>
      </c>
      <c r="J1124" s="59" t="n">
        <f aca="false">mc_s0*EXP((mc_mu-mc_vol^2/2)*mc_t1+mc_vol*SQRT(mc_t1)*H1124)</f>
        <v>1046.9397205527</v>
      </c>
      <c r="K1124" s="59" t="n">
        <f aca="false">J1124*EXP((mc_mu-mc_vol^2/2)*(mc_t2-mc_t1)+mc_vol*SQRT(mc_t2-mc_t1)*I1124)</f>
        <v>948.151190981181</v>
      </c>
      <c r="L1124" s="31" t="n">
        <f aca="false">(t1_usd*J1124+t2_usd*K1124)/1000</f>
        <v>9130.06530673318</v>
      </c>
    </row>
    <row r="1125" customFormat="false" ht="15" hidden="false" customHeight="false" outlineLevel="0" collapsed="false">
      <c r="E1125" s="54" t="n">
        <v>1121</v>
      </c>
      <c r="F1125" s="61" t="n">
        <v>0.844972</v>
      </c>
      <c r="G1125" s="61" t="n">
        <v>0.672322</v>
      </c>
      <c r="H1125" s="34" t="n">
        <f aca="false">NORMSINV(F1125)</f>
        <v>1.01510453521961</v>
      </c>
      <c r="I1125" s="34" t="n">
        <f aca="false">NORMSINV(G1125)</f>
        <v>0.446333999904236</v>
      </c>
      <c r="J1125" s="59" t="n">
        <f aca="false">mc_s0*EXP((mc_mu-mc_vol^2/2)*mc_t1+mc_vol*SQRT(mc_t1)*H1125)</f>
        <v>1262.98235626138</v>
      </c>
      <c r="K1125" s="59" t="n">
        <f aca="false">J1125*EXP((mc_mu-mc_vol^2/2)*(mc_t2-mc_t1)+mc_vol*SQRT(mc_t2-mc_t1)*I1125)</f>
        <v>1379.83203425733</v>
      </c>
      <c r="L1125" s="31" t="n">
        <f aca="false">(t1_usd*J1125+t2_usd*K1125)/1000</f>
        <v>11462.5573589186</v>
      </c>
    </row>
    <row r="1126" customFormat="false" ht="15" hidden="false" customHeight="false" outlineLevel="0" collapsed="false">
      <c r="E1126" s="54" t="n">
        <v>1122</v>
      </c>
      <c r="F1126" s="61" t="n">
        <v>0.206264</v>
      </c>
      <c r="G1126" s="61" t="n">
        <v>0.484516</v>
      </c>
      <c r="H1126" s="34" t="n">
        <f aca="false">NORMSINV(F1126)</f>
        <v>-0.819453012057578</v>
      </c>
      <c r="I1126" s="34" t="n">
        <f aca="false">NORMSINV(G1126)</f>
        <v>-0.0388223820358679</v>
      </c>
      <c r="J1126" s="59" t="n">
        <f aca="false">mc_s0*EXP((mc_mu-mc_vol^2/2)*mc_t1+mc_vol*SQRT(mc_t1)*H1126)</f>
        <v>1059.96312590672</v>
      </c>
      <c r="K1126" s="59" t="n">
        <f aca="false">J1126*EXP((mc_mu-mc_vol^2/2)*(mc_t2-mc_t1)+mc_vol*SQRT(mc_t2-mc_t1)*I1126)</f>
        <v>1072.78994275584</v>
      </c>
      <c r="L1126" s="31" t="n">
        <f aca="false">(t1_usd*J1126+t2_usd*K1126)/1000</f>
        <v>9458.04277258314</v>
      </c>
    </row>
    <row r="1127" customFormat="false" ht="15" hidden="false" customHeight="false" outlineLevel="0" collapsed="false">
      <c r="E1127" s="54" t="n">
        <v>1123</v>
      </c>
      <c r="F1127" s="61" t="n">
        <v>0.208248</v>
      </c>
      <c r="G1127" s="61" t="n">
        <v>0.525938</v>
      </c>
      <c r="H1127" s="34" t="n">
        <f aca="false">NORMSINV(F1127)</f>
        <v>-0.812515319106316</v>
      </c>
      <c r="I1127" s="34" t="n">
        <f aca="false">NORMSINV(G1127)</f>
        <v>0.0650627986781523</v>
      </c>
      <c r="J1127" s="59" t="n">
        <f aca="false">mc_s0*EXP((mc_mu-mc_vol^2/2)*mc_t1+mc_vol*SQRT(mc_t1)*H1127)</f>
        <v>1060.66580332066</v>
      </c>
      <c r="K1127" s="59" t="n">
        <f aca="false">J1127*EXP((mc_mu-mc_vol^2/2)*(mc_t2-mc_t1)+mc_vol*SQRT(mc_t2-mc_t1)*I1127)</f>
        <v>1091.22070538436</v>
      </c>
      <c r="L1127" s="31" t="n">
        <f aca="false">(t1_usd*J1127+t2_usd*K1127)/1000</f>
        <v>9497.97996347491</v>
      </c>
    </row>
    <row r="1128" customFormat="false" ht="15" hidden="false" customHeight="false" outlineLevel="0" collapsed="false">
      <c r="E1128" s="54" t="n">
        <v>1124</v>
      </c>
      <c r="F1128" s="61" t="n">
        <v>0.652472</v>
      </c>
      <c r="G1128" s="61" t="n">
        <v>0.460903</v>
      </c>
      <c r="H1128" s="34" t="n">
        <f aca="false">NORMSINV(F1128)</f>
        <v>0.392002996171878</v>
      </c>
      <c r="I1128" s="34" t="n">
        <f aca="false">NORMSINV(G1128)</f>
        <v>-0.0981590484184306</v>
      </c>
      <c r="J1128" s="59" t="n">
        <f aca="false">mc_s0*EXP((mc_mu-mc_vol^2/2)*mc_t1+mc_vol*SQRT(mc_t1)*H1128)</f>
        <v>1190.00270331317</v>
      </c>
      <c r="K1128" s="59" t="n">
        <f aca="false">J1128*EXP((mc_mu-mc_vol^2/2)*(mc_t2-mc_t1)+mc_vol*SQRT(mc_t2-mc_t1)*I1128)</f>
        <v>1193.19320785919</v>
      </c>
      <c r="L1128" s="31" t="n">
        <f aca="false">(t1_usd*J1128+t2_usd*K1128)/1000</f>
        <v>10597.0860181247</v>
      </c>
    </row>
    <row r="1129" customFormat="false" ht="15" hidden="false" customHeight="false" outlineLevel="0" collapsed="false">
      <c r="E1129" s="54" t="n">
        <v>1125</v>
      </c>
      <c r="F1129" s="61" t="n">
        <v>0.418721</v>
      </c>
      <c r="G1129" s="61" t="n">
        <v>0.60337</v>
      </c>
      <c r="H1129" s="34" t="n">
        <f aca="false">NORMSINV(F1129)</f>
        <v>-0.205166553511605</v>
      </c>
      <c r="I1129" s="34" t="n">
        <f aca="false">NORMSINV(G1129)</f>
        <v>0.262079696088764</v>
      </c>
      <c r="J1129" s="59" t="n">
        <f aca="false">mc_s0*EXP((mc_mu-mc_vol^2/2)*mc_t1+mc_vol*SQRT(mc_t1)*H1129)</f>
        <v>1124.02093389535</v>
      </c>
      <c r="K1129" s="59" t="n">
        <f aca="false">J1129*EXP((mc_mu-mc_vol^2/2)*(mc_t2-mc_t1)+mc_vol*SQRT(mc_t2-mc_t1)*I1129)</f>
        <v>1192.86867144264</v>
      </c>
      <c r="L1129" s="31" t="n">
        <f aca="false">(t1_usd*J1129+t2_usd*K1129)/1000</f>
        <v>10134.5970130085</v>
      </c>
    </row>
    <row r="1130" customFormat="false" ht="15" hidden="false" customHeight="false" outlineLevel="0" collapsed="false">
      <c r="E1130" s="54" t="n">
        <v>1126</v>
      </c>
      <c r="F1130" s="61" t="n">
        <v>0.090804</v>
      </c>
      <c r="G1130" s="61" t="n">
        <v>0.907139</v>
      </c>
      <c r="H1130" s="34" t="n">
        <f aca="false">NORMSINV(F1130)</f>
        <v>-1.33582034941838</v>
      </c>
      <c r="I1130" s="34" t="n">
        <f aca="false">NORMSINV(G1130)</f>
        <v>1.32334100847196</v>
      </c>
      <c r="J1130" s="59" t="n">
        <f aca="false">mc_s0*EXP((mc_mu-mc_vol^2/2)*mc_t1+mc_vol*SQRT(mc_t1)*H1130)</f>
        <v>1008.94916347603</v>
      </c>
      <c r="K1130" s="59" t="n">
        <f aca="false">J1130*EXP((mc_mu-mc_vol^2/2)*(mc_t2-mc_t1)+mc_vol*SQRT(mc_t2-mc_t1)*I1130)</f>
        <v>1265.67503091254</v>
      </c>
      <c r="L1130" s="31" t="n">
        <f aca="false">(t1_usd*J1130+t2_usd*K1130)/1000</f>
        <v>9467.42670306602</v>
      </c>
    </row>
    <row r="1131" customFormat="false" ht="15" hidden="false" customHeight="false" outlineLevel="0" collapsed="false">
      <c r="E1131" s="54" t="n">
        <v>1127</v>
      </c>
      <c r="F1131" s="61" t="n">
        <v>0.371494</v>
      </c>
      <c r="G1131" s="61" t="n">
        <v>0.353845</v>
      </c>
      <c r="H1131" s="34" t="n">
        <f aca="false">NORMSINV(F1131)</f>
        <v>-0.327899039487218</v>
      </c>
      <c r="I1131" s="34" t="n">
        <f aca="false">NORMSINV(G1131)</f>
        <v>-0.374960289470219</v>
      </c>
      <c r="J1131" s="59" t="n">
        <f aca="false">mc_s0*EXP((mc_mu-mc_vol^2/2)*mc_t1+mc_vol*SQRT(mc_t1)*H1131)</f>
        <v>1110.9201617977</v>
      </c>
      <c r="K1131" s="59" t="n">
        <f aca="false">J1131*EXP((mc_mu-mc_vol^2/2)*(mc_t2-mc_t1)+mc_vol*SQRT(mc_t2-mc_t1)*I1131)</f>
        <v>1066.35272322414</v>
      </c>
      <c r="L1131" s="31" t="n">
        <f aca="false">(t1_usd*J1131+t2_usd*K1131)/1000</f>
        <v>9802.51130670974</v>
      </c>
    </row>
    <row r="1132" customFormat="false" ht="15" hidden="false" customHeight="false" outlineLevel="0" collapsed="false">
      <c r="E1132" s="54" t="n">
        <v>1128</v>
      </c>
      <c r="F1132" s="61" t="n">
        <v>0.901186</v>
      </c>
      <c r="G1132" s="61" t="n">
        <v>0.716287</v>
      </c>
      <c r="H1132" s="34" t="n">
        <f aca="false">NORMSINV(F1132)</f>
        <v>1.28833895054386</v>
      </c>
      <c r="I1132" s="34" t="n">
        <f aca="false">NORMSINV(G1132)</f>
        <v>0.571846458017236</v>
      </c>
      <c r="J1132" s="59" t="n">
        <f aca="false">mc_s0*EXP((mc_mu-mc_vol^2/2)*mc_t1+mc_vol*SQRT(mc_t1)*H1132)</f>
        <v>1296.38022994172</v>
      </c>
      <c r="K1132" s="59" t="n">
        <f aca="false">J1132*EXP((mc_mu-mc_vol^2/2)*(mc_t2-mc_t1)+mc_vol*SQRT(mc_t2-mc_t1)*I1132)</f>
        <v>1444.61341934458</v>
      </c>
      <c r="L1132" s="31" t="n">
        <f aca="false">(t1_usd*J1132+t2_usd*K1132)/1000</f>
        <v>11819.4271063467</v>
      </c>
    </row>
    <row r="1133" customFormat="false" ht="15" hidden="false" customHeight="false" outlineLevel="0" collapsed="false">
      <c r="E1133" s="54" t="n">
        <v>1129</v>
      </c>
      <c r="F1133" s="61" t="n">
        <v>0.75714</v>
      </c>
      <c r="G1133" s="61" t="n">
        <v>0.834333</v>
      </c>
      <c r="H1133" s="34" t="n">
        <f aca="false">NORMSINV(F1133)</f>
        <v>0.697132303067004</v>
      </c>
      <c r="I1133" s="34" t="n">
        <f aca="false">NORMSINV(G1133)</f>
        <v>0.971430392578588</v>
      </c>
      <c r="J1133" s="59" t="n">
        <f aca="false">mc_s0*EXP((mc_mu-mc_vol^2/2)*mc_t1+mc_vol*SQRT(mc_t1)*H1133)</f>
        <v>1225.19783782353</v>
      </c>
      <c r="K1133" s="59" t="n">
        <f aca="false">J1133*EXP((mc_mu-mc_vol^2/2)*(mc_t2-mc_t1)+mc_vol*SQRT(mc_t2-mc_t1)*I1133)</f>
        <v>1454.03122704559</v>
      </c>
      <c r="L1133" s="31" t="n">
        <f aca="false">(t1_usd*J1133+t2_usd*K1133)/1000</f>
        <v>11339.0441961513</v>
      </c>
    </row>
    <row r="1134" customFormat="false" ht="15" hidden="false" customHeight="false" outlineLevel="0" collapsed="false">
      <c r="E1134" s="54" t="n">
        <v>1130</v>
      </c>
      <c r="F1134" s="61" t="n">
        <v>0.717038</v>
      </c>
      <c r="G1134" s="61" t="n">
        <v>0.24366</v>
      </c>
      <c r="H1134" s="34" t="n">
        <f aca="false">NORMSINV(F1134)</f>
        <v>0.574064729097524</v>
      </c>
      <c r="I1134" s="34" t="n">
        <f aca="false">NORMSINV(G1134)</f>
        <v>-0.694577686325792</v>
      </c>
      <c r="J1134" s="59" t="n">
        <f aca="false">mc_s0*EXP((mc_mu-mc_vol^2/2)*mc_t1+mc_vol*SQRT(mc_t1)*H1134)</f>
        <v>1210.87906215189</v>
      </c>
      <c r="K1134" s="59" t="n">
        <f aca="false">J1134*EXP((mc_mu-mc_vol^2/2)*(mc_t2-mc_t1)+mc_vol*SQRT(mc_t2-mc_t1)*I1134)</f>
        <v>1105.20691929554</v>
      </c>
      <c r="L1134" s="31" t="n">
        <f aca="false">(t1_usd*J1134+t2_usd*K1134)/1000</f>
        <v>10576.0465817248</v>
      </c>
    </row>
    <row r="1135" customFormat="false" ht="15" hidden="false" customHeight="false" outlineLevel="0" collapsed="false">
      <c r="E1135" s="54" t="n">
        <v>1131</v>
      </c>
      <c r="F1135" s="61" t="n">
        <v>0.768283</v>
      </c>
      <c r="G1135" s="61" t="n">
        <v>0.796068</v>
      </c>
      <c r="H1135" s="34" t="n">
        <f aca="false">NORMSINV(F1135)</f>
        <v>0.733204026335148</v>
      </c>
      <c r="I1135" s="34" t="n">
        <f aca="false">NORMSINV(G1135)</f>
        <v>0.827658372831678</v>
      </c>
      <c r="J1135" s="59" t="n">
        <f aca="false">mc_s0*EXP((mc_mu-mc_vol^2/2)*mc_t1+mc_vol*SQRT(mc_t1)*H1135)</f>
        <v>1229.42674150004</v>
      </c>
      <c r="K1135" s="59" t="n">
        <f aca="false">J1135*EXP((mc_mu-mc_vol^2/2)*(mc_t2-mc_t1)+mc_vol*SQRT(mc_t2-mc_t1)*I1135)</f>
        <v>1426.36325799662</v>
      </c>
      <c r="L1135" s="31" t="n">
        <f aca="false">(t1_usd*J1135+t2_usd*K1135)/1000</f>
        <v>11316.0773806938</v>
      </c>
    </row>
    <row r="1136" customFormat="false" ht="15" hidden="false" customHeight="false" outlineLevel="0" collapsed="false">
      <c r="E1136" s="54" t="n">
        <v>1132</v>
      </c>
      <c r="F1136" s="61" t="n">
        <v>0.038158</v>
      </c>
      <c r="G1136" s="61" t="n">
        <v>0.542468</v>
      </c>
      <c r="H1136" s="34" t="n">
        <f aca="false">NORMSINV(F1136)</f>
        <v>-1.77247344234998</v>
      </c>
      <c r="I1136" s="34" t="n">
        <f aca="false">NORMSINV(G1136)</f>
        <v>0.106653340844352</v>
      </c>
      <c r="J1136" s="59" t="n">
        <f aca="false">mc_s0*EXP((mc_mu-mc_vol^2/2)*mc_t1+mc_vol*SQRT(mc_t1)*H1136)</f>
        <v>967.731222762888</v>
      </c>
      <c r="K1136" s="59" t="n">
        <f aca="false">J1136*EXP((mc_mu-mc_vol^2/2)*(mc_t2-mc_t1)+mc_vol*SQRT(mc_t2-mc_t1)*I1136)</f>
        <v>1002.15597019073</v>
      </c>
      <c r="L1136" s="31" t="n">
        <f aca="false">(t1_usd*J1136+t2_usd*K1136)/1000</f>
        <v>8678.2149027026</v>
      </c>
    </row>
    <row r="1137" customFormat="false" ht="15" hidden="false" customHeight="false" outlineLevel="0" collapsed="false">
      <c r="E1137" s="54" t="n">
        <v>1133</v>
      </c>
      <c r="F1137" s="61" t="n">
        <v>0.013973</v>
      </c>
      <c r="G1137" s="61" t="n">
        <v>0.357466</v>
      </c>
      <c r="H1137" s="34" t="n">
        <f aca="false">NORMSINV(F1137)</f>
        <v>-2.1980435869197</v>
      </c>
      <c r="I1137" s="34" t="n">
        <f aca="false">NORMSINV(G1137)</f>
        <v>-0.365240351032804</v>
      </c>
      <c r="J1137" s="59" t="n">
        <f aca="false">mc_s0*EXP((mc_mu-mc_vol^2/2)*mc_t1+mc_vol*SQRT(mc_t1)*H1137)</f>
        <v>929.180308593088</v>
      </c>
      <c r="K1137" s="59" t="n">
        <f aca="false">J1137*EXP((mc_mu-mc_vol^2/2)*(mc_t2-mc_t1)+mc_vol*SQRT(mc_t2-mc_t1)*I1137)</f>
        <v>893.271096589288</v>
      </c>
      <c r="L1137" s="31" t="n">
        <f aca="false">(t1_usd*J1137+t2_usd*K1137)/1000</f>
        <v>8201.47724367126</v>
      </c>
    </row>
    <row r="1138" customFormat="false" ht="15" hidden="false" customHeight="false" outlineLevel="0" collapsed="false">
      <c r="E1138" s="54" t="n">
        <v>1134</v>
      </c>
      <c r="F1138" s="61" t="n">
        <v>0.485055</v>
      </c>
      <c r="G1138" s="61" t="n">
        <v>0.102847</v>
      </c>
      <c r="H1138" s="34" t="n">
        <f aca="false">NORMSINV(F1138)</f>
        <v>-0.0374703259324769</v>
      </c>
      <c r="I1138" s="34" t="n">
        <f aca="false">NORMSINV(G1138)</f>
        <v>-1.26549483147273</v>
      </c>
      <c r="J1138" s="59" t="n">
        <f aca="false">mc_s0*EXP((mc_mu-mc_vol^2/2)*mc_t1+mc_vol*SQRT(mc_t1)*H1138)</f>
        <v>1142.17136814568</v>
      </c>
      <c r="K1138" s="59" t="n">
        <f aca="false">J1138*EXP((mc_mu-mc_vol^2/2)*(mc_t2-mc_t1)+mc_vol*SQRT(mc_t2-mc_t1)*I1138)</f>
        <v>952.794990606978</v>
      </c>
      <c r="L1138" s="31" t="n">
        <f aca="false">(t1_usd*J1138+t2_usd*K1138)/1000</f>
        <v>9805.51005917304</v>
      </c>
    </row>
    <row r="1139" customFormat="false" ht="15" hidden="false" customHeight="false" outlineLevel="0" collapsed="false">
      <c r="E1139" s="54" t="n">
        <v>1135</v>
      </c>
      <c r="F1139" s="61" t="n">
        <v>0.972263</v>
      </c>
      <c r="G1139" s="61" t="n">
        <v>0.834481</v>
      </c>
      <c r="H1139" s="34" t="n">
        <f aca="false">NORMSINV(F1139)</f>
        <v>1.91514511240943</v>
      </c>
      <c r="I1139" s="34" t="n">
        <f aca="false">NORMSINV(G1139)</f>
        <v>0.972025224139498</v>
      </c>
      <c r="J1139" s="59" t="n">
        <f aca="false">mc_s0*EXP((mc_mu-mc_vol^2/2)*mc_t1+mc_vol*SQRT(mc_t1)*H1139)</f>
        <v>1376.37070681579</v>
      </c>
      <c r="K1139" s="59" t="n">
        <f aca="false">J1139*EXP((mc_mu-mc_vol^2/2)*(mc_t2-mc_t1)+mc_vol*SQRT(mc_t2-mc_t1)*I1139)</f>
        <v>1633.59217431975</v>
      </c>
      <c r="L1139" s="31" t="n">
        <f aca="false">(t1_usd*J1139+t2_usd*K1139)/1000</f>
        <v>12738.4200789181</v>
      </c>
    </row>
    <row r="1140" customFormat="false" ht="15" hidden="false" customHeight="false" outlineLevel="0" collapsed="false">
      <c r="E1140" s="54" t="n">
        <v>1136</v>
      </c>
      <c r="F1140" s="61" t="n">
        <v>0.238297</v>
      </c>
      <c r="G1140" s="61" t="n">
        <v>0.895302</v>
      </c>
      <c r="H1140" s="34" t="n">
        <f aca="false">NORMSINV(F1140)</f>
        <v>-0.711791333717202</v>
      </c>
      <c r="I1140" s="34" t="n">
        <f aca="false">NORMSINV(G1140)</f>
        <v>1.25522801043025</v>
      </c>
      <c r="J1140" s="59" t="n">
        <f aca="false">mc_s0*EXP((mc_mu-mc_vol^2/2)*mc_t1+mc_vol*SQRT(mc_t1)*H1140)</f>
        <v>1070.92016562041</v>
      </c>
      <c r="K1140" s="59" t="n">
        <f aca="false">J1140*EXP((mc_mu-mc_vol^2/2)*(mc_t2-mc_t1)+mc_vol*SQRT(mc_t2-mc_t1)*I1140)</f>
        <v>1329.07119096841</v>
      </c>
      <c r="L1140" s="31" t="n">
        <f aca="false">(t1_usd*J1140+t2_usd*K1140)/1000</f>
        <v>10021.6764221829</v>
      </c>
    </row>
    <row r="1141" customFormat="false" ht="15" hidden="false" customHeight="false" outlineLevel="0" collapsed="false">
      <c r="E1141" s="54" t="n">
        <v>1137</v>
      </c>
      <c r="F1141" s="61" t="n">
        <v>0.509822</v>
      </c>
      <c r="G1141" s="61" t="n">
        <v>0.418273</v>
      </c>
      <c r="H1141" s="34" t="n">
        <f aca="false">NORMSINV(F1141)</f>
        <v>0.0246225906849501</v>
      </c>
      <c r="I1141" s="34" t="n">
        <f aca="false">NORMSINV(G1141)</f>
        <v>-0.206313543400564</v>
      </c>
      <c r="J1141" s="59" t="n">
        <f aca="false">mc_s0*EXP((mc_mu-mc_vol^2/2)*mc_t1+mc_vol*SQRT(mc_t1)*H1141)</f>
        <v>1148.96603512082</v>
      </c>
      <c r="K1141" s="59" t="n">
        <f aca="false">J1141*EXP((mc_mu-mc_vol^2/2)*(mc_t2-mc_t1)+mc_vol*SQRT(mc_t2-mc_t1)*I1141)</f>
        <v>1132.57695514508</v>
      </c>
      <c r="L1141" s="31" t="n">
        <f aca="false">(t1_usd*J1141+t2_usd*K1141)/1000</f>
        <v>10194.6584606214</v>
      </c>
    </row>
    <row r="1142" customFormat="false" ht="15" hidden="false" customHeight="false" outlineLevel="0" collapsed="false">
      <c r="E1142" s="54" t="n">
        <v>1138</v>
      </c>
      <c r="F1142" s="61" t="n">
        <v>0.925236</v>
      </c>
      <c r="G1142" s="61" t="n">
        <v>0.98071</v>
      </c>
      <c r="H1142" s="34" t="n">
        <f aca="false">NORMSINV(F1142)</f>
        <v>1.44120066705108</v>
      </c>
      <c r="I1142" s="34" t="n">
        <f aca="false">NORMSINV(G1142)</f>
        <v>2.06863873729773</v>
      </c>
      <c r="J1142" s="59" t="n">
        <f aca="false">mc_s0*EXP((mc_mu-mc_vol^2/2)*mc_t1+mc_vol*SQRT(mc_t1)*H1142)</f>
        <v>1315.44852963636</v>
      </c>
      <c r="K1142" s="59" t="n">
        <f aca="false">J1142*EXP((mc_mu-mc_vol^2/2)*(mc_t2-mc_t1)+mc_vol*SQRT(mc_t2-mc_t1)*I1142)</f>
        <v>1855.82212547509</v>
      </c>
      <c r="L1142" s="31" t="n">
        <f aca="false">(t1_usd*J1142+t2_usd*K1142)/1000</f>
        <v>12734.2017458572</v>
      </c>
    </row>
    <row r="1143" customFormat="false" ht="15" hidden="false" customHeight="false" outlineLevel="0" collapsed="false">
      <c r="E1143" s="54" t="n">
        <v>1139</v>
      </c>
      <c r="F1143" s="61" t="n">
        <v>0.09624</v>
      </c>
      <c r="G1143" s="61" t="n">
        <v>0.367282</v>
      </c>
      <c r="H1143" s="34" t="n">
        <f aca="false">NORMSINV(F1143)</f>
        <v>-1.30327761648888</v>
      </c>
      <c r="I1143" s="34" t="n">
        <f aca="false">NORMSINV(G1143)</f>
        <v>-0.339060704646842</v>
      </c>
      <c r="J1143" s="59" t="n">
        <f aca="false">mc_s0*EXP((mc_mu-mc_vol^2/2)*mc_t1+mc_vol*SQRT(mc_t1)*H1143)</f>
        <v>1012.09042972133</v>
      </c>
      <c r="K1143" s="59" t="n">
        <f aca="false">J1143*EXP((mc_mu-mc_vol^2/2)*(mc_t2-mc_t1)+mc_vol*SQRT(mc_t2-mc_t1)*I1143)</f>
        <v>976.999600406385</v>
      </c>
      <c r="L1143" s="31" t="n">
        <f aca="false">(t1_usd*J1143+t2_usd*K1143)/1000</f>
        <v>8940.93224882146</v>
      </c>
    </row>
    <row r="1144" customFormat="false" ht="15" hidden="false" customHeight="false" outlineLevel="0" collapsed="false">
      <c r="E1144" s="54" t="n">
        <v>1140</v>
      </c>
      <c r="F1144" s="61" t="n">
        <v>0.699757</v>
      </c>
      <c r="G1144" s="61" t="n">
        <v>0.217788</v>
      </c>
      <c r="H1144" s="34" t="n">
        <f aca="false">NORMSINV(F1144)</f>
        <v>0.523701747502855</v>
      </c>
      <c r="I1144" s="34" t="n">
        <f aca="false">NORMSINV(G1144)</f>
        <v>-0.779685526733793</v>
      </c>
      <c r="J1144" s="59" t="n">
        <f aca="false">mc_s0*EXP((mc_mu-mc_vol^2/2)*mc_t1+mc_vol*SQRT(mc_t1)*H1144)</f>
        <v>1205.06774980933</v>
      </c>
      <c r="K1144" s="59" t="n">
        <f aca="false">J1144*EXP((mc_mu-mc_vol^2/2)*(mc_t2-mc_t1)+mc_vol*SQRT(mc_t2-mc_t1)*I1144)</f>
        <v>1085.24889137621</v>
      </c>
      <c r="L1144" s="31" t="n">
        <f aca="false">(t1_usd*J1144+t2_usd*K1144)/1000</f>
        <v>10497.4471422801</v>
      </c>
    </row>
    <row r="1145" customFormat="false" ht="15" hidden="false" customHeight="false" outlineLevel="0" collapsed="false">
      <c r="E1145" s="54" t="n">
        <v>1141</v>
      </c>
      <c r="F1145" s="61" t="n">
        <v>0.097599</v>
      </c>
      <c r="G1145" s="61" t="n">
        <v>0.520365</v>
      </c>
      <c r="H1145" s="34" t="n">
        <f aca="false">NORMSINV(F1145)</f>
        <v>-1.29535440262403</v>
      </c>
      <c r="I1145" s="34" t="n">
        <f aca="false">NORMSINV(G1145)</f>
        <v>0.0510696753675082</v>
      </c>
      <c r="J1145" s="59" t="n">
        <f aca="false">mc_s0*EXP((mc_mu-mc_vol^2/2)*mc_t1+mc_vol*SQRT(mc_t1)*H1145)</f>
        <v>1012.85671644908</v>
      </c>
      <c r="K1145" s="59" t="n">
        <f aca="false">J1145*EXP((mc_mu-mc_vol^2/2)*(mc_t2-mc_t1)+mc_vol*SQRT(mc_t2-mc_t1)*I1145)</f>
        <v>1039.73898422318</v>
      </c>
      <c r="L1145" s="31" t="n">
        <f aca="false">(t1_usd*J1145+t2_usd*K1145)/1000</f>
        <v>9065.50108516763</v>
      </c>
    </row>
    <row r="1146" customFormat="false" ht="15" hidden="false" customHeight="false" outlineLevel="0" collapsed="false">
      <c r="E1146" s="54" t="n">
        <v>1142</v>
      </c>
      <c r="F1146" s="61" t="n">
        <v>0.425995</v>
      </c>
      <c r="G1146" s="61" t="n">
        <v>0.447128</v>
      </c>
      <c r="H1146" s="34" t="n">
        <f aca="false">NORMSINV(F1146)</f>
        <v>-0.186579935024678</v>
      </c>
      <c r="I1146" s="34" t="n">
        <f aca="false">NORMSINV(G1146)</f>
        <v>-0.132920821300113</v>
      </c>
      <c r="J1146" s="59" t="n">
        <f aca="false">mc_s0*EXP((mc_mu-mc_vol^2/2)*mc_t1+mc_vol*SQRT(mc_t1)*H1146)</f>
        <v>1126.01834115056</v>
      </c>
      <c r="K1146" s="59" t="n">
        <f aca="false">J1146*EXP((mc_mu-mc_vol^2/2)*(mc_t2-mc_t1)+mc_vol*SQRT(mc_t2-mc_t1)*I1146)</f>
        <v>1122.86909508585</v>
      </c>
      <c r="L1146" s="31" t="n">
        <f aca="false">(t1_usd*J1146+t2_usd*K1146)/1000</f>
        <v>10015.579668717</v>
      </c>
    </row>
    <row r="1147" customFormat="false" ht="15" hidden="false" customHeight="false" outlineLevel="0" collapsed="false">
      <c r="E1147" s="54" t="n">
        <v>1143</v>
      </c>
      <c r="F1147" s="61" t="n">
        <v>0.09992</v>
      </c>
      <c r="G1147" s="61" t="n">
        <v>0.264009</v>
      </c>
      <c r="H1147" s="34" t="n">
        <f aca="false">NORMSINV(F1147)</f>
        <v>-1.28200754355044</v>
      </c>
      <c r="I1147" s="34" t="n">
        <f aca="false">NORMSINV(G1147)</f>
        <v>-0.631034449122387</v>
      </c>
      <c r="J1147" s="59" t="n">
        <f aca="false">mc_s0*EXP((mc_mu-mc_vol^2/2)*mc_t1+mc_vol*SQRT(mc_t1)*H1147)</f>
        <v>1014.14885835889</v>
      </c>
      <c r="K1147" s="59" t="n">
        <f aca="false">J1147*EXP((mc_mu-mc_vol^2/2)*(mc_t2-mc_t1)+mc_vol*SQRT(mc_t2-mc_t1)*I1147)</f>
        <v>934.961114607035</v>
      </c>
      <c r="L1147" s="31" t="n">
        <f aca="false">(t1_usd*J1147+t2_usd*K1147)/1000</f>
        <v>8875.46812626561</v>
      </c>
    </row>
    <row r="1148" customFormat="false" ht="15" hidden="false" customHeight="false" outlineLevel="0" collapsed="false">
      <c r="E1148" s="54" t="n">
        <v>1144</v>
      </c>
      <c r="F1148" s="61" t="n">
        <v>0.698035</v>
      </c>
      <c r="G1148" s="61" t="n">
        <v>0.908128</v>
      </c>
      <c r="H1148" s="34" t="n">
        <f aca="false">NORMSINV(F1148)</f>
        <v>0.518757297239921</v>
      </c>
      <c r="I1148" s="34" t="n">
        <f aca="false">NORMSINV(G1148)</f>
        <v>1.32931520478276</v>
      </c>
      <c r="J1148" s="59" t="n">
        <f aca="false">mc_s0*EXP((mc_mu-mc_vol^2/2)*mc_t1+mc_vol*SQRT(mc_t1)*H1148)</f>
        <v>1204.49872242172</v>
      </c>
      <c r="K1148" s="59" t="n">
        <f aca="false">J1148*EXP((mc_mu-mc_vol^2/2)*(mc_t2-mc_t1)+mc_vol*SQRT(mc_t2-mc_t1)*I1148)</f>
        <v>1512.40518176197</v>
      </c>
      <c r="L1148" s="31" t="n">
        <f aca="false">(t1_usd*J1148+t2_usd*K1148)/1000</f>
        <v>11305.0609022998</v>
      </c>
    </row>
    <row r="1149" customFormat="false" ht="15" hidden="false" customHeight="false" outlineLevel="0" collapsed="false">
      <c r="E1149" s="54" t="n">
        <v>1145</v>
      </c>
      <c r="F1149" s="61" t="n">
        <v>0.432426</v>
      </c>
      <c r="G1149" s="61" t="n">
        <v>0.351895</v>
      </c>
      <c r="H1149" s="34" t="n">
        <f aca="false">NORMSINV(F1149)</f>
        <v>-0.170201083045328</v>
      </c>
      <c r="I1149" s="34" t="n">
        <f aca="false">NORMSINV(G1149)</f>
        <v>-0.380209375873687</v>
      </c>
      <c r="J1149" s="59" t="n">
        <f aca="false">mc_s0*EXP((mc_mu-mc_vol^2/2)*mc_t1+mc_vol*SQRT(mc_t1)*H1149)</f>
        <v>1127.78143306655</v>
      </c>
      <c r="K1149" s="59" t="n">
        <f aca="false">J1149*EXP((mc_mu-mc_vol^2/2)*(mc_t2-mc_t1)+mc_vol*SQRT(mc_t2-mc_t1)*I1149)</f>
        <v>1081.64243415833</v>
      </c>
      <c r="L1149" s="31" t="n">
        <f aca="false">(t1_usd*J1149+t2_usd*K1149)/1000</f>
        <v>9949.59065636671</v>
      </c>
    </row>
    <row r="1150" customFormat="false" ht="15" hidden="false" customHeight="false" outlineLevel="0" collapsed="false">
      <c r="E1150" s="54" t="n">
        <v>1146</v>
      </c>
      <c r="F1150" s="61" t="n">
        <v>0.105099</v>
      </c>
      <c r="G1150" s="61" t="n">
        <v>0.127111</v>
      </c>
      <c r="H1150" s="34" t="n">
        <f aca="false">NORMSINV(F1150)</f>
        <v>-1.25302117664183</v>
      </c>
      <c r="I1150" s="34" t="n">
        <f aca="false">NORMSINV(G1150)</f>
        <v>-1.14015435520528</v>
      </c>
      <c r="J1150" s="59" t="n">
        <f aca="false">mc_s0*EXP((mc_mu-mc_vol^2/2)*mc_t1+mc_vol*SQRT(mc_t1)*H1150)</f>
        <v>1016.9607794438</v>
      </c>
      <c r="K1150" s="59" t="n">
        <f aca="false">J1150*EXP((mc_mu-mc_vol^2/2)*(mc_t2-mc_t1)+mc_vol*SQRT(mc_t2-mc_t1)*I1150)</f>
        <v>865.268582594889</v>
      </c>
      <c r="L1150" s="31" t="n">
        <f aca="false">(t1_usd*J1150+t2_usd*K1150)/1000</f>
        <v>8762.7357630369</v>
      </c>
    </row>
    <row r="1151" customFormat="false" ht="15" hidden="false" customHeight="false" outlineLevel="0" collapsed="false">
      <c r="E1151" s="54" t="n">
        <v>1147</v>
      </c>
      <c r="F1151" s="61" t="n">
        <v>0.585629</v>
      </c>
      <c r="G1151" s="61" t="n">
        <v>0.899052</v>
      </c>
      <c r="H1151" s="34" t="n">
        <f aca="false">NORMSINV(F1151)</f>
        <v>0.216315279097151</v>
      </c>
      <c r="I1151" s="34" t="n">
        <f aca="false">NORMSINV(G1151)</f>
        <v>1.2761683902115</v>
      </c>
      <c r="J1151" s="59" t="n">
        <f aca="false">mc_s0*EXP((mc_mu-mc_vol^2/2)*mc_t1+mc_vol*SQRT(mc_t1)*H1151)</f>
        <v>1170.19854017282</v>
      </c>
      <c r="K1151" s="59" t="n">
        <f aca="false">J1151*EXP((mc_mu-mc_vol^2/2)*(mc_t2-mc_t1)+mc_vol*SQRT(mc_t2-mc_t1)*I1151)</f>
        <v>1457.08168161046</v>
      </c>
      <c r="L1151" s="31" t="n">
        <f aca="false">(t1_usd*J1151+t2_usd*K1151)/1000</f>
        <v>10959.8449762696</v>
      </c>
    </row>
    <row r="1152" customFormat="false" ht="15" hidden="false" customHeight="false" outlineLevel="0" collapsed="false">
      <c r="E1152" s="54" t="n">
        <v>1148</v>
      </c>
      <c r="F1152" s="61" t="n">
        <v>0.573972</v>
      </c>
      <c r="G1152" s="61" t="n">
        <v>0.131935</v>
      </c>
      <c r="H1152" s="34" t="n">
        <f aca="false">NORMSINV(F1152)</f>
        <v>0.186495764543524</v>
      </c>
      <c r="I1152" s="34" t="n">
        <f aca="false">NORMSINV(G1152)</f>
        <v>-1.11729081836654</v>
      </c>
      <c r="J1152" s="59" t="n">
        <f aca="false">mc_s0*EXP((mc_mu-mc_vol^2/2)*mc_t1+mc_vol*SQRT(mc_t1)*H1152)</f>
        <v>1166.87004457696</v>
      </c>
      <c r="K1152" s="59" t="n">
        <f aca="false">J1152*EXP((mc_mu-mc_vol^2/2)*(mc_t2-mc_t1)+mc_vol*SQRT(mc_t2-mc_t1)*I1152)</f>
        <v>996.400747859343</v>
      </c>
      <c r="L1152" s="31" t="n">
        <f aca="false">(t1_usd*J1152+t2_usd*K1152)/1000</f>
        <v>10061.2517329715</v>
      </c>
    </row>
    <row r="1153" customFormat="false" ht="15" hidden="false" customHeight="false" outlineLevel="0" collapsed="false">
      <c r="E1153" s="54" t="n">
        <v>1149</v>
      </c>
      <c r="F1153" s="61" t="n">
        <v>0.522331</v>
      </c>
      <c r="G1153" s="61" t="n">
        <v>0.845777</v>
      </c>
      <c r="H1153" s="34" t="n">
        <f aca="false">NORMSINV(F1153)</f>
        <v>0.056004779059294</v>
      </c>
      <c r="I1153" s="34" t="n">
        <f aca="false">NORMSINV(G1153)</f>
        <v>1.01848821208495</v>
      </c>
      <c r="J1153" s="59" t="n">
        <f aca="false">mc_s0*EXP((mc_mu-mc_vol^2/2)*mc_t1+mc_vol*SQRT(mc_t1)*H1153)</f>
        <v>1152.41546858011</v>
      </c>
      <c r="K1153" s="59" t="n">
        <f aca="false">J1153*EXP((mc_mu-mc_vol^2/2)*(mc_t2-mc_t1)+mc_vol*SQRT(mc_t2-mc_t1)*I1153)</f>
        <v>1377.83532658164</v>
      </c>
      <c r="L1153" s="31" t="n">
        <f aca="false">(t1_usd*J1153+t2_usd*K1153)/1000</f>
        <v>10684.7954005659</v>
      </c>
    </row>
    <row r="1154" customFormat="false" ht="15" hidden="false" customHeight="false" outlineLevel="0" collapsed="false">
      <c r="E1154" s="54" t="n">
        <v>1150</v>
      </c>
      <c r="F1154" s="61" t="n">
        <v>0.891046</v>
      </c>
      <c r="G1154" s="61" t="n">
        <v>0.992085</v>
      </c>
      <c r="H1154" s="34" t="n">
        <f aca="false">NORMSINV(F1154)</f>
        <v>1.23210999036711</v>
      </c>
      <c r="I1154" s="34" t="n">
        <f aca="false">NORMSINV(G1154)</f>
        <v>2.41281159513549</v>
      </c>
      <c r="J1154" s="59" t="n">
        <f aca="false">mc_s0*EXP((mc_mu-mc_vol^2/2)*mc_t1+mc_vol*SQRT(mc_t1)*H1154)</f>
        <v>1289.4358592549</v>
      </c>
      <c r="K1154" s="59" t="n">
        <f aca="false">J1154*EXP((mc_mu-mc_vol^2/2)*(mc_t2-mc_t1)+mc_vol*SQRT(mc_t2-mc_t1)*I1154)</f>
        <v>1920.5165832349</v>
      </c>
      <c r="L1154" s="31" t="n">
        <f aca="false">(t1_usd*J1154+t2_usd*K1154)/1000</f>
        <v>12675.0325229306</v>
      </c>
    </row>
    <row r="1155" customFormat="false" ht="15" hidden="false" customHeight="false" outlineLevel="0" collapsed="false">
      <c r="E1155" s="54" t="n">
        <v>1151</v>
      </c>
      <c r="F1155" s="61" t="n">
        <v>0.735297</v>
      </c>
      <c r="G1155" s="61" t="n">
        <v>0.286249</v>
      </c>
      <c r="H1155" s="34" t="n">
        <f aca="false">NORMSINV(F1155)</f>
        <v>0.628913022533324</v>
      </c>
      <c r="I1155" s="34" t="n">
        <f aca="false">NORMSINV(G1155)</f>
        <v>-0.564376394957144</v>
      </c>
      <c r="J1155" s="59" t="n">
        <f aca="false">mc_s0*EXP((mc_mu-mc_vol^2/2)*mc_t1+mc_vol*SQRT(mc_t1)*H1155)</f>
        <v>1217.2398121192</v>
      </c>
      <c r="K1155" s="59" t="n">
        <f aca="false">J1155*EXP((mc_mu-mc_vol^2/2)*(mc_t2-mc_t1)+mc_vol*SQRT(mc_t2-mc_t1)*I1155)</f>
        <v>1134.04474901947</v>
      </c>
      <c r="L1155" s="31" t="n">
        <f aca="false">(t1_usd*J1155+t2_usd*K1155)/1000</f>
        <v>10675.3637079714</v>
      </c>
    </row>
    <row r="1156" customFormat="false" ht="15" hidden="false" customHeight="false" outlineLevel="0" collapsed="false">
      <c r="E1156" s="54" t="n">
        <v>1152</v>
      </c>
      <c r="F1156" s="61" t="n">
        <v>0.101217</v>
      </c>
      <c r="G1156" s="61" t="n">
        <v>0.994392</v>
      </c>
      <c r="H1156" s="34" t="n">
        <f aca="false">NORMSINV(F1156)</f>
        <v>-1.27464760414064</v>
      </c>
      <c r="I1156" s="34" t="n">
        <f aca="false">NORMSINV(G1156)</f>
        <v>2.53589611802748</v>
      </c>
      <c r="J1156" s="59" t="n">
        <f aca="false">mc_s0*EXP((mc_mu-mc_vol^2/2)*mc_t1+mc_vol*SQRT(mc_t1)*H1156)</f>
        <v>1014.86209700464</v>
      </c>
      <c r="K1156" s="59" t="n">
        <f aca="false">J1156*EXP((mc_mu-mc_vol^2/2)*(mc_t2-mc_t1)+mc_vol*SQRT(mc_t2-mc_t1)*I1156)</f>
        <v>1541.16622884659</v>
      </c>
      <c r="L1156" s="31" t="n">
        <f aca="false">(t1_usd*J1156+t2_usd*K1156)/1000</f>
        <v>10032.250513841</v>
      </c>
    </row>
    <row r="1157" customFormat="false" ht="15" hidden="false" customHeight="false" outlineLevel="0" collapsed="false">
      <c r="E1157" s="54" t="n">
        <v>1153</v>
      </c>
      <c r="F1157" s="61" t="n">
        <v>0.47586</v>
      </c>
      <c r="G1157" s="61" t="n">
        <v>0.495865</v>
      </c>
      <c r="H1157" s="34" t="n">
        <f aca="false">NORMSINV(F1157)</f>
        <v>-0.0605469797825457</v>
      </c>
      <c r="I1157" s="34" t="n">
        <f aca="false">NORMSINV(G1157)</f>
        <v>-0.0103650935085275</v>
      </c>
      <c r="J1157" s="59" t="n">
        <f aca="false">mc_s0*EXP((mc_mu-mc_vol^2/2)*mc_t1+mc_vol*SQRT(mc_t1)*H1157)</f>
        <v>1139.65640413244</v>
      </c>
      <c r="K1157" s="59" t="n">
        <f aca="false">J1157*EXP((mc_mu-mc_vol^2/2)*(mc_t2-mc_t1)+mc_vol*SQRT(mc_t2-mc_t1)*I1157)</f>
        <v>1158.63205901387</v>
      </c>
      <c r="L1157" s="31" t="n">
        <f aca="false">(t1_usd*J1157+t2_usd*K1157)/1000</f>
        <v>10178.9957410535</v>
      </c>
    </row>
    <row r="1158" customFormat="false" ht="15" hidden="false" customHeight="false" outlineLevel="0" collapsed="false">
      <c r="E1158" s="54" t="n">
        <v>1154</v>
      </c>
      <c r="F1158" s="61" t="n">
        <v>0.667515</v>
      </c>
      <c r="G1158" s="61" t="n">
        <v>0.51883</v>
      </c>
      <c r="H1158" s="34" t="n">
        <f aca="false">NORMSINV(F1158)</f>
        <v>0.433061625982151</v>
      </c>
      <c r="I1158" s="34" t="n">
        <f aca="false">NORMSINV(G1158)</f>
        <v>0.0472173495532128</v>
      </c>
      <c r="J1158" s="59" t="n">
        <f aca="false">mc_s0*EXP((mc_mu-mc_vol^2/2)*mc_t1+mc_vol*SQRT(mc_t1)*H1158)</f>
        <v>1194.67909182975</v>
      </c>
      <c r="K1158" s="59" t="n">
        <f aca="false">J1158*EXP((mc_mu-mc_vol^2/2)*(mc_t2-mc_t1)+mc_vol*SQRT(mc_t2-mc_t1)*I1158)</f>
        <v>1225.64279994384</v>
      </c>
      <c r="L1158" s="31" t="n">
        <f aca="false">(t1_usd*J1158+t2_usd*K1158)/1000</f>
        <v>10691.4749627016</v>
      </c>
    </row>
    <row r="1159" customFormat="false" ht="15" hidden="false" customHeight="false" outlineLevel="0" collapsed="false">
      <c r="E1159" s="54" t="n">
        <v>1155</v>
      </c>
      <c r="F1159" s="61" t="n">
        <v>0.826576</v>
      </c>
      <c r="G1159" s="61" t="n">
        <v>0.762149</v>
      </c>
      <c r="H1159" s="34" t="n">
        <f aca="false">NORMSINV(F1159)</f>
        <v>0.940720715953613</v>
      </c>
      <c r="I1159" s="34" t="n">
        <f aca="false">NORMSINV(G1159)</f>
        <v>0.713232335863111</v>
      </c>
      <c r="J1159" s="59" t="n">
        <f aca="false">mc_s0*EXP((mc_mu-mc_vol^2/2)*mc_t1+mc_vol*SQRT(mc_t1)*H1159)</f>
        <v>1254.04024610579</v>
      </c>
      <c r="K1159" s="59" t="n">
        <f aca="false">J1159*EXP((mc_mu-mc_vol^2/2)*(mc_t2-mc_t1)+mc_vol*SQRT(mc_t2-mc_t1)*I1159)</f>
        <v>1428.91841135927</v>
      </c>
      <c r="L1159" s="31" t="n">
        <f aca="false">(t1_usd*J1159+t2_usd*K1159)/1000</f>
        <v>11493.2267043231</v>
      </c>
    </row>
    <row r="1160" customFormat="false" ht="15" hidden="false" customHeight="false" outlineLevel="0" collapsed="false">
      <c r="E1160" s="54" t="n">
        <v>1156</v>
      </c>
      <c r="F1160" s="61" t="n">
        <v>0.669457</v>
      </c>
      <c r="G1160" s="61" t="n">
        <v>0.06331</v>
      </c>
      <c r="H1160" s="34" t="n">
        <f aca="false">NORMSINV(F1160)</f>
        <v>0.438414275370081</v>
      </c>
      <c r="I1160" s="34" t="n">
        <f aca="false">NORMSINV(G1160)</f>
        <v>-1.52756732342867</v>
      </c>
      <c r="J1160" s="59" t="n">
        <f aca="false">mc_s0*EXP((mc_mu-mc_vol^2/2)*mc_t1+mc_vol*SQRT(mc_t1)*H1160)</f>
        <v>1195.29008638659</v>
      </c>
      <c r="K1160" s="59" t="n">
        <f aca="false">J1160*EXP((mc_mu-mc_vol^2/2)*(mc_t2-mc_t1)+mc_vol*SQRT(mc_t2-mc_t1)*I1160)</f>
        <v>956.763911369958</v>
      </c>
      <c r="L1160" s="31" t="n">
        <f aca="false">(t1_usd*J1160+t2_usd*K1160)/1000</f>
        <v>10184.882036309</v>
      </c>
    </row>
    <row r="1161" customFormat="false" ht="15" hidden="false" customHeight="false" outlineLevel="0" collapsed="false">
      <c r="E1161" s="54" t="n">
        <v>1157</v>
      </c>
      <c r="F1161" s="61" t="n">
        <v>0.68296</v>
      </c>
      <c r="G1161" s="61" t="n">
        <v>0.625143</v>
      </c>
      <c r="H1161" s="34" t="n">
        <f aca="false">NORMSINV(F1161)</f>
        <v>0.475992108531888</v>
      </c>
      <c r="I1161" s="34" t="n">
        <f aca="false">NORMSINV(G1161)</f>
        <v>0.319016501068994</v>
      </c>
      <c r="J1161" s="59" t="n">
        <f aca="false">mc_s0*EXP((mc_mu-mc_vol^2/2)*mc_t1+mc_vol*SQRT(mc_t1)*H1161)</f>
        <v>1199.58832964923</v>
      </c>
      <c r="K1161" s="59" t="n">
        <f aca="false">J1161*EXP((mc_mu-mc_vol^2/2)*(mc_t2-mc_t1)+mc_vol*SQRT(mc_t2-mc_t1)*I1161)</f>
        <v>1284.53909265085</v>
      </c>
      <c r="L1161" s="31" t="n">
        <f aca="false">(t1_usd*J1161+t2_usd*K1161)/1000</f>
        <v>10837.7425835812</v>
      </c>
    </row>
    <row r="1162" customFormat="false" ht="15" hidden="false" customHeight="false" outlineLevel="0" collapsed="false">
      <c r="E1162" s="54" t="n">
        <v>1158</v>
      </c>
      <c r="F1162" s="61" t="n">
        <v>0.004286</v>
      </c>
      <c r="G1162" s="61" t="n">
        <v>0.547857</v>
      </c>
      <c r="H1162" s="34" t="n">
        <f aca="false">NORMSINV(F1162)</f>
        <v>-2.62866801122928</v>
      </c>
      <c r="I1162" s="34" t="n">
        <f aca="false">NORMSINV(G1162)</f>
        <v>0.120248877498741</v>
      </c>
      <c r="J1162" s="59" t="n">
        <f aca="false">mc_s0*EXP((mc_mu-mc_vol^2/2)*mc_t1+mc_vol*SQRT(mc_t1)*H1162)</f>
        <v>891.734491869811</v>
      </c>
      <c r="K1162" s="59" t="n">
        <f aca="false">J1162*EXP((mc_mu-mc_vol^2/2)*(mc_t2-mc_t1)+mc_vol*SQRT(mc_t2-mc_t1)*I1162)</f>
        <v>925.436519946477</v>
      </c>
      <c r="L1162" s="31" t="n">
        <f aca="false">(t1_usd*J1162+t2_usd*K1162)/1000</f>
        <v>8000.47083098698</v>
      </c>
    </row>
    <row r="1163" customFormat="false" ht="15" hidden="false" customHeight="false" outlineLevel="0" collapsed="false">
      <c r="E1163" s="54" t="n">
        <v>1159</v>
      </c>
      <c r="F1163" s="61" t="n">
        <v>0.713502</v>
      </c>
      <c r="G1163" s="61" t="n">
        <v>0.056111</v>
      </c>
      <c r="H1163" s="34" t="n">
        <f aca="false">NORMSINV(F1163)</f>
        <v>0.563644640236397</v>
      </c>
      <c r="I1163" s="34" t="n">
        <f aca="false">NORMSINV(G1163)</f>
        <v>-1.58828459218255</v>
      </c>
      <c r="J1163" s="59" t="n">
        <f aca="false">mc_s0*EXP((mc_mu-mc_vol^2/2)*mc_t1+mc_vol*SQRT(mc_t1)*H1163)</f>
        <v>1209.67440816849</v>
      </c>
      <c r="K1163" s="59" t="n">
        <f aca="false">J1163*EXP((mc_mu-mc_vol^2/2)*(mc_t2-mc_t1)+mc_vol*SQRT(mc_t2-mc_t1)*I1163)</f>
        <v>959.056864750164</v>
      </c>
      <c r="L1163" s="31" t="n">
        <f aca="false">(t1_usd*J1163+t2_usd*K1163)/1000</f>
        <v>10289.9289002047</v>
      </c>
    </row>
    <row r="1164" customFormat="false" ht="15" hidden="false" customHeight="false" outlineLevel="0" collapsed="false">
      <c r="E1164" s="54" t="n">
        <v>1160</v>
      </c>
      <c r="F1164" s="61" t="n">
        <v>0.463089</v>
      </c>
      <c r="G1164" s="61" t="n">
        <v>0.820191</v>
      </c>
      <c r="H1164" s="34" t="n">
        <f aca="false">NORMSINV(F1164)</f>
        <v>-0.0926545568765823</v>
      </c>
      <c r="I1164" s="34" t="n">
        <f aca="false">NORMSINV(G1164)</f>
        <v>0.916093226803179</v>
      </c>
      <c r="J1164" s="59" t="n">
        <f aca="false">mc_s0*EXP((mc_mu-mc_vol^2/2)*mc_t1+mc_vol*SQRT(mc_t1)*H1164)</f>
        <v>1136.16643248946</v>
      </c>
      <c r="K1164" s="59" t="n">
        <f aca="false">J1164*EXP((mc_mu-mc_vol^2/2)*(mc_t2-mc_t1)+mc_vol*SQRT(mc_t2-mc_t1)*I1164)</f>
        <v>1336.66349570657</v>
      </c>
      <c r="L1164" s="31" t="n">
        <f aca="false">(t1_usd*J1164+t2_usd*K1164)/1000</f>
        <v>10492.8256692687</v>
      </c>
    </row>
    <row r="1165" customFormat="false" ht="15" hidden="false" customHeight="false" outlineLevel="0" collapsed="false">
      <c r="E1165" s="54" t="n">
        <v>1161</v>
      </c>
      <c r="F1165" s="61" t="n">
        <v>0.360524</v>
      </c>
      <c r="G1165" s="61" t="n">
        <v>0.156264</v>
      </c>
      <c r="H1165" s="34" t="n">
        <f aca="false">NORMSINV(F1165)</f>
        <v>-0.35705851546287</v>
      </c>
      <c r="I1165" s="34" t="n">
        <f aca="false">NORMSINV(G1165)</f>
        <v>-1.00993172890857</v>
      </c>
      <c r="J1165" s="59" t="n">
        <f aca="false">mc_s0*EXP((mc_mu-mc_vol^2/2)*mc_t1+mc_vol*SQRT(mc_t1)*H1165)</f>
        <v>1107.8301217094</v>
      </c>
      <c r="K1165" s="59" t="n">
        <f aca="false">J1165*EXP((mc_mu-mc_vol^2/2)*(mc_t2-mc_t1)+mc_vol*SQRT(mc_t2-mc_t1)*I1165)</f>
        <v>962.127390616892</v>
      </c>
      <c r="L1165" s="31" t="n">
        <f aca="false">(t1_usd*J1165+t2_usd*K1165)/1000</f>
        <v>9582.8528941379</v>
      </c>
    </row>
    <row r="1166" customFormat="false" ht="15" hidden="false" customHeight="false" outlineLevel="0" collapsed="false">
      <c r="E1166" s="54" t="n">
        <v>1162</v>
      </c>
      <c r="F1166" s="61" t="n">
        <v>0.756126</v>
      </c>
      <c r="G1166" s="61" t="n">
        <v>0.103425</v>
      </c>
      <c r="H1166" s="34" t="n">
        <f aca="false">NORMSINV(F1166)</f>
        <v>0.693895094786705</v>
      </c>
      <c r="I1166" s="34" t="n">
        <f aca="false">NORMSINV(G1166)</f>
        <v>-1.26227458100963</v>
      </c>
      <c r="J1166" s="59" t="n">
        <f aca="false">mc_s0*EXP((mc_mu-mc_vol^2/2)*mc_t1+mc_vol*SQRT(mc_t1)*H1166)</f>
        <v>1224.81903259258</v>
      </c>
      <c r="K1166" s="59" t="n">
        <f aca="false">J1166*EXP((mc_mu-mc_vol^2/2)*(mc_t2-mc_t1)+mc_vol*SQRT(mc_t2-mc_t1)*I1166)</f>
        <v>1022.25801012232</v>
      </c>
      <c r="L1166" s="31" t="n">
        <f aca="false">(t1_usd*J1166+t2_usd*K1166)/1000</f>
        <v>10516.0234473804</v>
      </c>
    </row>
    <row r="1167" customFormat="false" ht="15" hidden="false" customHeight="false" outlineLevel="0" collapsed="false">
      <c r="E1167" s="54" t="n">
        <v>1163</v>
      </c>
      <c r="F1167" s="61" t="n">
        <v>0.702028</v>
      </c>
      <c r="G1167" s="61" t="n">
        <v>0.211067</v>
      </c>
      <c r="H1167" s="34" t="n">
        <f aca="false">NORMSINV(F1167)</f>
        <v>0.530242222682703</v>
      </c>
      <c r="I1167" s="34" t="n">
        <f aca="false">NORMSINV(G1167)</f>
        <v>-0.802724480760934</v>
      </c>
      <c r="J1167" s="59" t="n">
        <f aca="false">mc_s0*EXP((mc_mu-mc_vol^2/2)*mc_t1+mc_vol*SQRT(mc_t1)*H1167)</f>
        <v>1205.82086722009</v>
      </c>
      <c r="K1167" s="59" t="n">
        <f aca="false">J1167*EXP((mc_mu-mc_vol^2/2)*(mc_t2-mc_t1)+mc_vol*SQRT(mc_t2-mc_t1)*I1167)</f>
        <v>1081.99151079371</v>
      </c>
      <c r="L1167" s="31" t="n">
        <f aca="false">(t1_usd*J1167+t2_usd*K1167)/1000</f>
        <v>10496.5299410487</v>
      </c>
    </row>
    <row r="1168" customFormat="false" ht="15" hidden="false" customHeight="false" outlineLevel="0" collapsed="false">
      <c r="E1168" s="54" t="n">
        <v>1164</v>
      </c>
      <c r="F1168" s="61" t="n">
        <v>0.572405</v>
      </c>
      <c r="G1168" s="61" t="n">
        <v>0.420853</v>
      </c>
      <c r="H1168" s="34" t="n">
        <f aca="false">NORMSINV(F1168)</f>
        <v>0.182500451579887</v>
      </c>
      <c r="I1168" s="34" t="n">
        <f aca="false">NORMSINV(G1168)</f>
        <v>-0.199711780340297</v>
      </c>
      <c r="J1168" s="59" t="n">
        <f aca="false">mc_s0*EXP((mc_mu-mc_vol^2/2)*mc_t1+mc_vol*SQRT(mc_t1)*H1168)</f>
        <v>1166.42480201339</v>
      </c>
      <c r="K1168" s="59" t="n">
        <f aca="false">J1168*EXP((mc_mu-mc_vol^2/2)*(mc_t2-mc_t1)+mc_vol*SQRT(mc_t2-mc_t1)*I1168)</f>
        <v>1150.98353918148</v>
      </c>
      <c r="L1168" s="31" t="n">
        <f aca="false">(t1_usd*J1168+t2_usd*K1168)/1000</f>
        <v>10351.8423385386</v>
      </c>
    </row>
    <row r="1169" customFormat="false" ht="15" hidden="false" customHeight="false" outlineLevel="0" collapsed="false">
      <c r="E1169" s="54" t="n">
        <v>1165</v>
      </c>
      <c r="F1169" s="61" t="n">
        <v>0.498128</v>
      </c>
      <c r="G1169" s="61" t="n">
        <v>0.203738</v>
      </c>
      <c r="H1169" s="34" t="n">
        <f aca="false">NORMSINV(F1169)</f>
        <v>-0.00469242535035841</v>
      </c>
      <c r="I1169" s="34" t="n">
        <f aca="false">NORMSINV(G1169)</f>
        <v>-0.828343489724059</v>
      </c>
      <c r="J1169" s="59" t="n">
        <f aca="false">mc_s0*EXP((mc_mu-mc_vol^2/2)*mc_t1+mc_vol*SQRT(mc_t1)*H1169)</f>
        <v>1145.75314663715</v>
      </c>
      <c r="K1169" s="59" t="n">
        <f aca="false">J1169*EXP((mc_mu-mc_vol^2/2)*(mc_t2-mc_t1)+mc_vol*SQRT(mc_t2-mc_t1)*I1169)</f>
        <v>1023.94989124951</v>
      </c>
      <c r="L1169" s="31" t="n">
        <f aca="false">(t1_usd*J1169+t2_usd*K1169)/1000</f>
        <v>9965.7768198341</v>
      </c>
    </row>
    <row r="1170" customFormat="false" ht="15" hidden="false" customHeight="false" outlineLevel="0" collapsed="false">
      <c r="E1170" s="54" t="n">
        <v>1166</v>
      </c>
      <c r="F1170" s="61" t="n">
        <v>0.801294</v>
      </c>
      <c r="G1170" s="61" t="n">
        <v>0.608894</v>
      </c>
      <c r="H1170" s="34" t="n">
        <f aca="false">NORMSINV(F1170)</f>
        <v>0.846252320640331</v>
      </c>
      <c r="I1170" s="34" t="n">
        <f aca="false">NORMSINV(G1170)</f>
        <v>0.27643757496175</v>
      </c>
      <c r="J1170" s="59" t="n">
        <f aca="false">mc_s0*EXP((mc_mu-mc_vol^2/2)*mc_t1+mc_vol*SQRT(mc_t1)*H1170)</f>
        <v>1242.77485620695</v>
      </c>
      <c r="K1170" s="59" t="n">
        <f aca="false">J1170*EXP((mc_mu-mc_vol^2/2)*(mc_t2-mc_t1)+mc_vol*SQRT(mc_t2-mc_t1)*I1170)</f>
        <v>1321.88407636847</v>
      </c>
      <c r="L1170" s="31" t="n">
        <f aca="false">(t1_usd*J1170+t2_usd*K1170)/1000</f>
        <v>11211.0037385487</v>
      </c>
    </row>
    <row r="1171" customFormat="false" ht="15" hidden="false" customHeight="false" outlineLevel="0" collapsed="false">
      <c r="E1171" s="54" t="n">
        <v>1167</v>
      </c>
      <c r="F1171" s="61" t="n">
        <v>0.467992</v>
      </c>
      <c r="G1171" s="61" t="n">
        <v>0.542238</v>
      </c>
      <c r="H1171" s="34" t="n">
        <f aca="false">NORMSINV(F1171)</f>
        <v>-0.0803184306879685</v>
      </c>
      <c r="I1171" s="34" t="n">
        <f aca="false">NORMSINV(G1171)</f>
        <v>0.106073545928867</v>
      </c>
      <c r="J1171" s="59" t="n">
        <f aca="false">mc_s0*EXP((mc_mu-mc_vol^2/2)*mc_t1+mc_vol*SQRT(mc_t1)*H1171)</f>
        <v>1137.50605647084</v>
      </c>
      <c r="K1171" s="59" t="n">
        <f aca="false">J1171*EXP((mc_mu-mc_vol^2/2)*(mc_t2-mc_t1)+mc_vol*SQRT(mc_t2-mc_t1)*I1171)</f>
        <v>1177.86251345616</v>
      </c>
      <c r="L1171" s="31" t="n">
        <f aca="false">(t1_usd*J1171+t2_usd*K1171)/1000</f>
        <v>10200.4811708626</v>
      </c>
    </row>
    <row r="1172" customFormat="false" ht="15" hidden="false" customHeight="false" outlineLevel="0" collapsed="false">
      <c r="E1172" s="54" t="n">
        <v>1168</v>
      </c>
      <c r="F1172" s="61" t="n">
        <v>0.035856</v>
      </c>
      <c r="G1172" s="61" t="n">
        <v>0.102501</v>
      </c>
      <c r="H1172" s="34" t="n">
        <f aca="false">NORMSINV(F1172)</f>
        <v>-1.80094214071882</v>
      </c>
      <c r="I1172" s="34" t="n">
        <f aca="false">NORMSINV(G1172)</f>
        <v>-1.26742882048079</v>
      </c>
      <c r="J1172" s="59" t="n">
        <f aca="false">mc_s0*EXP((mc_mu-mc_vol^2/2)*mc_t1+mc_vol*SQRT(mc_t1)*H1172)</f>
        <v>965.103144851003</v>
      </c>
      <c r="K1172" s="59" t="n">
        <f aca="false">J1172*EXP((mc_mu-mc_vol^2/2)*(mc_t2-mc_t1)+mc_vol*SQRT(mc_t2-mc_t1)*I1172)</f>
        <v>804.840016029156</v>
      </c>
      <c r="L1172" s="31" t="n">
        <f aca="false">(t1_usd*J1172+t2_usd*K1172)/1000</f>
        <v>8284.91804441242</v>
      </c>
    </row>
    <row r="1173" customFormat="false" ht="15" hidden="false" customHeight="false" outlineLevel="0" collapsed="false">
      <c r="E1173" s="54" t="n">
        <v>1169</v>
      </c>
      <c r="F1173" s="61" t="n">
        <v>0.936498</v>
      </c>
      <c r="G1173" s="61" t="n">
        <v>0.510391</v>
      </c>
      <c r="H1173" s="34" t="n">
        <f aca="false">NORMSINV(F1173)</f>
        <v>1.52602354853652</v>
      </c>
      <c r="I1173" s="34" t="n">
        <f aca="false">NORMSINV(G1173)</f>
        <v>0.0260493201370345</v>
      </c>
      <c r="J1173" s="59" t="n">
        <f aca="false">mc_s0*EXP((mc_mu-mc_vol^2/2)*mc_t1+mc_vol*SQRT(mc_t1)*H1173)</f>
        <v>1326.15025385717</v>
      </c>
      <c r="K1173" s="59" t="n">
        <f aca="false">J1173*EXP((mc_mu-mc_vol^2/2)*(mc_t2-mc_t1)+mc_vol*SQRT(mc_t2-mc_t1)*I1173)</f>
        <v>1355.9903806637</v>
      </c>
      <c r="L1173" s="31" t="n">
        <f aca="false">(t1_usd*J1173+t2_usd*K1173)/1000</f>
        <v>11859.4335002612</v>
      </c>
    </row>
    <row r="1174" customFormat="false" ht="15" hidden="false" customHeight="false" outlineLevel="0" collapsed="false">
      <c r="E1174" s="54" t="n">
        <v>1170</v>
      </c>
      <c r="F1174" s="61" t="n">
        <v>0.579038</v>
      </c>
      <c r="G1174" s="61" t="n">
        <v>0.895267</v>
      </c>
      <c r="H1174" s="34" t="n">
        <f aca="false">NORMSINV(F1174)</f>
        <v>0.199433062207563</v>
      </c>
      <c r="I1174" s="34" t="n">
        <f aca="false">NORMSINV(G1174)</f>
        <v>1.25503515048833</v>
      </c>
      <c r="J1174" s="59" t="n">
        <f aca="false">mc_s0*EXP((mc_mu-mc_vol^2/2)*mc_t1+mc_vol*SQRT(mc_t1)*H1174)</f>
        <v>1168.31295938369</v>
      </c>
      <c r="K1174" s="59" t="n">
        <f aca="false">J1174*EXP((mc_mu-mc_vol^2/2)*(mc_t2-mc_t1)+mc_vol*SQRT(mc_t2-mc_t1)*I1174)</f>
        <v>1449.8969698202</v>
      </c>
      <c r="L1174" s="31" t="n">
        <f aca="false">(t1_usd*J1174+t2_usd*K1174)/1000</f>
        <v>10932.9949583442</v>
      </c>
    </row>
    <row r="1175" customFormat="false" ht="15" hidden="false" customHeight="false" outlineLevel="0" collapsed="false">
      <c r="E1175" s="54" t="n">
        <v>1171</v>
      </c>
      <c r="F1175" s="61" t="n">
        <v>0.96009</v>
      </c>
      <c r="G1175" s="61" t="n">
        <v>0.711357</v>
      </c>
      <c r="H1175" s="34" t="n">
        <f aca="false">NORMSINV(F1175)</f>
        <v>1.75173142869077</v>
      </c>
      <c r="I1175" s="34" t="n">
        <f aca="false">NORMSINV(G1175)</f>
        <v>0.557353396450158</v>
      </c>
      <c r="J1175" s="59" t="n">
        <f aca="false">mc_s0*EXP((mc_mu-mc_vol^2/2)*mc_t1+mc_vol*SQRT(mc_t1)*H1175)</f>
        <v>1355.05278351151</v>
      </c>
      <c r="K1175" s="59" t="n">
        <f aca="false">J1175*EXP((mc_mu-mc_vol^2/2)*(mc_t2-mc_t1)+mc_vol*SQRT(mc_t2-mc_t1)*I1175)</f>
        <v>1506.54991775904</v>
      </c>
      <c r="L1175" s="31" t="n">
        <f aca="false">(t1_usd*J1175+t2_usd*K1175)/1000</f>
        <v>12347.8143283227</v>
      </c>
    </row>
    <row r="1176" customFormat="false" ht="15" hidden="false" customHeight="false" outlineLevel="0" collapsed="false">
      <c r="E1176" s="54" t="n">
        <v>1172</v>
      </c>
      <c r="F1176" s="61" t="n">
        <v>0.658617</v>
      </c>
      <c r="G1176" s="61" t="n">
        <v>0.751238</v>
      </c>
      <c r="H1176" s="34" t="n">
        <f aca="false">NORMSINV(F1176)</f>
        <v>0.408691598649686</v>
      </c>
      <c r="I1176" s="34" t="n">
        <f aca="false">NORMSINV(G1176)</f>
        <v>0.67839070655255</v>
      </c>
      <c r="J1176" s="59" t="n">
        <f aca="false">mc_s0*EXP((mc_mu-mc_vol^2/2)*mc_t1+mc_vol*SQRT(mc_t1)*H1176)</f>
        <v>1191.90124604275</v>
      </c>
      <c r="K1176" s="59" t="n">
        <f aca="false">J1176*EXP((mc_mu-mc_vol^2/2)*(mc_t2-mc_t1)+mc_vol*SQRT(mc_t2-mc_t1)*I1176)</f>
        <v>1350.67731388311</v>
      </c>
      <c r="L1176" s="31" t="n">
        <f aca="false">(t1_usd*J1176+t2_usd*K1176)/1000</f>
        <v>10909.5956186772</v>
      </c>
    </row>
    <row r="1177" customFormat="false" ht="15" hidden="false" customHeight="false" outlineLevel="0" collapsed="false">
      <c r="E1177" s="54" t="n">
        <v>1173</v>
      </c>
      <c r="F1177" s="61" t="n">
        <v>0.801048</v>
      </c>
      <c r="G1177" s="61" t="n">
        <v>0.543286</v>
      </c>
      <c r="H1177" s="34" t="n">
        <f aca="false">NORMSINV(F1177)</f>
        <v>0.845370517744626</v>
      </c>
      <c r="I1177" s="34" t="n">
        <f aca="false">NORMSINV(G1177)</f>
        <v>0.108715685964619</v>
      </c>
      <c r="J1177" s="59" t="n">
        <f aca="false">mc_s0*EXP((mc_mu-mc_vol^2/2)*mc_t1+mc_vol*SQRT(mc_t1)*H1177)</f>
        <v>1242.67017904549</v>
      </c>
      <c r="K1177" s="59" t="n">
        <f aca="false">J1177*EXP((mc_mu-mc_vol^2/2)*(mc_t2-mc_t1)+mc_vol*SQRT(mc_t2-mc_t1)*I1177)</f>
        <v>1287.29354631307</v>
      </c>
      <c r="L1177" s="31" t="n">
        <f aca="false">(t1_usd*J1177+t2_usd*K1177)/1000</f>
        <v>11144.5489913133</v>
      </c>
    </row>
    <row r="1178" customFormat="false" ht="15" hidden="false" customHeight="false" outlineLevel="0" collapsed="false">
      <c r="E1178" s="54" t="n">
        <v>1174</v>
      </c>
      <c r="F1178" s="61" t="n">
        <v>0.394687</v>
      </c>
      <c r="G1178" s="61" t="n">
        <v>0.867879</v>
      </c>
      <c r="H1178" s="34" t="n">
        <f aca="false">NORMSINV(F1178)</f>
        <v>-0.267123596657119</v>
      </c>
      <c r="I1178" s="34" t="n">
        <f aca="false">NORMSINV(G1178)</f>
        <v>1.11642092666831</v>
      </c>
      <c r="J1178" s="59" t="n">
        <f aca="false">mc_s0*EXP((mc_mu-mc_vol^2/2)*mc_t1+mc_vol*SQRT(mc_t1)*H1178)</f>
        <v>1117.38828781951</v>
      </c>
      <c r="K1178" s="59" t="n">
        <f aca="false">J1178*EXP((mc_mu-mc_vol^2/2)*(mc_t2-mc_t1)+mc_vol*SQRT(mc_t2-mc_t1)*I1178)</f>
        <v>1356.73506066427</v>
      </c>
      <c r="L1178" s="31" t="n">
        <f aca="false">(t1_usd*J1178+t2_usd*K1178)/1000</f>
        <v>10399.5146299987</v>
      </c>
    </row>
    <row r="1179" customFormat="false" ht="15" hidden="false" customHeight="false" outlineLevel="0" collapsed="false">
      <c r="E1179" s="54" t="n">
        <v>1175</v>
      </c>
      <c r="F1179" s="61" t="n">
        <v>0.477777</v>
      </c>
      <c r="G1179" s="61" t="n">
        <v>0.699076</v>
      </c>
      <c r="H1179" s="34" t="n">
        <f aca="false">NORMSINV(F1179)</f>
        <v>-0.0557336403729564</v>
      </c>
      <c r="I1179" s="34" t="n">
        <f aca="false">NORMSINV(G1179)</f>
        <v>0.521744839853857</v>
      </c>
      <c r="J1179" s="59" t="n">
        <f aca="false">mc_s0*EXP((mc_mu-mc_vol^2/2)*mc_t1+mc_vol*SQRT(mc_t1)*H1179)</f>
        <v>1140.18051904372</v>
      </c>
      <c r="K1179" s="59" t="n">
        <f aca="false">J1179*EXP((mc_mu-mc_vol^2/2)*(mc_t2-mc_t1)+mc_vol*SQRT(mc_t2-mc_t1)*I1179)</f>
        <v>1260.56084791637</v>
      </c>
      <c r="L1179" s="31" t="n">
        <f aca="false">(t1_usd*J1179+t2_usd*K1179)/1000</f>
        <v>10376.3292443471</v>
      </c>
    </row>
    <row r="1180" customFormat="false" ht="15" hidden="false" customHeight="false" outlineLevel="0" collapsed="false">
      <c r="E1180" s="54" t="n">
        <v>1176</v>
      </c>
      <c r="F1180" s="61" t="n">
        <v>0.388767</v>
      </c>
      <c r="G1180" s="61" t="n">
        <v>0.233214</v>
      </c>
      <c r="H1180" s="34" t="n">
        <f aca="false">NORMSINV(F1180)</f>
        <v>-0.282534104101389</v>
      </c>
      <c r="I1180" s="34" t="n">
        <f aca="false">NORMSINV(G1180)</f>
        <v>-0.728303206380004</v>
      </c>
      <c r="J1180" s="59" t="n">
        <f aca="false">mc_s0*EXP((mc_mu-mc_vol^2/2)*mc_t1+mc_vol*SQRT(mc_t1)*H1180)</f>
        <v>1115.74464407613</v>
      </c>
      <c r="K1180" s="59" t="n">
        <f aca="false">J1180*EXP((mc_mu-mc_vol^2/2)*(mc_t2-mc_t1)+mc_vol*SQRT(mc_t2-mc_t1)*I1180)</f>
        <v>1012.97656714531</v>
      </c>
      <c r="L1180" s="31" t="n">
        <f aca="false">(t1_usd*J1180+t2_usd*K1180)/1000</f>
        <v>9734.86798610899</v>
      </c>
    </row>
    <row r="1181" customFormat="false" ht="15" hidden="false" customHeight="false" outlineLevel="0" collapsed="false">
      <c r="E1181" s="54" t="n">
        <v>1177</v>
      </c>
      <c r="F1181" s="61" t="n">
        <v>0.543416</v>
      </c>
      <c r="G1181" s="61" t="n">
        <v>0.533908</v>
      </c>
      <c r="H1181" s="34" t="n">
        <f aca="false">NORMSINV(F1181)</f>
        <v>0.109043484884138</v>
      </c>
      <c r="I1181" s="34" t="n">
        <f aca="false">NORMSINV(G1181)</f>
        <v>0.0850973463024015</v>
      </c>
      <c r="J1181" s="59" t="n">
        <f aca="false">mc_s0*EXP((mc_mu-mc_vol^2/2)*mc_t1+mc_vol*SQRT(mc_t1)*H1181)</f>
        <v>1158.26887750375</v>
      </c>
      <c r="K1181" s="59" t="n">
        <f aca="false">J1181*EXP((mc_mu-mc_vol^2/2)*(mc_t2-mc_t1)+mc_vol*SQRT(mc_t2-mc_t1)*I1181)</f>
        <v>1195.40376557306</v>
      </c>
      <c r="L1181" s="31" t="n">
        <f aca="false">(t1_usd*J1181+t2_usd*K1181)/1000</f>
        <v>10379.1492971151</v>
      </c>
    </row>
    <row r="1182" customFormat="false" ht="15" hidden="false" customHeight="false" outlineLevel="0" collapsed="false">
      <c r="E1182" s="54" t="n">
        <v>1178</v>
      </c>
      <c r="F1182" s="61" t="n">
        <v>0.154107</v>
      </c>
      <c r="G1182" s="61" t="n">
        <v>0.737895</v>
      </c>
      <c r="H1182" s="34" t="n">
        <f aca="false">NORMSINV(F1182)</f>
        <v>-1.0189767595652</v>
      </c>
      <c r="I1182" s="34" t="n">
        <f aca="false">NORMSINV(G1182)</f>
        <v>0.636869271349123</v>
      </c>
      <c r="J1182" s="59" t="n">
        <f aca="false">mc_s0*EXP((mc_mu-mc_vol^2/2)*mc_t1+mc_vol*SQRT(mc_t1)*H1182)</f>
        <v>1039.95255143718</v>
      </c>
      <c r="K1182" s="59" t="n">
        <f aca="false">J1182*EXP((mc_mu-mc_vol^2/2)*(mc_t2-mc_t1)+mc_vol*SQRT(mc_t2-mc_t1)*I1182)</f>
        <v>1170.80091268466</v>
      </c>
      <c r="L1182" s="31" t="n">
        <f aca="false">(t1_usd*J1182+t2_usd*K1182)/1000</f>
        <v>9504.18959416109</v>
      </c>
    </row>
    <row r="1183" customFormat="false" ht="15" hidden="false" customHeight="false" outlineLevel="0" collapsed="false">
      <c r="E1183" s="54" t="n">
        <v>1179</v>
      </c>
      <c r="F1183" s="61" t="n">
        <v>0.742264</v>
      </c>
      <c r="G1183" s="61" t="n">
        <v>0.875591</v>
      </c>
      <c r="H1183" s="34" t="n">
        <f aca="false">NORMSINV(F1183)</f>
        <v>0.650340967290272</v>
      </c>
      <c r="I1183" s="34" t="n">
        <f aca="false">NORMSINV(G1183)</f>
        <v>1.15322510903176</v>
      </c>
      <c r="J1183" s="59" t="n">
        <f aca="false">mc_s0*EXP((mc_mu-mc_vol^2/2)*mc_t1+mc_vol*SQRT(mc_t1)*H1183)</f>
        <v>1219.7338753519</v>
      </c>
      <c r="K1183" s="59" t="n">
        <f aca="false">J1183*EXP((mc_mu-mc_vol^2/2)*(mc_t2-mc_t1)+mc_vol*SQRT(mc_t2-mc_t1)*I1183)</f>
        <v>1489.61818473872</v>
      </c>
      <c r="L1183" s="31" t="n">
        <f aca="false">(t1_usd*J1183+t2_usd*K1183)/1000</f>
        <v>11368.4116784668</v>
      </c>
    </row>
    <row r="1184" customFormat="false" ht="15" hidden="false" customHeight="false" outlineLevel="0" collapsed="false">
      <c r="E1184" s="54" t="n">
        <v>1180</v>
      </c>
      <c r="F1184" s="61" t="n">
        <v>0.584673</v>
      </c>
      <c r="G1184" s="61" t="n">
        <v>0.722814</v>
      </c>
      <c r="H1184" s="34" t="n">
        <f aca="false">NORMSINV(F1184)</f>
        <v>0.213862864569623</v>
      </c>
      <c r="I1184" s="34" t="n">
        <f aca="false">NORMSINV(G1184)</f>
        <v>0.591221528192</v>
      </c>
      <c r="J1184" s="59" t="n">
        <f aca="false">mc_s0*EXP((mc_mu-mc_vol^2/2)*mc_t1+mc_vol*SQRT(mc_t1)*H1184)</f>
        <v>1169.92444031313</v>
      </c>
      <c r="K1184" s="59" t="n">
        <f aca="false">J1184*EXP((mc_mu-mc_vol^2/2)*(mc_t2-mc_t1)+mc_vol*SQRT(mc_t2-mc_t1)*I1184)</f>
        <v>1307.68494828203</v>
      </c>
      <c r="L1184" s="31" t="n">
        <f aca="false">(t1_usd*J1184+t2_usd*K1184)/1000</f>
        <v>10674.0724839278</v>
      </c>
    </row>
    <row r="1185" customFormat="false" ht="15" hidden="false" customHeight="false" outlineLevel="0" collapsed="false">
      <c r="E1185" s="54" t="n">
        <v>1181</v>
      </c>
      <c r="F1185" s="61" t="n">
        <v>0.581313</v>
      </c>
      <c r="G1185" s="61" t="n">
        <v>0.88397</v>
      </c>
      <c r="H1185" s="34" t="n">
        <f aca="false">NORMSINV(F1185)</f>
        <v>0.205253592368084</v>
      </c>
      <c r="I1185" s="34" t="n">
        <f aca="false">NORMSINV(G1185)</f>
        <v>1.19506918588334</v>
      </c>
      <c r="J1185" s="59" t="n">
        <f aca="false">mc_s0*EXP((mc_mu-mc_vol^2/2)*mc_t1+mc_vol*SQRT(mc_t1)*H1185)</f>
        <v>1168.96271302964</v>
      </c>
      <c r="K1185" s="59" t="n">
        <f aca="false">J1185*EXP((mc_mu-mc_vol^2/2)*(mc_t2-mc_t1)+mc_vol*SQRT(mc_t2-mc_t1)*I1185)</f>
        <v>1437.05842332702</v>
      </c>
      <c r="L1185" s="31" t="n">
        <f aca="false">(t1_usd*J1185+t2_usd*K1185)/1000</f>
        <v>10913.1499955288</v>
      </c>
    </row>
    <row r="1186" customFormat="false" ht="15" hidden="false" customHeight="false" outlineLevel="0" collapsed="false">
      <c r="E1186" s="54" t="n">
        <v>1182</v>
      </c>
      <c r="F1186" s="61" t="n">
        <v>0.65487</v>
      </c>
      <c r="G1186" s="61" t="n">
        <v>0.639483</v>
      </c>
      <c r="H1186" s="34" t="n">
        <f aca="false">NORMSINV(F1186)</f>
        <v>0.39850225011879</v>
      </c>
      <c r="I1186" s="34" t="n">
        <f aca="false">NORMSINV(G1186)</f>
        <v>0.357077216844644</v>
      </c>
      <c r="J1186" s="59" t="n">
        <f aca="false">mc_s0*EXP((mc_mu-mc_vol^2/2)*mc_t1+mc_vol*SQRT(mc_t1)*H1186)</f>
        <v>1190.74171706746</v>
      </c>
      <c r="K1186" s="59" t="n">
        <f aca="false">J1186*EXP((mc_mu-mc_vol^2/2)*(mc_t2-mc_t1)+mc_vol*SQRT(mc_t2-mc_t1)*I1186)</f>
        <v>1282.7369617689</v>
      </c>
      <c r="L1186" s="31" t="n">
        <f aca="false">(t1_usd*J1186+t2_usd*K1186)/1000</f>
        <v>10772.3922468332</v>
      </c>
    </row>
    <row r="1187" customFormat="false" ht="15" hidden="false" customHeight="false" outlineLevel="0" collapsed="false">
      <c r="E1187" s="54" t="n">
        <v>1183</v>
      </c>
      <c r="F1187" s="61" t="n">
        <v>0.865175</v>
      </c>
      <c r="G1187" s="61" t="n">
        <v>0.754031</v>
      </c>
      <c r="H1187" s="34" t="n">
        <f aca="false">NORMSINV(F1187)</f>
        <v>1.10386892630285</v>
      </c>
      <c r="I1187" s="34" t="n">
        <f aca="false">NORMSINV(G1187)</f>
        <v>0.687229686150395</v>
      </c>
      <c r="J1187" s="59" t="n">
        <f aca="false">mc_s0*EXP((mc_mu-mc_vol^2/2)*mc_t1+mc_vol*SQRT(mc_t1)*H1187)</f>
        <v>1273.73672207528</v>
      </c>
      <c r="K1187" s="59" t="n">
        <f aca="false">J1187*EXP((mc_mu-mc_vol^2/2)*(mc_t2-mc_t1)+mc_vol*SQRT(mc_t2-mc_t1)*I1187)</f>
        <v>1445.42631680754</v>
      </c>
      <c r="L1187" s="31" t="n">
        <f aca="false">(t1_usd*J1187+t2_usd*K1187)/1000</f>
        <v>11662.4670564613</v>
      </c>
    </row>
    <row r="1188" customFormat="false" ht="15" hidden="false" customHeight="false" outlineLevel="0" collapsed="false">
      <c r="E1188" s="54" t="n">
        <v>1184</v>
      </c>
      <c r="F1188" s="61" t="n">
        <v>0.51573</v>
      </c>
      <c r="G1188" s="61" t="n">
        <v>0.928298</v>
      </c>
      <c r="H1188" s="34" t="n">
        <f aca="false">NORMSINV(F1188)</f>
        <v>0.0394394848835626</v>
      </c>
      <c r="I1188" s="34" t="n">
        <f aca="false">NORMSINV(G1188)</f>
        <v>1.46323166146066</v>
      </c>
      <c r="J1188" s="59" t="n">
        <f aca="false">mc_s0*EXP((mc_mu-mc_vol^2/2)*mc_t1+mc_vol*SQRT(mc_t1)*H1188)</f>
        <v>1150.59337397948</v>
      </c>
      <c r="K1188" s="59" t="n">
        <f aca="false">J1188*EXP((mc_mu-mc_vol^2/2)*(mc_t2-mc_t1)+mc_vol*SQRT(mc_t2-mc_t1)*I1188)</f>
        <v>1475.53383496758</v>
      </c>
      <c r="L1188" s="31" t="n">
        <f aca="false">(t1_usd*J1188+t2_usd*K1188)/1000</f>
        <v>10857.6679042948</v>
      </c>
    </row>
    <row r="1189" customFormat="false" ht="15" hidden="false" customHeight="false" outlineLevel="0" collapsed="false">
      <c r="E1189" s="54" t="n">
        <v>1185</v>
      </c>
      <c r="F1189" s="61" t="n">
        <v>0.972636</v>
      </c>
      <c r="G1189" s="61" t="n">
        <v>0.102062</v>
      </c>
      <c r="H1189" s="34" t="n">
        <f aca="false">NORMSINV(F1189)</f>
        <v>1.92102940882762</v>
      </c>
      <c r="I1189" s="34" t="n">
        <f aca="false">NORMSINV(G1189)</f>
        <v>-1.26988948276523</v>
      </c>
      <c r="J1189" s="59" t="n">
        <f aca="false">mc_s0*EXP((mc_mu-mc_vol^2/2)*mc_t1+mc_vol*SQRT(mc_t1)*H1189)</f>
        <v>1377.14455946341</v>
      </c>
      <c r="K1189" s="59" t="n">
        <f aca="false">J1189*EXP((mc_mu-mc_vol^2/2)*(mc_t2-mc_t1)+mc_vol*SQRT(mc_t2-mc_t1)*I1189)</f>
        <v>1148.01337713053</v>
      </c>
      <c r="L1189" s="31" t="n">
        <f aca="false">(t1_usd*J1189+t2_usd*K1189)/1000</f>
        <v>11821.2373327919</v>
      </c>
    </row>
    <row r="1190" customFormat="false" ht="15" hidden="false" customHeight="false" outlineLevel="0" collapsed="false">
      <c r="E1190" s="54" t="n">
        <v>1186</v>
      </c>
      <c r="F1190" s="61" t="n">
        <v>0.739699</v>
      </c>
      <c r="G1190" s="61" t="n">
        <v>0.397049</v>
      </c>
      <c r="H1190" s="34" t="n">
        <f aca="false">NORMSINV(F1190)</f>
        <v>0.642417715815739</v>
      </c>
      <c r="I1190" s="34" t="n">
        <f aca="false">NORMSINV(G1190)</f>
        <v>-0.260992877356452</v>
      </c>
      <c r="J1190" s="59" t="n">
        <f aca="false">mc_s0*EXP((mc_mu-mc_vol^2/2)*mc_t1+mc_vol*SQRT(mc_t1)*H1190)</f>
        <v>1218.8110692927</v>
      </c>
      <c r="K1190" s="59" t="n">
        <f aca="false">J1190*EXP((mc_mu-mc_vol^2/2)*(mc_t2-mc_t1)+mc_vol*SQRT(mc_t2-mc_t1)*I1190)</f>
        <v>1191.11738866282</v>
      </c>
      <c r="L1190" s="31" t="n">
        <f aca="false">(t1_usd*J1190+t2_usd*K1190)/1000</f>
        <v>10794.8005235082</v>
      </c>
    </row>
    <row r="1191" customFormat="false" ht="15" hidden="false" customHeight="false" outlineLevel="0" collapsed="false">
      <c r="E1191" s="54" t="n">
        <v>1187</v>
      </c>
      <c r="F1191" s="61" t="n">
        <v>0.707892</v>
      </c>
      <c r="G1191" s="61" t="n">
        <v>0.782427</v>
      </c>
      <c r="H1191" s="34" t="n">
        <f aca="false">NORMSINV(F1191)</f>
        <v>0.547236882936014</v>
      </c>
      <c r="I1191" s="34" t="n">
        <f aca="false">NORMSINV(G1191)</f>
        <v>0.780416090268703</v>
      </c>
      <c r="J1191" s="59" t="n">
        <f aca="false">mc_s0*EXP((mc_mu-mc_vol^2/2)*mc_t1+mc_vol*SQRT(mc_t1)*H1191)</f>
        <v>1207.77995587832</v>
      </c>
      <c r="K1191" s="59" t="n">
        <f aca="false">J1191*EXP((mc_mu-mc_vol^2/2)*(mc_t2-mc_t1)+mc_vol*SQRT(mc_t2-mc_t1)*I1191)</f>
        <v>1390.8553206563</v>
      </c>
      <c r="L1191" s="31" t="n">
        <f aca="false">(t1_usd*J1191+t2_usd*K1191)/1000</f>
        <v>11097.0848003952</v>
      </c>
    </row>
    <row r="1192" customFormat="false" ht="15" hidden="false" customHeight="false" outlineLevel="0" collapsed="false">
      <c r="E1192" s="54" t="n">
        <v>1188</v>
      </c>
      <c r="F1192" s="61" t="n">
        <v>0.181036</v>
      </c>
      <c r="G1192" s="61" t="n">
        <v>0.851923</v>
      </c>
      <c r="H1192" s="34" t="n">
        <f aca="false">NORMSINV(F1192)</f>
        <v>-0.911424024417208</v>
      </c>
      <c r="I1192" s="34" t="n">
        <f aca="false">NORMSINV(G1192)</f>
        <v>1.04471653583887</v>
      </c>
      <c r="J1192" s="59" t="n">
        <f aca="false">mc_s0*EXP((mc_mu-mc_vol^2/2)*mc_t1+mc_vol*SQRT(mc_t1)*H1192)</f>
        <v>1050.69180392733</v>
      </c>
      <c r="K1192" s="59" t="n">
        <f aca="false">J1192*EXP((mc_mu-mc_vol^2/2)*(mc_t2-mc_t1)+mc_vol*SQRT(mc_t2-mc_t1)*I1192)</f>
        <v>1261.41704785209</v>
      </c>
      <c r="L1192" s="31" t="n">
        <f aca="false">(t1_usd*J1192+t2_usd*K1192)/1000</f>
        <v>9751.53501841029</v>
      </c>
    </row>
    <row r="1193" customFormat="false" ht="15" hidden="false" customHeight="false" outlineLevel="0" collapsed="false">
      <c r="E1193" s="54" t="n">
        <v>1189</v>
      </c>
      <c r="F1193" s="61" t="n">
        <v>0.499027</v>
      </c>
      <c r="G1193" s="61" t="n">
        <v>0.301358</v>
      </c>
      <c r="H1193" s="34" t="n">
        <f aca="false">NORMSINV(F1193)</f>
        <v>-0.00243895172922533</v>
      </c>
      <c r="I1193" s="34" t="n">
        <f aca="false">NORMSINV(G1193)</f>
        <v>-0.520498748422451</v>
      </c>
      <c r="J1193" s="59" t="n">
        <f aca="false">mc_s0*EXP((mc_mu-mc_vol^2/2)*mc_t1+mc_vol*SQRT(mc_t1)*H1193)</f>
        <v>1145.99980538927</v>
      </c>
      <c r="K1193" s="59" t="n">
        <f aca="false">J1193*EXP((mc_mu-mc_vol^2/2)*(mc_t2-mc_t1)+mc_vol*SQRT(mc_t2-mc_t1)*I1193)</f>
        <v>1075.08215987745</v>
      </c>
      <c r="L1193" s="31" t="n">
        <f aca="false">(t1_usd*J1193+t2_usd*K1193)/1000</f>
        <v>10064.654741492</v>
      </c>
    </row>
    <row r="1194" customFormat="false" ht="15" hidden="false" customHeight="false" outlineLevel="0" collapsed="false">
      <c r="E1194" s="54" t="n">
        <v>1190</v>
      </c>
      <c r="F1194" s="61" t="n">
        <v>0.320923</v>
      </c>
      <c r="G1194" s="61" t="n">
        <v>0.230742</v>
      </c>
      <c r="H1194" s="34" t="n">
        <f aca="false">NORMSINV(F1194)</f>
        <v>-0.465119335657978</v>
      </c>
      <c r="I1194" s="34" t="n">
        <f aca="false">NORMSINV(G1194)</f>
        <v>-0.736405431785472</v>
      </c>
      <c r="J1194" s="59" t="n">
        <f aca="false">mc_s0*EXP((mc_mu-mc_vol^2/2)*mc_t1+mc_vol*SQRT(mc_t1)*H1194)</f>
        <v>1096.45363516591</v>
      </c>
      <c r="K1194" s="59" t="n">
        <f aca="false">J1194*EXP((mc_mu-mc_vol^2/2)*(mc_t2-mc_t1)+mc_vol*SQRT(mc_t2-mc_t1)*I1194)</f>
        <v>994.192147767021</v>
      </c>
      <c r="L1194" s="31" t="n">
        <f aca="false">(t1_usd*J1194+t2_usd*K1194)/1000</f>
        <v>9564.14052691871</v>
      </c>
    </row>
    <row r="1195" customFormat="false" ht="15" hidden="false" customHeight="false" outlineLevel="0" collapsed="false">
      <c r="E1195" s="54" t="n">
        <v>1191</v>
      </c>
      <c r="F1195" s="61" t="n">
        <v>0.557659</v>
      </c>
      <c r="G1195" s="61" t="n">
        <v>0.027558</v>
      </c>
      <c r="H1195" s="34" t="n">
        <f aca="false">NORMSINV(F1195)</f>
        <v>0.14503656792548</v>
      </c>
      <c r="I1195" s="34" t="n">
        <f aca="false">NORMSINV(G1195)</f>
        <v>-1.91796065686991</v>
      </c>
      <c r="J1195" s="59" t="n">
        <f aca="false">mc_s0*EXP((mc_mu-mc_vol^2/2)*mc_t1+mc_vol*SQRT(mc_t1)*H1195)</f>
        <v>1162.25803776654</v>
      </c>
      <c r="K1195" s="59" t="n">
        <f aca="false">J1195*EXP((mc_mu-mc_vol^2/2)*(mc_t2-mc_t1)+mc_vol*SQRT(mc_t2-mc_t1)*I1195)</f>
        <v>874.81210074149</v>
      </c>
      <c r="L1195" s="31" t="n">
        <f aca="false">(t1_usd*J1195+t2_usd*K1195)/1000</f>
        <v>9797.94925577459</v>
      </c>
    </row>
    <row r="1196" customFormat="false" ht="15" hidden="false" customHeight="false" outlineLevel="0" collapsed="false">
      <c r="E1196" s="54" t="n">
        <v>1192</v>
      </c>
      <c r="F1196" s="61" t="n">
        <v>0.572847</v>
      </c>
      <c r="G1196" s="61" t="n">
        <v>0.480558</v>
      </c>
      <c r="H1196" s="34" t="n">
        <f aca="false">NORMSINV(F1196)</f>
        <v>0.183627102405521</v>
      </c>
      <c r="I1196" s="34" t="n">
        <f aca="false">NORMSINV(G1196)</f>
        <v>-0.0487531733729406</v>
      </c>
      <c r="J1196" s="59" t="n">
        <f aca="false">mc_s0*EXP((mc_mu-mc_vol^2/2)*mc_t1+mc_vol*SQRT(mc_t1)*H1196)</f>
        <v>1166.55034015748</v>
      </c>
      <c r="K1196" s="59" t="n">
        <f aca="false">J1196*EXP((mc_mu-mc_vol^2/2)*(mc_t2-mc_t1)+mc_vol*SQRT(mc_t2-mc_t1)*I1196)</f>
        <v>1178.82066089323</v>
      </c>
      <c r="L1196" s="31" t="n">
        <f aca="false">(t1_usd*J1196+t2_usd*K1196)/1000</f>
        <v>10405.6116367995</v>
      </c>
    </row>
    <row r="1197" customFormat="false" ht="15" hidden="false" customHeight="false" outlineLevel="0" collapsed="false">
      <c r="E1197" s="54" t="n">
        <v>1193</v>
      </c>
      <c r="F1197" s="61" t="n">
        <v>0.373498</v>
      </c>
      <c r="G1197" s="61" t="n">
        <v>0.816784</v>
      </c>
      <c r="H1197" s="34" t="n">
        <f aca="false">NORMSINV(F1197)</f>
        <v>-0.322602896287131</v>
      </c>
      <c r="I1197" s="34" t="n">
        <f aca="false">NORMSINV(G1197)</f>
        <v>0.903176929650158</v>
      </c>
      <c r="J1197" s="59" t="n">
        <f aca="false">mc_s0*EXP((mc_mu-mc_vol^2/2)*mc_t1+mc_vol*SQRT(mc_t1)*H1197)</f>
        <v>1111.48232016221</v>
      </c>
      <c r="K1197" s="59" t="n">
        <f aca="false">J1197*EXP((mc_mu-mc_vol^2/2)*(mc_t2-mc_t1)+mc_vol*SQRT(mc_t2-mc_t1)*I1197)</f>
        <v>1304.96443918376</v>
      </c>
      <c r="L1197" s="31" t="n">
        <f aca="false">(t1_usd*J1197+t2_usd*K1197)/1000</f>
        <v>10259.8086755847</v>
      </c>
    </row>
    <row r="1198" customFormat="false" ht="15" hidden="false" customHeight="false" outlineLevel="0" collapsed="false">
      <c r="E1198" s="54" t="n">
        <v>1194</v>
      </c>
      <c r="F1198" s="61" t="n">
        <v>0.690673</v>
      </c>
      <c r="G1198" s="61" t="n">
        <v>0.313967</v>
      </c>
      <c r="H1198" s="34" t="n">
        <f aca="false">NORMSINV(F1198)</f>
        <v>0.497758882688864</v>
      </c>
      <c r="I1198" s="34" t="n">
        <f aca="false">NORMSINV(G1198)</f>
        <v>-0.484636806668742</v>
      </c>
      <c r="J1198" s="59" t="n">
        <f aca="false">mc_s0*EXP((mc_mu-mc_vol^2/2)*mc_t1+mc_vol*SQRT(mc_t1)*H1198)</f>
        <v>1202.08513178701</v>
      </c>
      <c r="K1198" s="59" t="n">
        <f aca="false">J1198*EXP((mc_mu-mc_vol^2/2)*(mc_t2-mc_t1)+mc_vol*SQRT(mc_t2-mc_t1)*I1198)</f>
        <v>1134.08810333962</v>
      </c>
      <c r="L1198" s="31" t="n">
        <f aca="false">(t1_usd*J1198+t2_usd*K1198)/1000</f>
        <v>10569.3633188544</v>
      </c>
    </row>
    <row r="1199" customFormat="false" ht="15" hidden="false" customHeight="false" outlineLevel="0" collapsed="false">
      <c r="E1199" s="54" t="n">
        <v>1195</v>
      </c>
      <c r="F1199" s="61" t="n">
        <v>0.220434</v>
      </c>
      <c r="G1199" s="61" t="n">
        <v>0.055886</v>
      </c>
      <c r="H1199" s="34" t="n">
        <f aca="false">NORMSINV(F1199)</f>
        <v>-0.770728289739768</v>
      </c>
      <c r="I1199" s="34" t="n">
        <f aca="false">NORMSINV(G1199)</f>
        <v>-1.5902786894902</v>
      </c>
      <c r="J1199" s="59" t="n">
        <f aca="false">mc_s0*EXP((mc_mu-mc_vol^2/2)*mc_t1+mc_vol*SQRT(mc_t1)*H1199)</f>
        <v>1064.90802510101</v>
      </c>
      <c r="K1199" s="59" t="n">
        <f aca="false">J1199*EXP((mc_mu-mc_vol^2/2)*(mc_t2-mc_t1)+mc_vol*SQRT(mc_t2-mc_t1)*I1199)</f>
        <v>844.017566372006</v>
      </c>
      <c r="L1199" s="31" t="n">
        <f aca="false">(t1_usd*J1199+t2_usd*K1199)/1000</f>
        <v>9057.98955181389</v>
      </c>
    </row>
    <row r="1200" customFormat="false" ht="15" hidden="false" customHeight="false" outlineLevel="0" collapsed="false">
      <c r="E1200" s="54" t="n">
        <v>1196</v>
      </c>
      <c r="F1200" s="61" t="n">
        <v>0.64197</v>
      </c>
      <c r="G1200" s="61" t="n">
        <v>0.949903</v>
      </c>
      <c r="H1200" s="34" t="n">
        <f aca="false">NORMSINV(F1200)</f>
        <v>0.363729516420289</v>
      </c>
      <c r="I1200" s="34" t="n">
        <f aca="false">NORMSINV(G1200)</f>
        <v>1.6439138445279</v>
      </c>
      <c r="J1200" s="59" t="n">
        <f aca="false">mc_s0*EXP((mc_mu-mc_vol^2/2)*mc_t1+mc_vol*SQRT(mc_t1)*H1200)</f>
        <v>1186.79313126028</v>
      </c>
      <c r="K1200" s="59" t="n">
        <f aca="false">J1200*EXP((mc_mu-mc_vol^2/2)*(mc_t2-mc_t1)+mc_vol*SQRT(mc_t2-mc_t1)*I1200)</f>
        <v>1565.91632639828</v>
      </c>
      <c r="L1200" s="31" t="n">
        <f aca="false">(t1_usd*J1200+t2_usd*K1200)/1000</f>
        <v>11282.7929389787</v>
      </c>
    </row>
    <row r="1201" customFormat="false" ht="15" hidden="false" customHeight="false" outlineLevel="0" collapsed="false">
      <c r="E1201" s="54" t="n">
        <v>1197</v>
      </c>
      <c r="F1201" s="61" t="n">
        <v>0.492487</v>
      </c>
      <c r="G1201" s="61" t="n">
        <v>0.224371</v>
      </c>
      <c r="H1201" s="34" t="n">
        <f aca="false">NORMSINV(F1201)</f>
        <v>-0.0188334115283876</v>
      </c>
      <c r="I1201" s="34" t="n">
        <f aca="false">NORMSINV(G1201)</f>
        <v>-0.757513969303806</v>
      </c>
      <c r="J1201" s="59" t="n">
        <f aca="false">mc_s0*EXP((mc_mu-mc_vol^2/2)*mc_t1+mc_vol*SQRT(mc_t1)*H1201)</f>
        <v>1144.20652628909</v>
      </c>
      <c r="K1201" s="59" t="n">
        <f aca="false">J1201*EXP((mc_mu-mc_vol^2/2)*(mc_t2-mc_t1)+mc_vol*SQRT(mc_t2-mc_t1)*I1201)</f>
        <v>1034.0457881952</v>
      </c>
      <c r="L1201" s="31" t="n">
        <f aca="false">(t1_usd*J1201+t2_usd*K1201)/1000</f>
        <v>9974.13268159452</v>
      </c>
    </row>
    <row r="1202" customFormat="false" ht="15" hidden="false" customHeight="false" outlineLevel="0" collapsed="false">
      <c r="E1202" s="54" t="n">
        <v>1198</v>
      </c>
      <c r="F1202" s="61" t="n">
        <v>0.128925</v>
      </c>
      <c r="G1202" s="61" t="n">
        <v>0.843872</v>
      </c>
      <c r="H1202" s="34" t="n">
        <f aca="false">NORMSINV(F1202)</f>
        <v>-1.13148740889824</v>
      </c>
      <c r="I1202" s="34" t="n">
        <f aca="false">NORMSINV(G1202)</f>
        <v>1.01049958115394</v>
      </c>
      <c r="J1202" s="59" t="n">
        <f aca="false">mc_s0*EXP((mc_mu-mc_vol^2/2)*mc_t1+mc_vol*SQRT(mc_t1)*H1202)</f>
        <v>1028.83570143028</v>
      </c>
      <c r="K1202" s="59" t="n">
        <f aca="false">J1202*EXP((mc_mu-mc_vol^2/2)*(mc_t2-mc_t1)+mc_vol*SQRT(mc_t2-mc_t1)*I1202)</f>
        <v>1228.53492141702</v>
      </c>
      <c r="L1202" s="31" t="n">
        <f aca="false">(t1_usd*J1202+t2_usd*K1202)/1000</f>
        <v>9536.06626070426</v>
      </c>
    </row>
    <row r="1203" customFormat="false" ht="15" hidden="false" customHeight="false" outlineLevel="0" collapsed="false">
      <c r="E1203" s="54" t="n">
        <v>1199</v>
      </c>
      <c r="F1203" s="61" t="n">
        <v>0.495972</v>
      </c>
      <c r="G1203" s="61" t="n">
        <v>0.037707</v>
      </c>
      <c r="H1203" s="34" t="n">
        <f aca="false">NORMSINV(F1203)</f>
        <v>-0.0100968702448398</v>
      </c>
      <c r="I1203" s="34" t="n">
        <f aca="false">NORMSINV(G1203)</f>
        <v>-1.77793823292479</v>
      </c>
      <c r="J1203" s="59" t="n">
        <f aca="false">mc_s0*EXP((mc_mu-mc_vol^2/2)*mc_t1+mc_vol*SQRT(mc_t1)*H1203)</f>
        <v>1145.16180793449</v>
      </c>
      <c r="K1203" s="59" t="n">
        <f aca="false">J1203*EXP((mc_mu-mc_vol^2/2)*(mc_t2-mc_t1)+mc_vol*SQRT(mc_t2-mc_t1)*I1203)</f>
        <v>881.175621803571</v>
      </c>
      <c r="L1203" s="31" t="n">
        <f aca="false">(t1_usd*J1203+t2_usd*K1203)/1000</f>
        <v>9690.36633696821</v>
      </c>
    </row>
    <row r="1204" customFormat="false" ht="15" hidden="false" customHeight="false" outlineLevel="0" collapsed="false">
      <c r="E1204" s="54" t="n">
        <v>1200</v>
      </c>
      <c r="F1204" s="61" t="n">
        <v>0.252388</v>
      </c>
      <c r="G1204" s="61" t="n">
        <v>0.298416</v>
      </c>
      <c r="H1204" s="34" t="n">
        <f aca="false">NORMSINV(F1204)</f>
        <v>-0.666993946698932</v>
      </c>
      <c r="I1204" s="34" t="n">
        <f aca="false">NORMSINV(G1204)</f>
        <v>-0.528961727337156</v>
      </c>
      <c r="J1204" s="59" t="n">
        <f aca="false">mc_s0*EXP((mc_mu-mc_vol^2/2)*mc_t1+mc_vol*SQRT(mc_t1)*H1204)</f>
        <v>1075.51262759016</v>
      </c>
      <c r="K1204" s="59" t="n">
        <f aca="false">J1204*EXP((mc_mu-mc_vol^2/2)*(mc_t2-mc_t1)+mc_vol*SQRT(mc_t2-mc_t1)*I1204)</f>
        <v>1007.61216719599</v>
      </c>
      <c r="L1204" s="31" t="n">
        <f aca="false">(t1_usd*J1204+t2_usd*K1204)/1000</f>
        <v>9443.05151080349</v>
      </c>
    </row>
    <row r="1205" customFormat="false" ht="15" hidden="false" customHeight="false" outlineLevel="0" collapsed="false">
      <c r="E1205" s="54" t="n">
        <v>1201</v>
      </c>
      <c r="F1205" s="61" t="n">
        <v>0.724932</v>
      </c>
      <c r="G1205" s="61" t="n">
        <v>0.919326</v>
      </c>
      <c r="H1205" s="34" t="n">
        <f aca="false">NORMSINV(F1205)</f>
        <v>0.597556345442891</v>
      </c>
      <c r="I1205" s="34" t="n">
        <f aca="false">NORMSINV(G1205)</f>
        <v>1.40055227808311</v>
      </c>
      <c r="J1205" s="59" t="n">
        <f aca="false">mc_s0*EXP((mc_mu-mc_vol^2/2)*mc_t1+mc_vol*SQRT(mc_t1)*H1205)</f>
        <v>1213.5993025365</v>
      </c>
      <c r="K1205" s="59" t="n">
        <f aca="false">J1205*EXP((mc_mu-mc_vol^2/2)*(mc_t2-mc_t1)+mc_vol*SQRT(mc_t2-mc_t1)*I1205)</f>
        <v>1541.03580262956</v>
      </c>
      <c r="L1205" s="31" t="n">
        <f aca="false">(t1_usd*J1205+t2_usd*K1205)/1000</f>
        <v>11423.1631427517</v>
      </c>
    </row>
    <row r="1206" customFormat="false" ht="15" hidden="false" customHeight="false" outlineLevel="0" collapsed="false">
      <c r="E1206" s="54" t="n">
        <v>1202</v>
      </c>
      <c r="F1206" s="61" t="n">
        <v>0.059073</v>
      </c>
      <c r="G1206" s="61" t="n">
        <v>0.422523</v>
      </c>
      <c r="H1206" s="34" t="n">
        <f aca="false">NORMSINV(F1206)</f>
        <v>-1.56260300948339</v>
      </c>
      <c r="I1206" s="34" t="n">
        <f aca="false">NORMSINV(G1206)</f>
        <v>-0.195443199903802</v>
      </c>
      <c r="J1206" s="59" t="n">
        <f aca="false">mc_s0*EXP((mc_mu-mc_vol^2/2)*mc_t1+mc_vol*SQRT(mc_t1)*H1206)</f>
        <v>987.32746347425</v>
      </c>
      <c r="K1206" s="59" t="n">
        <f aca="false">J1206*EXP((mc_mu-mc_vol^2/2)*(mc_t2-mc_t1)+mc_vol*SQRT(mc_t2-mc_t1)*I1206)</f>
        <v>974.912713882883</v>
      </c>
      <c r="L1206" s="31" t="n">
        <f aca="false">(t1_usd*J1206+t2_usd*K1206)/1000</f>
        <v>8763.62640069722</v>
      </c>
    </row>
    <row r="1207" customFormat="false" ht="15" hidden="false" customHeight="false" outlineLevel="0" collapsed="false">
      <c r="E1207" s="54" t="n">
        <v>1203</v>
      </c>
      <c r="F1207" s="61" t="n">
        <v>0.62493</v>
      </c>
      <c r="G1207" s="61" t="n">
        <v>0.072821</v>
      </c>
      <c r="H1207" s="34" t="n">
        <f aca="false">NORMSINV(F1207)</f>
        <v>0.318454767920113</v>
      </c>
      <c r="I1207" s="34" t="n">
        <f aca="false">NORMSINV(G1207)</f>
        <v>-1.45509847974457</v>
      </c>
      <c r="J1207" s="59" t="n">
        <f aca="false">mc_s0*EXP((mc_mu-mc_vol^2/2)*mc_t1+mc_vol*SQRT(mc_t1)*H1207)</f>
        <v>1181.67161509291</v>
      </c>
      <c r="K1207" s="59" t="n">
        <f aca="false">J1207*EXP((mc_mu-mc_vol^2/2)*(mc_t2-mc_t1)+mc_vol*SQRT(mc_t2-mc_t1)*I1207)</f>
        <v>956.72731571127</v>
      </c>
      <c r="L1207" s="31" t="n">
        <f aca="false">(t1_usd*J1207+t2_usd*K1207)/1000</f>
        <v>10089.4832055018</v>
      </c>
    </row>
    <row r="1208" customFormat="false" ht="15" hidden="false" customHeight="false" outlineLevel="0" collapsed="false">
      <c r="E1208" s="54" t="n">
        <v>1204</v>
      </c>
      <c r="F1208" s="61" t="n">
        <v>0.917758</v>
      </c>
      <c r="G1208" s="61" t="n">
        <v>0.783778</v>
      </c>
      <c r="H1208" s="34" t="n">
        <f aca="false">NORMSINV(F1208)</f>
        <v>1.39014780257187</v>
      </c>
      <c r="I1208" s="34" t="n">
        <f aca="false">NORMSINV(G1208)</f>
        <v>0.785016320086599</v>
      </c>
      <c r="J1208" s="59" t="n">
        <f aca="false">mc_s0*EXP((mc_mu-mc_vol^2/2)*mc_t1+mc_vol*SQRT(mc_t1)*H1208)</f>
        <v>1309.04909376632</v>
      </c>
      <c r="K1208" s="59" t="n">
        <f aca="false">J1208*EXP((mc_mu-mc_vol^2/2)*(mc_t2-mc_t1)+mc_vol*SQRT(mc_t2-mc_t1)*I1208)</f>
        <v>1508.56810373435</v>
      </c>
      <c r="L1208" s="31" t="n">
        <f aca="false">(t1_usd*J1208+t2_usd*K1208)/1000</f>
        <v>12029.6230534595</v>
      </c>
    </row>
    <row r="1209" customFormat="false" ht="15" hidden="false" customHeight="false" outlineLevel="0" collapsed="false">
      <c r="E1209" s="54" t="n">
        <v>1205</v>
      </c>
      <c r="F1209" s="61" t="n">
        <v>0.23358</v>
      </c>
      <c r="G1209" s="61" t="n">
        <v>0.481416</v>
      </c>
      <c r="H1209" s="34" t="n">
        <f aca="false">NORMSINV(F1209)</f>
        <v>-0.727107670860665</v>
      </c>
      <c r="I1209" s="34" t="n">
        <f aca="false">NORMSINV(G1209)</f>
        <v>-0.0466000401896838</v>
      </c>
      <c r="J1209" s="59" t="n">
        <f aca="false">mc_s0*EXP((mc_mu-mc_vol^2/2)*mc_t1+mc_vol*SQRT(mc_t1)*H1209)</f>
        <v>1069.35449427516</v>
      </c>
      <c r="K1209" s="59" t="n">
        <f aca="false">J1209*EXP((mc_mu-mc_vol^2/2)*(mc_t2-mc_t1)+mc_vol*SQRT(mc_t2-mc_t1)*I1209)</f>
        <v>1080.96919507873</v>
      </c>
      <c r="L1209" s="31" t="n">
        <f aca="false">(t1_usd*J1209+t2_usd*K1209)/1000</f>
        <v>9539.32293057568</v>
      </c>
    </row>
    <row r="1210" customFormat="false" ht="15" hidden="false" customHeight="false" outlineLevel="0" collapsed="false">
      <c r="E1210" s="54" t="n">
        <v>1206</v>
      </c>
      <c r="F1210" s="61" t="n">
        <v>0.453695</v>
      </c>
      <c r="G1210" s="61" t="n">
        <v>0.481779</v>
      </c>
      <c r="H1210" s="34" t="n">
        <f aca="false">NORMSINV(F1210)</f>
        <v>-0.116331275010416</v>
      </c>
      <c r="I1210" s="34" t="n">
        <f aca="false">NORMSINV(G1210)</f>
        <v>-0.0456891648361307</v>
      </c>
      <c r="J1210" s="59" t="n">
        <f aca="false">mc_s0*EXP((mc_mu-mc_vol^2/2)*mc_t1+mc_vol*SQRT(mc_t1)*H1210)</f>
        <v>1133.59971135737</v>
      </c>
      <c r="K1210" s="59" t="n">
        <f aca="false">J1210*EXP((mc_mu-mc_vol^2/2)*(mc_t2-mc_t1)+mc_vol*SQRT(mc_t2-mc_t1)*I1210)</f>
        <v>1146.07671093523</v>
      </c>
      <c r="L1210" s="31" t="n">
        <f aca="false">(t1_usd*J1210+t2_usd*K1210)/1000</f>
        <v>10112.7437302785</v>
      </c>
    </row>
    <row r="1211" customFormat="false" ht="15" hidden="false" customHeight="false" outlineLevel="0" collapsed="false">
      <c r="E1211" s="54" t="n">
        <v>1207</v>
      </c>
      <c r="F1211" s="61" t="n">
        <v>0.033449</v>
      </c>
      <c r="G1211" s="61" t="n">
        <v>0.855843</v>
      </c>
      <c r="H1211" s="34" t="n">
        <f aca="false">NORMSINV(F1211)</f>
        <v>-1.83235867925223</v>
      </c>
      <c r="I1211" s="34" t="n">
        <f aca="false">NORMSINV(G1211)</f>
        <v>1.0618275066914</v>
      </c>
      <c r="J1211" s="59" t="n">
        <f aca="false">mc_s0*EXP((mc_mu-mc_vol^2/2)*mc_t1+mc_vol*SQRT(mc_t1)*H1211)</f>
        <v>962.211221225953</v>
      </c>
      <c r="K1211" s="59" t="n">
        <f aca="false">J1211*EXP((mc_mu-mc_vol^2/2)*(mc_t2-mc_t1)+mc_vol*SQRT(mc_t2-mc_t1)*I1211)</f>
        <v>1158.31018617034</v>
      </c>
      <c r="L1211" s="31" t="n">
        <f aca="false">(t1_usd*J1211+t2_usd*K1211)/1000</f>
        <v>8936.26790230531</v>
      </c>
    </row>
    <row r="1212" customFormat="false" ht="15" hidden="false" customHeight="false" outlineLevel="0" collapsed="false">
      <c r="E1212" s="54" t="n">
        <v>1208</v>
      </c>
      <c r="F1212" s="61" t="n">
        <v>0.912648</v>
      </c>
      <c r="G1212" s="61" t="n">
        <v>0.767304</v>
      </c>
      <c r="H1212" s="34" t="n">
        <f aca="false">NORMSINV(F1212)</f>
        <v>1.35724303766332</v>
      </c>
      <c r="I1212" s="34" t="n">
        <f aca="false">NORMSINV(G1212)</f>
        <v>0.729997030050026</v>
      </c>
      <c r="J1212" s="59" t="n">
        <f aca="false">mc_s0*EXP((mc_mu-mc_vol^2/2)*mc_t1+mc_vol*SQRT(mc_t1)*H1212)</f>
        <v>1304.94101626287</v>
      </c>
      <c r="K1212" s="59" t="n">
        <f aca="false">J1212*EXP((mc_mu-mc_vol^2/2)*(mc_t2-mc_t1)+mc_vol*SQRT(mc_t2-mc_t1)*I1212)</f>
        <v>1490.85101779871</v>
      </c>
      <c r="L1212" s="31" t="n">
        <f aca="false">(t1_usd*J1212+t2_usd*K1212)/1000</f>
        <v>11967.2040476576</v>
      </c>
    </row>
    <row r="1213" customFormat="false" ht="15" hidden="false" customHeight="false" outlineLevel="0" collapsed="false">
      <c r="E1213" s="54" t="n">
        <v>1209</v>
      </c>
      <c r="F1213" s="61" t="n">
        <v>0.300032</v>
      </c>
      <c r="G1213" s="61" t="n">
        <v>0.746556</v>
      </c>
      <c r="H1213" s="34" t="n">
        <f aca="false">NORMSINV(F1213)</f>
        <v>-0.52430847961171</v>
      </c>
      <c r="I1213" s="34" t="n">
        <f aca="false">NORMSINV(G1213)</f>
        <v>0.66369115748569</v>
      </c>
      <c r="J1213" s="59" t="n">
        <f aca="false">mc_s0*EXP((mc_mu-mc_vol^2/2)*mc_t1+mc_vol*SQRT(mc_t1)*H1213)</f>
        <v>1090.27188528663</v>
      </c>
      <c r="K1213" s="59" t="n">
        <f aca="false">J1213*EXP((mc_mu-mc_vol^2/2)*(mc_t2-mc_t1)+mc_vol*SQRT(mc_t2-mc_t1)*I1213)</f>
        <v>1232.6508524048</v>
      </c>
      <c r="L1213" s="31" t="n">
        <f aca="false">(t1_usd*J1213+t2_usd*K1213)/1000</f>
        <v>9973.93981657557</v>
      </c>
    </row>
    <row r="1214" customFormat="false" ht="15" hidden="false" customHeight="false" outlineLevel="0" collapsed="false">
      <c r="E1214" s="54" t="n">
        <v>1210</v>
      </c>
      <c r="F1214" s="61" t="n">
        <v>0.620507</v>
      </c>
      <c r="G1214" s="61" t="n">
        <v>0.300134</v>
      </c>
      <c r="H1214" s="34" t="n">
        <f aca="false">NORMSINV(F1214)</f>
        <v>0.306812622482496</v>
      </c>
      <c r="I1214" s="34" t="n">
        <f aca="false">NORMSINV(G1214)</f>
        <v>-0.524015153747922</v>
      </c>
      <c r="J1214" s="59" t="n">
        <f aca="false">mc_s0*EXP((mc_mu-mc_vol^2/2)*mc_t1+mc_vol*SQRT(mc_t1)*H1214)</f>
        <v>1180.35822236127</v>
      </c>
      <c r="K1214" s="59" t="n">
        <f aca="false">J1214*EXP((mc_mu-mc_vol^2/2)*(mc_t2-mc_t1)+mc_vol*SQRT(mc_t2-mc_t1)*I1214)</f>
        <v>1106.70092166314</v>
      </c>
      <c r="L1214" s="31" t="n">
        <f aca="false">(t1_usd*J1214+t2_usd*K1214)/1000</f>
        <v>10365.2393076888</v>
      </c>
    </row>
    <row r="1215" customFormat="false" ht="15" hidden="false" customHeight="false" outlineLevel="0" collapsed="false">
      <c r="E1215" s="54" t="n">
        <v>1211</v>
      </c>
      <c r="F1215" s="61" t="n">
        <v>0.450863</v>
      </c>
      <c r="G1215" s="61" t="n">
        <v>0.803038</v>
      </c>
      <c r="H1215" s="34" t="n">
        <f aca="false">NORMSINV(F1215)</f>
        <v>-0.123481276506847</v>
      </c>
      <c r="I1215" s="34" t="n">
        <f aca="false">NORMSINV(G1215)</f>
        <v>0.852522781919312</v>
      </c>
      <c r="J1215" s="59" t="n">
        <f aca="false">mc_s0*EXP((mc_mu-mc_vol^2/2)*mc_t1+mc_vol*SQRT(mc_t1)*H1215)</f>
        <v>1132.82574192569</v>
      </c>
      <c r="K1215" s="59" t="n">
        <f aca="false">J1215*EXP((mc_mu-mc_vol^2/2)*(mc_t2-mc_t1)+mc_vol*SQRT(mc_t2-mc_t1)*I1215)</f>
        <v>1319.44825606743</v>
      </c>
      <c r="L1215" s="31" t="n">
        <f aca="false">(t1_usd*J1215+t2_usd*K1215)/1000</f>
        <v>10436.7318800079</v>
      </c>
    </row>
    <row r="1216" customFormat="false" ht="15" hidden="false" customHeight="false" outlineLevel="0" collapsed="false">
      <c r="E1216" s="54" t="n">
        <v>1212</v>
      </c>
      <c r="F1216" s="61" t="n">
        <v>0.623931</v>
      </c>
      <c r="G1216" s="61" t="n">
        <v>0.715855</v>
      </c>
      <c r="H1216" s="34" t="n">
        <f aca="false">NORMSINV(F1216)</f>
        <v>0.315821497471257</v>
      </c>
      <c r="I1216" s="34" t="n">
        <f aca="false">NORMSINV(G1216)</f>
        <v>0.570571709654196</v>
      </c>
      <c r="J1216" s="59" t="n">
        <f aca="false">mc_s0*EXP((mc_mu-mc_vol^2/2)*mc_t1+mc_vol*SQRT(mc_t1)*H1216)</f>
        <v>1181.37441845043</v>
      </c>
      <c r="K1216" s="59" t="n">
        <f aca="false">J1216*EXP((mc_mu-mc_vol^2/2)*(mc_t2-mc_t1)+mc_vol*SQRT(mc_t2-mc_t1)*I1216)</f>
        <v>1316.19295448022</v>
      </c>
      <c r="L1216" s="31" t="n">
        <f aca="false">(t1_usd*J1216+t2_usd*K1216)/1000</f>
        <v>10770.3875426654</v>
      </c>
    </row>
    <row r="1217" customFormat="false" ht="15" hidden="false" customHeight="false" outlineLevel="0" collapsed="false">
      <c r="E1217" s="54" t="n">
        <v>1213</v>
      </c>
      <c r="F1217" s="61" t="n">
        <v>0.704953</v>
      </c>
      <c r="G1217" s="61" t="n">
        <v>0.885052</v>
      </c>
      <c r="H1217" s="34" t="n">
        <f aca="false">NORMSINV(F1217)</f>
        <v>0.538699817041955</v>
      </c>
      <c r="I1217" s="34" t="n">
        <f aca="false">NORMSINV(G1217)</f>
        <v>1.2006268008958</v>
      </c>
      <c r="J1217" s="59" t="n">
        <f aca="false">mc_s0*EXP((mc_mu-mc_vol^2/2)*mc_t1+mc_vol*SQRT(mc_t1)*H1217)</f>
        <v>1206.79543340773</v>
      </c>
      <c r="K1217" s="59" t="n">
        <f aca="false">J1217*EXP((mc_mu-mc_vol^2/2)*(mc_t2-mc_t1)+mc_vol*SQRT(mc_t2-mc_t1)*I1217)</f>
        <v>1484.86782830814</v>
      </c>
      <c r="L1217" s="31" t="n">
        <f aca="false">(t1_usd*J1217+t2_usd*K1217)/1000</f>
        <v>11268.8169076396</v>
      </c>
    </row>
    <row r="1218" customFormat="false" ht="15" hidden="false" customHeight="false" outlineLevel="0" collapsed="false">
      <c r="E1218" s="54" t="n">
        <v>1214</v>
      </c>
      <c r="F1218" s="61" t="n">
        <v>0.323693</v>
      </c>
      <c r="G1218" s="61" t="n">
        <v>0.05205</v>
      </c>
      <c r="H1218" s="34" t="n">
        <f aca="false">NORMSINV(F1218)</f>
        <v>-0.457396610753689</v>
      </c>
      <c r="I1218" s="34" t="n">
        <f aca="false">NORMSINV(G1218)</f>
        <v>-1.62529366799596</v>
      </c>
      <c r="J1218" s="59" t="n">
        <f aca="false">mc_s0*EXP((mc_mu-mc_vol^2/2)*mc_t1+mc_vol*SQRT(mc_t1)*H1218)</f>
        <v>1097.26278189738</v>
      </c>
      <c r="K1218" s="59" t="n">
        <f aca="false">J1218*EXP((mc_mu-mc_vol^2/2)*(mc_t2-mc_t1)+mc_vol*SQRT(mc_t2-mc_t1)*I1218)</f>
        <v>864.87539943168</v>
      </c>
      <c r="L1218" s="31" t="n">
        <f aca="false">(t1_usd*J1218+t2_usd*K1218)/1000</f>
        <v>9324.10273220187</v>
      </c>
    </row>
    <row r="1219" customFormat="false" ht="15" hidden="false" customHeight="false" outlineLevel="0" collapsed="false">
      <c r="E1219" s="54" t="n">
        <v>1215</v>
      </c>
      <c r="F1219" s="61" t="n">
        <v>0.442785</v>
      </c>
      <c r="G1219" s="61" t="n">
        <v>0.87726</v>
      </c>
      <c r="H1219" s="34" t="n">
        <f aca="false">NORMSINV(F1219)</f>
        <v>-0.143911948967877</v>
      </c>
      <c r="I1219" s="34" t="n">
        <f aca="false">NORMSINV(G1219)</f>
        <v>1.16139820162063</v>
      </c>
      <c r="J1219" s="59" t="n">
        <f aca="false">mc_s0*EXP((mc_mu-mc_vol^2/2)*mc_t1+mc_vol*SQRT(mc_t1)*H1219)</f>
        <v>1130.61708477305</v>
      </c>
      <c r="K1219" s="59" t="n">
        <f aca="false">J1219*EXP((mc_mu-mc_vol^2/2)*(mc_t2-mc_t1)+mc_vol*SQRT(mc_t2-mc_t1)*I1219)</f>
        <v>1382.56260247839</v>
      </c>
      <c r="L1219" s="31" t="n">
        <f aca="false">(t1_usd*J1219+t2_usd*K1219)/1000</f>
        <v>10541.1885381203</v>
      </c>
    </row>
    <row r="1220" customFormat="false" ht="15" hidden="false" customHeight="false" outlineLevel="0" collapsed="false">
      <c r="E1220" s="54" t="n">
        <v>1216</v>
      </c>
      <c r="F1220" s="61" t="n">
        <v>0.578001</v>
      </c>
      <c r="G1220" s="61" t="n">
        <v>0.097339</v>
      </c>
      <c r="H1220" s="34" t="n">
        <f aca="false">NORMSINV(F1220)</f>
        <v>0.196782175851343</v>
      </c>
      <c r="I1220" s="34" t="n">
        <f aca="false">NORMSINV(G1220)</f>
        <v>-1.29686395674563</v>
      </c>
      <c r="J1220" s="59" t="n">
        <f aca="false">mc_s0*EXP((mc_mu-mc_vol^2/2)*mc_t1+mc_vol*SQRT(mc_t1)*H1220)</f>
        <v>1168.01715706875</v>
      </c>
      <c r="K1220" s="59" t="n">
        <f aca="false">J1220*EXP((mc_mu-mc_vol^2/2)*(mc_t2-mc_t1)+mc_vol*SQRT(mc_t2-mc_t1)*I1220)</f>
        <v>969.550549989146</v>
      </c>
      <c r="L1220" s="31" t="n">
        <f aca="false">(t1_usd*J1220+t2_usd*K1220)/1000</f>
        <v>10018.2661444606</v>
      </c>
    </row>
    <row r="1221" customFormat="false" ht="15" hidden="false" customHeight="false" outlineLevel="0" collapsed="false">
      <c r="E1221" s="54" t="n">
        <v>1217</v>
      </c>
      <c r="F1221" s="61" t="n">
        <v>0.607567</v>
      </c>
      <c r="G1221" s="61" t="n">
        <v>0.06656</v>
      </c>
      <c r="H1221" s="34" t="n">
        <f aca="false">NORMSINV(F1221)</f>
        <v>0.272983368785858</v>
      </c>
      <c r="I1221" s="34" t="n">
        <f aca="false">NORMSINV(G1221)</f>
        <v>-1.50191136931808</v>
      </c>
      <c r="J1221" s="59" t="n">
        <f aca="false">mc_s0*EXP((mc_mu-mc_vol^2/2)*mc_t1+mc_vol*SQRT(mc_t1)*H1221)</f>
        <v>1176.55009922923</v>
      </c>
      <c r="K1221" s="59" t="n">
        <f aca="false">J1221*EXP((mc_mu-mc_vol^2/2)*(mc_t2-mc_t1)+mc_vol*SQRT(mc_t2-mc_t1)*I1221)</f>
        <v>945.579033624001</v>
      </c>
      <c r="L1221" s="31" t="n">
        <f aca="false">(t1_usd*J1221+t2_usd*K1221)/1000</f>
        <v>10032.4508584902</v>
      </c>
    </row>
    <row r="1222" customFormat="false" ht="15" hidden="false" customHeight="false" outlineLevel="0" collapsed="false">
      <c r="E1222" s="54" t="n">
        <v>1218</v>
      </c>
      <c r="F1222" s="61" t="n">
        <v>0.287701</v>
      </c>
      <c r="G1222" s="61" t="n">
        <v>0.781836</v>
      </c>
      <c r="H1222" s="34" t="n">
        <f aca="false">NORMSINV(F1222)</f>
        <v>-0.560113533376634</v>
      </c>
      <c r="I1222" s="34" t="n">
        <f aca="false">NORMSINV(G1222)</f>
        <v>0.778408889192796</v>
      </c>
      <c r="J1222" s="59" t="n">
        <f aca="false">mc_s0*EXP((mc_mu-mc_vol^2/2)*mc_t1+mc_vol*SQRT(mc_t1)*H1222)</f>
        <v>1086.54931489409</v>
      </c>
      <c r="K1222" s="59" t="n">
        <f aca="false">J1222*EXP((mc_mu-mc_vol^2/2)*(mc_t2-mc_t1)+mc_vol*SQRT(mc_t2-mc_t1)*I1222)</f>
        <v>1250.85279728257</v>
      </c>
      <c r="L1222" s="31" t="n">
        <f aca="false">(t1_usd*J1222+t2_usd*K1222)/1000</f>
        <v>9982.46551909552</v>
      </c>
    </row>
    <row r="1223" customFormat="false" ht="15" hidden="false" customHeight="false" outlineLevel="0" collapsed="false">
      <c r="E1223" s="54" t="n">
        <v>1219</v>
      </c>
      <c r="F1223" s="61" t="n">
        <v>0.428905</v>
      </c>
      <c r="G1223" s="61" t="n">
        <v>0.81686</v>
      </c>
      <c r="H1223" s="34" t="n">
        <f aca="false">NORMSINV(F1223)</f>
        <v>-0.179162637441388</v>
      </c>
      <c r="I1223" s="34" t="n">
        <f aca="false">NORMSINV(G1223)</f>
        <v>0.903463408736995</v>
      </c>
      <c r="J1223" s="59" t="n">
        <f aca="false">mc_s0*EXP((mc_mu-mc_vol^2/2)*mc_t1+mc_vol*SQRT(mc_t1)*H1223)</f>
        <v>1126.81643006671</v>
      </c>
      <c r="K1223" s="59" t="n">
        <f aca="false">J1223*EXP((mc_mu-mc_vol^2/2)*(mc_t2-mc_t1)+mc_vol*SQRT(mc_t2-mc_t1)*I1223)</f>
        <v>1323.0275753615</v>
      </c>
      <c r="L1223" s="31" t="n">
        <f aca="false">(t1_usd*J1223+t2_usd*K1223)/1000</f>
        <v>10401.4674036538</v>
      </c>
    </row>
    <row r="1224" customFormat="false" ht="15" hidden="false" customHeight="false" outlineLevel="0" collapsed="false">
      <c r="E1224" s="54" t="n">
        <v>1220</v>
      </c>
      <c r="F1224" s="61" t="n">
        <v>0.208003</v>
      </c>
      <c r="G1224" s="61" t="n">
        <v>0.448186</v>
      </c>
      <c r="H1224" s="34" t="n">
        <f aca="false">NORMSINV(F1224)</f>
        <v>-0.813369920031177</v>
      </c>
      <c r="I1224" s="34" t="n">
        <f aca="false">NORMSINV(G1224)</f>
        <v>-0.130245749449204</v>
      </c>
      <c r="J1224" s="59" t="n">
        <f aca="false">mc_s0*EXP((mc_mu-mc_vol^2/2)*mc_t1+mc_vol*SQRT(mc_t1)*H1224)</f>
        <v>1060.5792207555</v>
      </c>
      <c r="K1224" s="59" t="n">
        <f aca="false">J1224*EXP((mc_mu-mc_vol^2/2)*(mc_t2-mc_t1)+mc_vol*SQRT(mc_t2-mc_t1)*I1224)</f>
        <v>1058.05894992107</v>
      </c>
      <c r="L1224" s="31" t="n">
        <f aca="false">(t1_usd*J1224+t2_usd*K1224)/1000</f>
        <v>9434.36655013851</v>
      </c>
    </row>
    <row r="1225" customFormat="false" ht="15" hidden="false" customHeight="false" outlineLevel="0" collapsed="false">
      <c r="E1225" s="54" t="n">
        <v>1221</v>
      </c>
      <c r="F1225" s="61" t="n">
        <v>0.995817</v>
      </c>
      <c r="G1225" s="61" t="n">
        <v>0.388248</v>
      </c>
      <c r="H1225" s="34" t="n">
        <f aca="false">NORMSINV(F1225)</f>
        <v>2.63693037874735</v>
      </c>
      <c r="I1225" s="34" t="n">
        <f aca="false">NORMSINV(G1225)</f>
        <v>-0.283888277861238</v>
      </c>
      <c r="J1225" s="59" t="n">
        <f aca="false">mc_s0*EXP((mc_mu-mc_vol^2/2)*mc_t1+mc_vol*SQRT(mc_t1)*H1225)</f>
        <v>1474.61499546131</v>
      </c>
      <c r="K1225" s="59" t="n">
        <f aca="false">J1225*EXP((mc_mu-mc_vol^2/2)*(mc_t2-mc_t1)+mc_vol*SQRT(mc_t2-mc_t1)*I1225)</f>
        <v>1435.91858694961</v>
      </c>
      <c r="L1225" s="31" t="n">
        <f aca="false">(t1_usd*J1225+t2_usd*K1225)/1000</f>
        <v>13050.5502834334</v>
      </c>
    </row>
    <row r="1226" customFormat="false" ht="15" hidden="false" customHeight="false" outlineLevel="0" collapsed="false">
      <c r="E1226" s="54" t="n">
        <v>1222</v>
      </c>
      <c r="F1226" s="61" t="n">
        <v>0.681501</v>
      </c>
      <c r="G1226" s="61" t="n">
        <v>0.250384</v>
      </c>
      <c r="H1226" s="34" t="n">
        <f aca="false">NORMSINV(F1226)</f>
        <v>0.471900235453269</v>
      </c>
      <c r="I1226" s="34" t="n">
        <f aca="false">NORMSINV(G1226)</f>
        <v>-0.673281845896227</v>
      </c>
      <c r="J1226" s="59" t="n">
        <f aca="false">mc_s0*EXP((mc_mu-mc_vol^2/2)*mc_t1+mc_vol*SQRT(mc_t1)*H1226)</f>
        <v>1199.11954242997</v>
      </c>
      <c r="K1226" s="59" t="n">
        <f aca="false">J1226*EXP((mc_mu-mc_vol^2/2)*(mc_t2-mc_t1)+mc_vol*SQRT(mc_t2-mc_t1)*I1226)</f>
        <v>1098.15295175834</v>
      </c>
      <c r="L1226" s="31" t="n">
        <f aca="false">(t1_usd*J1226+t2_usd*K1226)/1000</f>
        <v>10480.3274053506</v>
      </c>
    </row>
    <row r="1227" customFormat="false" ht="15" hidden="false" customHeight="false" outlineLevel="0" collapsed="false">
      <c r="E1227" s="54" t="n">
        <v>1223</v>
      </c>
      <c r="F1227" s="61" t="n">
        <v>0.733384</v>
      </c>
      <c r="G1227" s="61" t="n">
        <v>0.471153</v>
      </c>
      <c r="H1227" s="34" t="n">
        <f aca="false">NORMSINV(F1227)</f>
        <v>0.62307992668962</v>
      </c>
      <c r="I1227" s="34" t="n">
        <f aca="false">NORMSINV(G1227)</f>
        <v>-0.0723718330113176</v>
      </c>
      <c r="J1227" s="59" t="n">
        <f aca="false">mc_s0*EXP((mc_mu-mc_vol^2/2)*mc_t1+mc_vol*SQRT(mc_t1)*H1227)</f>
        <v>1216.56176398886</v>
      </c>
      <c r="K1227" s="59" t="n">
        <f aca="false">J1227*EXP((mc_mu-mc_vol^2/2)*(mc_t2-mc_t1)+mc_vol*SQRT(mc_t2-mc_t1)*I1227)</f>
        <v>1224.79079039475</v>
      </c>
      <c r="L1227" s="31" t="n">
        <f aca="false">(t1_usd*J1227+t2_usd*K1227)/1000</f>
        <v>10843.0348496721</v>
      </c>
    </row>
    <row r="1228" customFormat="false" ht="15" hidden="false" customHeight="false" outlineLevel="0" collapsed="false">
      <c r="E1228" s="54" t="n">
        <v>1224</v>
      </c>
      <c r="F1228" s="61" t="n">
        <v>0.514702</v>
      </c>
      <c r="G1228" s="61" t="n">
        <v>0.930873</v>
      </c>
      <c r="H1228" s="34" t="n">
        <f aca="false">NORMSINV(F1228)</f>
        <v>0.0368607944311701</v>
      </c>
      <c r="I1228" s="34" t="n">
        <f aca="false">NORMSINV(G1228)</f>
        <v>1.48232439599639</v>
      </c>
      <c r="J1228" s="59" t="n">
        <f aca="false">mc_s0*EXP((mc_mu-mc_vol^2/2)*mc_t1+mc_vol*SQRT(mc_t1)*H1228)</f>
        <v>1150.30999094729</v>
      </c>
      <c r="K1228" s="59" t="n">
        <f aca="false">J1228*EXP((mc_mu-mc_vol^2/2)*(mc_t2-mc_t1)+mc_vol*SQRT(mc_t2-mc_t1)*I1228)</f>
        <v>1479.61572406691</v>
      </c>
      <c r="L1228" s="31" t="n">
        <f aca="false">(t1_usd*J1228+t2_usd*K1228)/1000</f>
        <v>10863.4398123582</v>
      </c>
    </row>
    <row r="1229" customFormat="false" ht="15" hidden="false" customHeight="false" outlineLevel="0" collapsed="false">
      <c r="E1229" s="54" t="n">
        <v>1225</v>
      </c>
      <c r="F1229" s="61" t="n">
        <v>0.784112</v>
      </c>
      <c r="G1229" s="61" t="n">
        <v>0.739513</v>
      </c>
      <c r="H1229" s="34" t="n">
        <f aca="false">NORMSINV(F1229)</f>
        <v>0.786156170619556</v>
      </c>
      <c r="I1229" s="34" t="n">
        <f aca="false">NORMSINV(G1229)</f>
        <v>0.641844735438531</v>
      </c>
      <c r="J1229" s="59" t="n">
        <f aca="false">mc_s0*EXP((mc_mu-mc_vol^2/2)*mc_t1+mc_vol*SQRT(mc_t1)*H1229)</f>
        <v>1235.66109289734</v>
      </c>
      <c r="K1229" s="59" t="n">
        <f aca="false">J1229*EXP((mc_mu-mc_vol^2/2)*(mc_t2-mc_t1)+mc_vol*SQRT(mc_t2-mc_t1)*I1229)</f>
        <v>1392.22500578346</v>
      </c>
      <c r="L1229" s="31" t="n">
        <f aca="false">(t1_usd*J1229+t2_usd*K1229)/1000</f>
        <v>11294.8551612699</v>
      </c>
    </row>
    <row r="1230" customFormat="false" ht="15" hidden="false" customHeight="false" outlineLevel="0" collapsed="false">
      <c r="E1230" s="54" t="n">
        <v>1226</v>
      </c>
      <c r="F1230" s="61" t="n">
        <v>0.365642</v>
      </c>
      <c r="G1230" s="61" t="n">
        <v>0.938978</v>
      </c>
      <c r="H1230" s="34" t="n">
        <f aca="false">NORMSINV(F1230)</f>
        <v>-0.343418026550398</v>
      </c>
      <c r="I1230" s="34" t="n">
        <f aca="false">NORMSINV(G1230)</f>
        <v>1.54625083792245</v>
      </c>
      <c r="J1230" s="59" t="n">
        <f aca="false">mc_s0*EXP((mc_mu-mc_vol^2/2)*mc_t1+mc_vol*SQRT(mc_t1)*H1230)</f>
        <v>1109.27453781992</v>
      </c>
      <c r="K1230" s="59" t="n">
        <f aca="false">J1230*EXP((mc_mu-mc_vol^2/2)*(mc_t2-mc_t1)+mc_vol*SQRT(mc_t2-mc_t1)*I1230)</f>
        <v>1441.27991602568</v>
      </c>
      <c r="L1230" s="31" t="n">
        <f aca="false">(t1_usd*J1230+t2_usd*K1230)/1000</f>
        <v>10503.3536051882</v>
      </c>
    </row>
    <row r="1231" customFormat="false" ht="15" hidden="false" customHeight="false" outlineLevel="0" collapsed="false">
      <c r="E1231" s="54" t="n">
        <v>1227</v>
      </c>
      <c r="F1231" s="61" t="n">
        <v>0.852673</v>
      </c>
      <c r="G1231" s="61" t="n">
        <v>0.401569</v>
      </c>
      <c r="H1231" s="34" t="n">
        <f aca="false">NORMSINV(F1231)</f>
        <v>1.04796659029625</v>
      </c>
      <c r="I1231" s="34" t="n">
        <f aca="false">NORMSINV(G1231)</f>
        <v>-0.249288016799058</v>
      </c>
      <c r="J1231" s="59" t="n">
        <f aca="false">mc_s0*EXP((mc_mu-mc_vol^2/2)*mc_t1+mc_vol*SQRT(mc_t1)*H1231)</f>
        <v>1266.95317507289</v>
      </c>
      <c r="K1231" s="59" t="n">
        <f aca="false">J1231*EXP((mc_mu-mc_vol^2/2)*(mc_t2-mc_t1)+mc_vol*SQRT(mc_t2-mc_t1)*I1231)</f>
        <v>1240.45165123756</v>
      </c>
      <c r="L1231" s="31" t="n">
        <f aca="false">(t1_usd*J1231+t2_usd*K1231)/1000</f>
        <v>11225.5303628616</v>
      </c>
    </row>
    <row r="1232" customFormat="false" ht="15" hidden="false" customHeight="false" outlineLevel="0" collapsed="false">
      <c r="E1232" s="54" t="n">
        <v>1228</v>
      </c>
      <c r="F1232" s="61" t="n">
        <v>0.088995</v>
      </c>
      <c r="G1232" s="61" t="n">
        <v>0.478953</v>
      </c>
      <c r="H1232" s="34" t="n">
        <f aca="false">NORMSINV(F1232)</f>
        <v>-1.34696967363812</v>
      </c>
      <c r="I1232" s="34" t="n">
        <f aca="false">NORMSINV(G1232)</f>
        <v>-0.0527815022750873</v>
      </c>
      <c r="J1232" s="59" t="n">
        <f aca="false">mc_s0*EXP((mc_mu-mc_vol^2/2)*mc_t1+mc_vol*SQRT(mc_t1)*H1232)</f>
        <v>1007.87519178313</v>
      </c>
      <c r="K1232" s="59" t="n">
        <f aca="false">J1232*EXP((mc_mu-mc_vol^2/2)*(mc_t2-mc_t1)+mc_vol*SQRT(mc_t2-mc_t1)*I1232)</f>
        <v>1017.83013166162</v>
      </c>
      <c r="L1232" s="31" t="n">
        <f aca="false">(t1_usd*J1232+t2_usd*K1232)/1000</f>
        <v>8989.00359263897</v>
      </c>
    </row>
    <row r="1233" customFormat="false" ht="15" hidden="false" customHeight="false" outlineLevel="0" collapsed="false">
      <c r="E1233" s="54" t="n">
        <v>1229</v>
      </c>
      <c r="F1233" s="61" t="n">
        <v>0.933582</v>
      </c>
      <c r="G1233" s="61" t="n">
        <v>0.21714</v>
      </c>
      <c r="H1233" s="34" t="n">
        <f aca="false">NORMSINV(F1233)</f>
        <v>1.50301180443057</v>
      </c>
      <c r="I1233" s="34" t="n">
        <f aca="false">NORMSINV(G1233)</f>
        <v>-0.781888677007595</v>
      </c>
      <c r="J1233" s="59" t="n">
        <f aca="false">mc_s0*EXP((mc_mu-mc_vol^2/2)*mc_t1+mc_vol*SQRT(mc_t1)*H1233)</f>
        <v>1323.23838853144</v>
      </c>
      <c r="K1233" s="59" t="n">
        <f aca="false">J1233*EXP((mc_mu-mc_vol^2/2)*(mc_t2-mc_t1)+mc_vol*SQRT(mc_t2-mc_t1)*I1233)</f>
        <v>1191.2562465242</v>
      </c>
      <c r="L1233" s="31" t="n">
        <f aca="false">(t1_usd*J1233+t2_usd*K1233)/1000</f>
        <v>11526.0555881161</v>
      </c>
    </row>
    <row r="1234" customFormat="false" ht="15" hidden="false" customHeight="false" outlineLevel="0" collapsed="false">
      <c r="E1234" s="54" t="n">
        <v>1230</v>
      </c>
      <c r="F1234" s="61" t="n">
        <v>0.790838</v>
      </c>
      <c r="G1234" s="61" t="n">
        <v>0.22259</v>
      </c>
      <c r="H1234" s="34" t="n">
        <f aca="false">NORMSINV(F1234)</f>
        <v>0.809332355529551</v>
      </c>
      <c r="I1234" s="34" t="n">
        <f aca="false">NORMSINV(G1234)</f>
        <v>-0.763475278963649</v>
      </c>
      <c r="J1234" s="59" t="n">
        <f aca="false">mc_s0*EXP((mc_mu-mc_vol^2/2)*mc_t1+mc_vol*SQRT(mc_t1)*H1234)</f>
        <v>1238.39969154212</v>
      </c>
      <c r="K1234" s="59" t="n">
        <f aca="false">J1234*EXP((mc_mu-mc_vol^2/2)*(mc_t2-mc_t1)+mc_vol*SQRT(mc_t2-mc_t1)*I1234)</f>
        <v>1118.11939674296</v>
      </c>
      <c r="L1234" s="31" t="n">
        <f aca="false">(t1_usd*J1234+t2_usd*K1234)/1000</f>
        <v>10793.2246946065</v>
      </c>
    </row>
    <row r="1235" customFormat="false" ht="15" hidden="false" customHeight="false" outlineLevel="0" collapsed="false">
      <c r="E1235" s="54" t="n">
        <v>1231</v>
      </c>
      <c r="F1235" s="61" t="n">
        <v>0.782951</v>
      </c>
      <c r="G1235" s="61" t="n">
        <v>0.192621</v>
      </c>
      <c r="H1235" s="34" t="n">
        <f aca="false">NORMSINV(F1235)</f>
        <v>0.782198373908179</v>
      </c>
      <c r="I1235" s="34" t="n">
        <f aca="false">NORMSINV(G1235)</f>
        <v>-0.868278297509363</v>
      </c>
      <c r="J1235" s="59" t="n">
        <f aca="false">mc_s0*EXP((mc_mu-mc_vol^2/2)*mc_t1+mc_vol*SQRT(mc_t1)*H1235)</f>
        <v>1235.19402823204</v>
      </c>
      <c r="K1235" s="59" t="n">
        <f aca="false">J1235*EXP((mc_mu-mc_vol^2/2)*(mc_t2-mc_t1)+mc_vol*SQRT(mc_t2-mc_t1)*I1235)</f>
        <v>1096.95703194637</v>
      </c>
      <c r="L1235" s="31" t="n">
        <f aca="false">(t1_usd*J1235+t2_usd*K1235)/1000</f>
        <v>10730.5765583224</v>
      </c>
    </row>
    <row r="1236" customFormat="false" ht="15" hidden="false" customHeight="false" outlineLevel="0" collapsed="false">
      <c r="E1236" s="54" t="n">
        <v>1232</v>
      </c>
      <c r="F1236" s="61" t="n">
        <v>0.112803</v>
      </c>
      <c r="G1236" s="61" t="n">
        <v>0.894144</v>
      </c>
      <c r="H1236" s="34" t="n">
        <f aca="false">NORMSINV(F1236)</f>
        <v>-1.21175546647113</v>
      </c>
      <c r="I1236" s="34" t="n">
        <f aca="false">NORMSINV(G1236)</f>
        <v>1.24887171083395</v>
      </c>
      <c r="J1236" s="59" t="n">
        <f aca="false">mc_s0*EXP((mc_mu-mc_vol^2/2)*mc_t1+mc_vol*SQRT(mc_t1)*H1236)</f>
        <v>1020.97735564823</v>
      </c>
      <c r="K1236" s="59" t="n">
        <f aca="false">J1236*EXP((mc_mu-mc_vol^2/2)*(mc_t2-mc_t1)+mc_vol*SQRT(mc_t2-mc_t1)*I1236)</f>
        <v>1265.82077982375</v>
      </c>
      <c r="L1236" s="31" t="n">
        <f aca="false">(t1_usd*J1236+t2_usd*K1236)/1000</f>
        <v>9551.90097120273</v>
      </c>
    </row>
    <row r="1237" customFormat="false" ht="15" hidden="false" customHeight="false" outlineLevel="0" collapsed="false">
      <c r="E1237" s="54" t="n">
        <v>1233</v>
      </c>
      <c r="F1237" s="61" t="n">
        <v>0.419092</v>
      </c>
      <c r="G1237" s="61" t="n">
        <v>0.860969</v>
      </c>
      <c r="H1237" s="34" t="n">
        <f aca="false">NORMSINV(F1237)</f>
        <v>-0.204216906846431</v>
      </c>
      <c r="I1237" s="34" t="n">
        <f aca="false">NORMSINV(G1237)</f>
        <v>1.08468318000983</v>
      </c>
      <c r="J1237" s="59" t="n">
        <f aca="false">mc_s0*EXP((mc_mu-mc_vol^2/2)*mc_t1+mc_vol*SQRT(mc_t1)*H1237)</f>
        <v>1124.12290154163</v>
      </c>
      <c r="K1237" s="59" t="n">
        <f aca="false">J1237*EXP((mc_mu-mc_vol^2/2)*(mc_t2-mc_t1)+mc_vol*SQRT(mc_t2-mc_t1)*I1237)</f>
        <v>1358.10246871985</v>
      </c>
      <c r="L1237" s="31" t="n">
        <f aca="false">(t1_usd*J1237+t2_usd*K1237)/1000</f>
        <v>10449.2550013591</v>
      </c>
    </row>
    <row r="1238" customFormat="false" ht="15" hidden="false" customHeight="false" outlineLevel="0" collapsed="false">
      <c r="E1238" s="54" t="n">
        <v>1234</v>
      </c>
      <c r="F1238" s="61" t="n">
        <v>0.507831</v>
      </c>
      <c r="G1238" s="61" t="n">
        <v>0.203683</v>
      </c>
      <c r="H1238" s="34" t="n">
        <f aca="false">NORMSINV(F1238)</f>
        <v>0.0196306667681183</v>
      </c>
      <c r="I1238" s="34" t="n">
        <f aca="false">NORMSINV(G1238)</f>
        <v>-0.828537794642118</v>
      </c>
      <c r="J1238" s="59" t="n">
        <f aca="false">mc_s0*EXP((mc_mu-mc_vol^2/2)*mc_t1+mc_vol*SQRT(mc_t1)*H1238)</f>
        <v>1148.41829083368</v>
      </c>
      <c r="K1238" s="59" t="n">
        <f aca="false">J1238*EXP((mc_mu-mc_vol^2/2)*(mc_t2-mc_t1)+mc_vol*SQRT(mc_t2-mc_t1)*I1238)</f>
        <v>1026.300281105</v>
      </c>
      <c r="L1238" s="31" t="n">
        <f aca="false">(t1_usd*J1238+t2_usd*K1238)/1000</f>
        <v>9988.89856993526</v>
      </c>
    </row>
    <row r="1239" customFormat="false" ht="15" hidden="false" customHeight="false" outlineLevel="0" collapsed="false">
      <c r="E1239" s="54" t="n">
        <v>1235</v>
      </c>
      <c r="F1239" s="61" t="n">
        <v>0.312359</v>
      </c>
      <c r="G1239" s="61" t="n">
        <v>0.38007</v>
      </c>
      <c r="H1239" s="34" t="n">
        <f aca="false">NORMSINV(F1239)</f>
        <v>-0.489174727641336</v>
      </c>
      <c r="I1239" s="34" t="n">
        <f aca="false">NORMSINV(G1239)</f>
        <v>-0.305296948256979</v>
      </c>
      <c r="J1239" s="59" t="n">
        <f aca="false">mc_s0*EXP((mc_mu-mc_vol^2/2)*mc_t1+mc_vol*SQRT(mc_t1)*H1239)</f>
        <v>1093.93705895831</v>
      </c>
      <c r="K1239" s="59" t="n">
        <f aca="false">J1239*EXP((mc_mu-mc_vol^2/2)*(mc_t2-mc_t1)+mc_vol*SQRT(mc_t2-mc_t1)*I1239)</f>
        <v>1061.6424048724</v>
      </c>
      <c r="L1239" s="31" t="n">
        <f aca="false">(t1_usd*J1239+t2_usd*K1239)/1000</f>
        <v>9674.67998196573</v>
      </c>
    </row>
    <row r="1240" customFormat="false" ht="15" hidden="false" customHeight="false" outlineLevel="0" collapsed="false">
      <c r="E1240" s="54" t="n">
        <v>1236</v>
      </c>
      <c r="F1240" s="61" t="n">
        <v>0.542856</v>
      </c>
      <c r="G1240" s="61" t="n">
        <v>0.036964</v>
      </c>
      <c r="H1240" s="34" t="n">
        <f aca="false">NORMSINV(F1240)</f>
        <v>0.107631511023255</v>
      </c>
      <c r="I1240" s="34" t="n">
        <f aca="false">NORMSINV(G1240)</f>
        <v>-1.78705871036168</v>
      </c>
      <c r="J1240" s="59" t="n">
        <f aca="false">mc_s0*EXP((mc_mu-mc_vol^2/2)*mc_t1+mc_vol*SQRT(mc_t1)*H1240)</f>
        <v>1158.11266600264</v>
      </c>
      <c r="K1240" s="59" t="n">
        <f aca="false">J1240*EXP((mc_mu-mc_vol^2/2)*(mc_t2-mc_t1)+mc_vol*SQRT(mc_t2-mc_t1)*I1240)</f>
        <v>889.861069264853</v>
      </c>
      <c r="L1240" s="31" t="n">
        <f aca="false">(t1_usd*J1240+t2_usd*K1240)/1000</f>
        <v>9797.52469362167</v>
      </c>
    </row>
    <row r="1241" customFormat="false" ht="15" hidden="false" customHeight="false" outlineLevel="0" collapsed="false">
      <c r="E1241" s="54" t="n">
        <v>1237</v>
      </c>
      <c r="F1241" s="61" t="n">
        <v>0.040326</v>
      </c>
      <c r="G1241" s="61" t="n">
        <v>0.980331</v>
      </c>
      <c r="H1241" s="34" t="n">
        <f aca="false">NORMSINV(F1241)</f>
        <v>-1.74691548123002</v>
      </c>
      <c r="I1241" s="34" t="n">
        <f aca="false">NORMSINV(G1241)</f>
        <v>2.06063369126888</v>
      </c>
      <c r="J1241" s="59" t="n">
        <f aca="false">mc_s0*EXP((mc_mu-mc_vol^2/2)*mc_t1+mc_vol*SQRT(mc_t1)*H1241)</f>
        <v>970.096692797874</v>
      </c>
      <c r="K1241" s="59" t="n">
        <f aca="false">J1241*EXP((mc_mu-mc_vol^2/2)*(mc_t2-mc_t1)+mc_vol*SQRT(mc_t2-mc_t1)*I1241)</f>
        <v>1366.87761775528</v>
      </c>
      <c r="L1241" s="31" t="n">
        <f aca="false">(t1_usd*J1241+t2_usd*K1241)/1000</f>
        <v>9387.74432332015</v>
      </c>
    </row>
    <row r="1242" customFormat="false" ht="15" hidden="false" customHeight="false" outlineLevel="0" collapsed="false">
      <c r="E1242" s="54" t="n">
        <v>1238</v>
      </c>
      <c r="F1242" s="61" t="n">
        <v>0.490569</v>
      </c>
      <c r="G1242" s="61" t="n">
        <v>0.446526</v>
      </c>
      <c r="H1242" s="34" t="n">
        <f aca="false">NORMSINV(F1242)</f>
        <v>-0.0236422135593993</v>
      </c>
      <c r="I1242" s="34" t="n">
        <f aca="false">NORMSINV(G1242)</f>
        <v>-0.134443355593559</v>
      </c>
      <c r="J1242" s="59" t="n">
        <f aca="false">mc_s0*EXP((mc_mu-mc_vol^2/2)*mc_t1+mc_vol*SQRT(mc_t1)*H1242)</f>
        <v>1143.68105641114</v>
      </c>
      <c r="K1242" s="59" t="n">
        <f aca="false">J1242*EXP((mc_mu-mc_vol^2/2)*(mc_t2-mc_t1)+mc_vol*SQRT(mc_t2-mc_t1)*I1242)</f>
        <v>1140.20879557587</v>
      </c>
      <c r="L1242" s="31" t="n">
        <f aca="false">(t1_usd*J1242+t2_usd*K1242)/1000</f>
        <v>10172.1641064721</v>
      </c>
    </row>
    <row r="1243" customFormat="false" ht="15" hidden="false" customHeight="false" outlineLevel="0" collapsed="false">
      <c r="E1243" s="54" t="n">
        <v>1239</v>
      </c>
      <c r="F1243" s="61" t="n">
        <v>0.647179</v>
      </c>
      <c r="G1243" s="61" t="n">
        <v>0.755855</v>
      </c>
      <c r="H1243" s="34" t="n">
        <f aca="false">NORMSINV(F1243)</f>
        <v>0.377715435439674</v>
      </c>
      <c r="I1243" s="34" t="n">
        <f aca="false">NORMSINV(G1243)</f>
        <v>0.693031155131314</v>
      </c>
      <c r="J1243" s="59" t="n">
        <f aca="false">mc_s0*EXP((mc_mu-mc_vol^2/2)*mc_t1+mc_vol*SQRT(mc_t1)*H1243)</f>
        <v>1188.37971287553</v>
      </c>
      <c r="K1243" s="59" t="n">
        <f aca="false">J1243*EXP((mc_mu-mc_vol^2/2)*(mc_t2-mc_t1)+mc_vol*SQRT(mc_t2-mc_t1)*I1243)</f>
        <v>1349.79737868617</v>
      </c>
      <c r="L1243" s="31" t="n">
        <f aca="false">(t1_usd*J1243+t2_usd*K1243)/1000</f>
        <v>10883.2730096324</v>
      </c>
    </row>
    <row r="1244" customFormat="false" ht="15" hidden="false" customHeight="false" outlineLevel="0" collapsed="false">
      <c r="E1244" s="54" t="n">
        <v>1240</v>
      </c>
      <c r="F1244" s="61" t="n">
        <v>0.383124</v>
      </c>
      <c r="G1244" s="61" t="n">
        <v>0.441252</v>
      </c>
      <c r="H1244" s="34" t="n">
        <f aca="false">NORMSINV(F1244)</f>
        <v>-0.297286221560109</v>
      </c>
      <c r="I1244" s="34" t="n">
        <f aca="false">NORMSINV(G1244)</f>
        <v>-0.14779570376747</v>
      </c>
      <c r="J1244" s="59" t="n">
        <f aca="false">mc_s0*EXP((mc_mu-mc_vol^2/2)*mc_t1+mc_vol*SQRT(mc_t1)*H1244)</f>
        <v>1114.17348751922</v>
      </c>
      <c r="K1244" s="59" t="n">
        <f aca="false">J1244*EXP((mc_mu-mc_vol^2/2)*(mc_t2-mc_t1)+mc_vol*SQRT(mc_t2-mc_t1)*I1244)</f>
        <v>1108.45590065206</v>
      </c>
      <c r="L1244" s="31" t="n">
        <f aca="false">(t1_usd*J1244+t2_usd*K1244)/1000</f>
        <v>9905.28062387344</v>
      </c>
    </row>
    <row r="1245" customFormat="false" ht="15" hidden="false" customHeight="false" outlineLevel="0" collapsed="false">
      <c r="E1245" s="54" t="n">
        <v>1241</v>
      </c>
      <c r="F1245" s="61" t="n">
        <v>0.358882</v>
      </c>
      <c r="G1245" s="61" t="n">
        <v>0.087617</v>
      </c>
      <c r="H1245" s="34" t="n">
        <f aca="false">NORMSINV(F1245)</f>
        <v>-0.361448763967684</v>
      </c>
      <c r="I1245" s="34" t="n">
        <f aca="false">NORMSINV(G1245)</f>
        <v>-1.3555763526802</v>
      </c>
      <c r="J1245" s="59" t="n">
        <f aca="false">mc_s0*EXP((mc_mu-mc_vol^2/2)*mc_t1+mc_vol*SQRT(mc_t1)*H1245)</f>
        <v>1107.3656305411</v>
      </c>
      <c r="K1245" s="59" t="n">
        <f aca="false">J1245*EXP((mc_mu-mc_vol^2/2)*(mc_t2-mc_t1)+mc_vol*SQRT(mc_t2-mc_t1)*I1245)</f>
        <v>910.738905834921</v>
      </c>
      <c r="L1245" s="31" t="n">
        <f aca="false">(t1_usd*J1245+t2_usd*K1245)/1000</f>
        <v>9481.96333487404</v>
      </c>
    </row>
    <row r="1246" customFormat="false" ht="15" hidden="false" customHeight="false" outlineLevel="0" collapsed="false">
      <c r="E1246" s="54" t="n">
        <v>1242</v>
      </c>
      <c r="F1246" s="61" t="n">
        <v>0.557685</v>
      </c>
      <c r="G1246" s="61" t="n">
        <v>0.5108</v>
      </c>
      <c r="H1246" s="34" t="n">
        <f aca="false">NORMSINV(F1246)</f>
        <v>0.145102429662507</v>
      </c>
      <c r="I1246" s="34" t="n">
        <f aca="false">NORMSINV(G1246)</f>
        <v>0.0270748928765654</v>
      </c>
      <c r="J1246" s="59" t="n">
        <f aca="false">mc_s0*EXP((mc_mu-mc_vol^2/2)*mc_t1+mc_vol*SQRT(mc_t1)*H1246)</f>
        <v>1162.26534988728</v>
      </c>
      <c r="K1246" s="59" t="n">
        <f aca="false">J1246*EXP((mc_mu-mc_vol^2/2)*(mc_t2-mc_t1)+mc_vol*SQRT(mc_t2-mc_t1)*I1246)</f>
        <v>1188.60994209767</v>
      </c>
      <c r="L1246" s="31" t="n">
        <f aca="false">(t1_usd*J1246+t2_usd*K1246)/1000</f>
        <v>10394.2163391965</v>
      </c>
    </row>
    <row r="1247" customFormat="false" ht="15" hidden="false" customHeight="false" outlineLevel="0" collapsed="false">
      <c r="E1247" s="54" t="n">
        <v>1243</v>
      </c>
      <c r="F1247" s="61" t="n">
        <v>0.415042</v>
      </c>
      <c r="G1247" s="61" t="n">
        <v>0.750735</v>
      </c>
      <c r="H1247" s="34" t="n">
        <f aca="false">NORMSINV(F1247)</f>
        <v>-0.214593836183995</v>
      </c>
      <c r="I1247" s="34" t="n">
        <f aca="false">NORMSINV(G1247)</f>
        <v>0.676804504141933</v>
      </c>
      <c r="J1247" s="59" t="n">
        <f aca="false">mc_s0*EXP((mc_mu-mc_vol^2/2)*mc_t1+mc_vol*SQRT(mc_t1)*H1247)</f>
        <v>1123.00918754181</v>
      </c>
      <c r="K1247" s="59" t="n">
        <f aca="false">J1247*EXP((mc_mu-mc_vol^2/2)*(mc_t2-mc_t1)+mc_vol*SQRT(mc_t2-mc_t1)*I1247)</f>
        <v>1272.28989642845</v>
      </c>
      <c r="L1247" s="31" t="n">
        <f aca="false">(t1_usd*J1247+t2_usd*K1247)/1000</f>
        <v>10278.4151160067</v>
      </c>
    </row>
    <row r="1248" customFormat="false" ht="15" hidden="false" customHeight="false" outlineLevel="0" collapsed="false">
      <c r="E1248" s="54" t="n">
        <v>1244</v>
      </c>
      <c r="F1248" s="61" t="n">
        <v>0.693848</v>
      </c>
      <c r="G1248" s="61" t="n">
        <v>0.960702</v>
      </c>
      <c r="H1248" s="34" t="n">
        <f aca="false">NORMSINV(F1248)</f>
        <v>0.506787397297254</v>
      </c>
      <c r="I1248" s="34" t="n">
        <f aca="false">NORMSINV(G1248)</f>
        <v>1.75889114204591</v>
      </c>
      <c r="J1248" s="59" t="n">
        <f aca="false">mc_s0*EXP((mc_mu-mc_vol^2/2)*mc_t1+mc_vol*SQRT(mc_t1)*H1248)</f>
        <v>1203.12229013449</v>
      </c>
      <c r="K1248" s="59" t="n">
        <f aca="false">J1248*EXP((mc_mu-mc_vol^2/2)*(mc_t2-mc_t1)+mc_vol*SQRT(mc_t2-mc_t1)*I1248)</f>
        <v>1616.48828207159</v>
      </c>
      <c r="L1248" s="31" t="n">
        <f aca="false">(t1_usd*J1248+t2_usd*K1248)/1000</f>
        <v>11493.1837668775</v>
      </c>
    </row>
    <row r="1249" customFormat="false" ht="15" hidden="false" customHeight="false" outlineLevel="0" collapsed="false">
      <c r="E1249" s="54" t="n">
        <v>1245</v>
      </c>
      <c r="F1249" s="61" t="n">
        <v>0.957251</v>
      </c>
      <c r="G1249" s="61" t="n">
        <v>0.611374</v>
      </c>
      <c r="H1249" s="34" t="n">
        <f aca="false">NORMSINV(F1249)</f>
        <v>1.71963945279162</v>
      </c>
      <c r="I1249" s="34" t="n">
        <f aca="false">NORMSINV(G1249)</f>
        <v>0.282901949659168</v>
      </c>
      <c r="J1249" s="59" t="n">
        <f aca="false">mc_s0*EXP((mc_mu-mc_vol^2/2)*mc_t1+mc_vol*SQRT(mc_t1)*H1249)</f>
        <v>1350.90521639691</v>
      </c>
      <c r="K1249" s="59" t="n">
        <f aca="false">J1249*EXP((mc_mu-mc_vol^2/2)*(mc_t2-mc_t1)+mc_vol*SQRT(mc_t2-mc_t1)*I1249)</f>
        <v>1438.3620812729</v>
      </c>
      <c r="L1249" s="31" t="n">
        <f aca="false">(t1_usd*J1249+t2_usd*K1249)/1000</f>
        <v>12189.2244691969</v>
      </c>
    </row>
    <row r="1250" customFormat="false" ht="15" hidden="false" customHeight="false" outlineLevel="0" collapsed="false">
      <c r="E1250" s="54" t="n">
        <v>1246</v>
      </c>
      <c r="F1250" s="61" t="n">
        <v>0.907049</v>
      </c>
      <c r="G1250" s="61" t="n">
        <v>0.89344</v>
      </c>
      <c r="H1250" s="34" t="n">
        <f aca="false">NORMSINV(F1250)</f>
        <v>1.3227996910874</v>
      </c>
      <c r="I1250" s="34" t="n">
        <f aca="false">NORMSINV(G1250)</f>
        <v>1.24503196677275</v>
      </c>
      <c r="J1250" s="59" t="n">
        <f aca="false">mc_s0*EXP((mc_mu-mc_vol^2/2)*mc_t1+mc_vol*SQRT(mc_t1)*H1250)</f>
        <v>1300.65466035923</v>
      </c>
      <c r="K1250" s="59" t="n">
        <f aca="false">J1250*EXP((mc_mu-mc_vol^2/2)*(mc_t2-mc_t1)+mc_vol*SQRT(mc_t2-mc_t1)*I1250)</f>
        <v>1611.59277998727</v>
      </c>
      <c r="L1250" s="31" t="n">
        <f aca="false">(t1_usd*J1250+t2_usd*K1250)/1000</f>
        <v>12166.6089044904</v>
      </c>
    </row>
    <row r="1251" customFormat="false" ht="15" hidden="false" customHeight="false" outlineLevel="0" collapsed="false">
      <c r="E1251" s="54" t="n">
        <v>1247</v>
      </c>
      <c r="F1251" s="61" t="n">
        <v>0.904287</v>
      </c>
      <c r="G1251" s="61" t="n">
        <v>0.835778</v>
      </c>
      <c r="H1251" s="34" t="n">
        <f aca="false">NORMSINV(F1251)</f>
        <v>1.3063722440764</v>
      </c>
      <c r="I1251" s="34" t="n">
        <f aca="false">NORMSINV(G1251)</f>
        <v>0.977252828476436</v>
      </c>
      <c r="J1251" s="59" t="n">
        <f aca="false">mc_s0*EXP((mc_mu-mc_vol^2/2)*mc_t1+mc_vol*SQRT(mc_t1)*H1251)</f>
        <v>1298.6152828555</v>
      </c>
      <c r="K1251" s="59" t="n">
        <f aca="false">J1251*EXP((mc_mu-mc_vol^2/2)*(mc_t2-mc_t1)+mc_vol*SQRT(mc_t2-mc_t1)*I1251)</f>
        <v>1542.57582121415</v>
      </c>
      <c r="L1251" s="31" t="n">
        <f aca="false">(t1_usd*J1251+t2_usd*K1251)/1000</f>
        <v>12021.2010402954</v>
      </c>
    </row>
    <row r="1252" customFormat="false" ht="15" hidden="false" customHeight="false" outlineLevel="0" collapsed="false">
      <c r="E1252" s="54" t="n">
        <v>1248</v>
      </c>
      <c r="F1252" s="61" t="n">
        <v>0.283802</v>
      </c>
      <c r="G1252" s="61" t="n">
        <v>0.076399</v>
      </c>
      <c r="H1252" s="34" t="n">
        <f aca="false">NORMSINV(F1252)</f>
        <v>-0.571583760305027</v>
      </c>
      <c r="I1252" s="34" t="n">
        <f aca="false">NORMSINV(G1252)</f>
        <v>-1.42971790234334</v>
      </c>
      <c r="J1252" s="59" t="n">
        <f aca="false">mc_s0*EXP((mc_mu-mc_vol^2/2)*mc_t1+mc_vol*SQRT(mc_t1)*H1252)</f>
        <v>1085.35947150343</v>
      </c>
      <c r="K1252" s="59" t="n">
        <f aca="false">J1252*EXP((mc_mu-mc_vol^2/2)*(mc_t2-mc_t1)+mc_vol*SQRT(mc_t2-mc_t1)*I1252)</f>
        <v>882.271122565264</v>
      </c>
      <c r="L1252" s="31" t="n">
        <f aca="false">(t1_usd*J1252+t2_usd*K1252)/1000</f>
        <v>9273.83143339803</v>
      </c>
    </row>
    <row r="1253" customFormat="false" ht="15" hidden="false" customHeight="false" outlineLevel="0" collapsed="false">
      <c r="E1253" s="54" t="n">
        <v>1249</v>
      </c>
      <c r="F1253" s="61" t="n">
        <v>0.904308</v>
      </c>
      <c r="G1253" s="61" t="n">
        <v>0.02607</v>
      </c>
      <c r="H1253" s="34" t="n">
        <f aca="false">NORMSINV(F1253)</f>
        <v>1.30649581878606</v>
      </c>
      <c r="I1253" s="34" t="n">
        <f aca="false">NORMSINV(G1253)</f>
        <v>-1.9419760478266</v>
      </c>
      <c r="J1253" s="59" t="n">
        <f aca="false">mc_s0*EXP((mc_mu-mc_vol^2/2)*mc_t1+mc_vol*SQRT(mc_t1)*H1253)</f>
        <v>1298.63061203539</v>
      </c>
      <c r="K1253" s="59" t="n">
        <f aca="false">J1253*EXP((mc_mu-mc_vol^2/2)*(mc_t2-mc_t1)+mc_vol*SQRT(mc_t2-mc_t1)*I1253)</f>
        <v>973.765091754094</v>
      </c>
      <c r="L1253" s="31" t="n">
        <f aca="false">(t1_usd*J1253+t2_usd*K1253)/1000</f>
        <v>10940.5679585805</v>
      </c>
    </row>
    <row r="1254" customFormat="false" ht="15" hidden="false" customHeight="false" outlineLevel="0" collapsed="false">
      <c r="E1254" s="54" t="n">
        <v>1250</v>
      </c>
      <c r="F1254" s="61" t="n">
        <v>0.702345</v>
      </c>
      <c r="G1254" s="61" t="n">
        <v>0.429017</v>
      </c>
      <c r="H1254" s="34" t="n">
        <f aca="false">NORMSINV(F1254)</f>
        <v>0.531156982344602</v>
      </c>
      <c r="I1254" s="34" t="n">
        <f aca="false">NORMSINV(G1254)</f>
        <v>-0.17887736019899</v>
      </c>
      <c r="J1254" s="59" t="n">
        <f aca="false">mc_s0*EXP((mc_mu-mc_vol^2/2)*mc_t1+mc_vol*SQRT(mc_t1)*H1254)</f>
        <v>1205.92623674559</v>
      </c>
      <c r="K1254" s="59" t="n">
        <f aca="false">J1254*EXP((mc_mu-mc_vol^2/2)*(mc_t2-mc_t1)+mc_vol*SQRT(mc_t2-mc_t1)*I1254)</f>
        <v>1193.87554795019</v>
      </c>
      <c r="L1254" s="31" t="n">
        <f aca="false">(t1_usd*J1254+t2_usd*K1254)/1000</f>
        <v>10709.8471983245</v>
      </c>
    </row>
    <row r="1255" customFormat="false" ht="15" hidden="false" customHeight="false" outlineLevel="0" collapsed="false">
      <c r="E1255" s="54" t="n">
        <v>1251</v>
      </c>
      <c r="F1255" s="61" t="n">
        <v>0.577673</v>
      </c>
      <c r="G1255" s="61" t="n">
        <v>0.240894</v>
      </c>
      <c r="H1255" s="34" t="n">
        <f aca="false">NORMSINV(F1255)</f>
        <v>0.195943997086783</v>
      </c>
      <c r="I1255" s="34" t="n">
        <f aca="false">NORMSINV(G1255)</f>
        <v>-0.703429704889861</v>
      </c>
      <c r="J1255" s="59" t="n">
        <f aca="false">mc_s0*EXP((mc_mu-mc_vol^2/2)*mc_t1+mc_vol*SQRT(mc_t1)*H1255)</f>
        <v>1167.92364347672</v>
      </c>
      <c r="K1255" s="59" t="n">
        <f aca="false">J1255*EXP((mc_mu-mc_vol^2/2)*(mc_t2-mc_t1)+mc_vol*SQRT(mc_t2-mc_t1)*I1255)</f>
        <v>1064.51412227666</v>
      </c>
      <c r="L1255" s="31" t="n">
        <f aca="false">(t1_usd*J1255+t2_usd*K1255)/1000</f>
        <v>10198.0423366627</v>
      </c>
    </row>
    <row r="1256" customFormat="false" ht="15" hidden="false" customHeight="false" outlineLevel="0" collapsed="false">
      <c r="E1256" s="54" t="n">
        <v>1252</v>
      </c>
      <c r="F1256" s="61" t="n">
        <v>0.355604</v>
      </c>
      <c r="G1256" s="61" t="n">
        <v>0.142877</v>
      </c>
      <c r="H1256" s="34" t="n">
        <f aca="false">NORMSINV(F1256)</f>
        <v>-0.370234195071532</v>
      </c>
      <c r="I1256" s="34" t="n">
        <f aca="false">NORMSINV(G1256)</f>
        <v>-1.06748252634706</v>
      </c>
      <c r="J1256" s="59" t="n">
        <f aca="false">mc_s0*EXP((mc_mu-mc_vol^2/2)*mc_t1+mc_vol*SQRT(mc_t1)*H1256)</f>
        <v>1106.43671089535</v>
      </c>
      <c r="K1256" s="59" t="n">
        <f aca="false">J1256*EXP((mc_mu-mc_vol^2/2)*(mc_t2-mc_t1)+mc_vol*SQRT(mc_t2-mc_t1)*I1256)</f>
        <v>952.241495901199</v>
      </c>
      <c r="L1256" s="31" t="n">
        <f aca="false">(t1_usd*J1256+t2_usd*K1256)/1000</f>
        <v>9554.31581847973</v>
      </c>
    </row>
    <row r="1257" customFormat="false" ht="15" hidden="false" customHeight="false" outlineLevel="0" collapsed="false">
      <c r="E1257" s="54" t="n">
        <v>1253</v>
      </c>
      <c r="F1257" s="61" t="n">
        <v>0.710506</v>
      </c>
      <c r="G1257" s="61" t="n">
        <v>0.522749</v>
      </c>
      <c r="H1257" s="34" t="n">
        <f aca="false">NORMSINV(F1257)</f>
        <v>0.554863542943063</v>
      </c>
      <c r="I1257" s="34" t="n">
        <f aca="false">NORMSINV(G1257)</f>
        <v>0.0570542251840867</v>
      </c>
      <c r="J1257" s="59" t="n">
        <f aca="false">mc_s0*EXP((mc_mu-mc_vol^2/2)*mc_t1+mc_vol*SQRT(mc_t1)*H1257)</f>
        <v>1208.66016660889</v>
      </c>
      <c r="K1257" s="59" t="n">
        <f aca="false">J1257*EXP((mc_mu-mc_vol^2/2)*(mc_t2-mc_t1)+mc_vol*SQRT(mc_t2-mc_t1)*I1257)</f>
        <v>1241.90998442754</v>
      </c>
      <c r="L1257" s="31" t="n">
        <f aca="false">(t1_usd*J1257+t2_usd*K1257)/1000</f>
        <v>10820.2501366745</v>
      </c>
    </row>
    <row r="1258" customFormat="false" ht="15" hidden="false" customHeight="false" outlineLevel="0" collapsed="false">
      <c r="E1258" s="54" t="n">
        <v>1254</v>
      </c>
      <c r="F1258" s="61" t="n">
        <v>0.166912</v>
      </c>
      <c r="G1258" s="61" t="n">
        <v>0.809845</v>
      </c>
      <c r="H1258" s="34" t="n">
        <f aca="false">NORMSINV(F1258)</f>
        <v>-0.966440113235624</v>
      </c>
      <c r="I1258" s="34" t="n">
        <f aca="false">NORMSINV(G1258)</f>
        <v>0.877325252351024</v>
      </c>
      <c r="J1258" s="59" t="n">
        <f aca="false">mc_s0*EXP((mc_mu-mc_vol^2/2)*mc_t1+mc_vol*SQRT(mc_t1)*H1258)</f>
        <v>1045.18460662168</v>
      </c>
      <c r="K1258" s="59" t="n">
        <f aca="false">J1258*EXP((mc_mu-mc_vol^2/2)*(mc_t2-mc_t1)+mc_vol*SQRT(mc_t2-mc_t1)*I1258)</f>
        <v>1222.13670095165</v>
      </c>
      <c r="L1258" s="31" t="n">
        <f aca="false">(t1_usd*J1258+t2_usd*K1258)/1000</f>
        <v>9638.35197815988</v>
      </c>
    </row>
    <row r="1259" customFormat="false" ht="15" hidden="false" customHeight="false" outlineLevel="0" collapsed="false">
      <c r="E1259" s="54" t="n">
        <v>1255</v>
      </c>
      <c r="F1259" s="61" t="n">
        <v>0.286273</v>
      </c>
      <c r="G1259" s="61" t="n">
        <v>0.518864</v>
      </c>
      <c r="H1259" s="34" t="n">
        <f aca="false">NORMSINV(F1259)</f>
        <v>-0.56430585122615</v>
      </c>
      <c r="I1259" s="34" t="n">
        <f aca="false">NORMSINV(G1259)</f>
        <v>0.0473026701435256</v>
      </c>
      <c r="J1259" s="59" t="n">
        <f aca="false">mc_s0*EXP((mc_mu-mc_vol^2/2)*mc_t1+mc_vol*SQRT(mc_t1)*H1259)</f>
        <v>1086.11428115741</v>
      </c>
      <c r="K1259" s="59" t="n">
        <f aca="false">J1259*EXP((mc_mu-mc_vol^2/2)*(mc_t2-mc_t1)+mc_vol*SQRT(mc_t2-mc_t1)*I1259)</f>
        <v>1114.27918754365</v>
      </c>
      <c r="L1259" s="31" t="n">
        <f aca="false">(t1_usd*J1259+t2_usd*K1259)/1000</f>
        <v>9719.93042443479</v>
      </c>
    </row>
    <row r="1260" customFormat="false" ht="15" hidden="false" customHeight="false" outlineLevel="0" collapsed="false">
      <c r="E1260" s="54" t="n">
        <v>1256</v>
      </c>
      <c r="F1260" s="61" t="n">
        <v>0.987375</v>
      </c>
      <c r="G1260" s="61" t="n">
        <v>0.920288</v>
      </c>
      <c r="H1260" s="34" t="n">
        <f aca="false">NORMSINV(F1260)</f>
        <v>2.23755636150817</v>
      </c>
      <c r="I1260" s="34" t="n">
        <f aca="false">NORMSINV(G1260)</f>
        <v>1.40701142829703</v>
      </c>
      <c r="J1260" s="59" t="n">
        <f aca="false">mc_s0*EXP((mc_mu-mc_vol^2/2)*mc_t1+mc_vol*SQRT(mc_t1)*H1260)</f>
        <v>1419.41906840025</v>
      </c>
      <c r="K1260" s="59" t="n">
        <f aca="false">J1260*EXP((mc_mu-mc_vol^2/2)*(mc_t2-mc_t1)+mc_vol*SQRT(mc_t2-mc_t1)*I1260)</f>
        <v>1804.222614252</v>
      </c>
      <c r="L1260" s="31" t="n">
        <f aca="false">(t1_usd*J1260+t2_usd*K1260)/1000</f>
        <v>13363.9564458806</v>
      </c>
    </row>
    <row r="1261" customFormat="false" ht="15" hidden="false" customHeight="false" outlineLevel="0" collapsed="false">
      <c r="E1261" s="54" t="n">
        <v>1257</v>
      </c>
      <c r="F1261" s="61" t="n">
        <v>0.041963</v>
      </c>
      <c r="G1261" s="61" t="n">
        <v>0.840499</v>
      </c>
      <c r="H1261" s="34" t="n">
        <f aca="false">NORMSINV(F1261)</f>
        <v>-1.72834717541251</v>
      </c>
      <c r="I1261" s="34" t="n">
        <f aca="false">NORMSINV(G1261)</f>
        <v>0.996510845791094</v>
      </c>
      <c r="J1261" s="59" t="n">
        <f aca="false">mc_s0*EXP((mc_mu-mc_vol^2/2)*mc_t1+mc_vol*SQRT(mc_t1)*H1261)</f>
        <v>971.818873677106</v>
      </c>
      <c r="K1261" s="59" t="n">
        <f aca="false">J1261*EXP((mc_mu-mc_vol^2/2)*(mc_t2-mc_t1)+mc_vol*SQRT(mc_t2-mc_t1)*I1261)</f>
        <v>1157.89557415706</v>
      </c>
      <c r="L1261" s="31" t="n">
        <f aca="false">(t1_usd*J1261+t2_usd*K1261)/1000</f>
        <v>9002.73370663816</v>
      </c>
    </row>
    <row r="1262" customFormat="false" ht="15" hidden="false" customHeight="false" outlineLevel="0" collapsed="false">
      <c r="E1262" s="54" t="n">
        <v>1258</v>
      </c>
      <c r="F1262" s="61" t="n">
        <v>0.521253</v>
      </c>
      <c r="G1262" s="61" t="n">
        <v>0.18625</v>
      </c>
      <c r="H1262" s="34" t="n">
        <f aca="false">NORMSINV(F1262)</f>
        <v>0.0532985945481556</v>
      </c>
      <c r="I1262" s="34" t="n">
        <f aca="false">NORMSINV(G1262)</f>
        <v>-0.891800264351518</v>
      </c>
      <c r="J1262" s="59" t="n">
        <f aca="false">mc_s0*EXP((mc_mu-mc_vol^2/2)*mc_t1+mc_vol*SQRT(mc_t1)*H1262)</f>
        <v>1152.11760555177</v>
      </c>
      <c r="K1262" s="59" t="n">
        <f aca="false">J1262*EXP((mc_mu-mc_vol^2/2)*(mc_t2-mc_t1)+mc_vol*SQRT(mc_t2-mc_t1)*I1262)</f>
        <v>1019.39232445735</v>
      </c>
      <c r="L1262" s="31" t="n">
        <f aca="false">(t1_usd*J1262+t2_usd*K1262)/1000</f>
        <v>10001.6686553313</v>
      </c>
    </row>
    <row r="1263" customFormat="false" ht="15" hidden="false" customHeight="false" outlineLevel="0" collapsed="false">
      <c r="E1263" s="54" t="n">
        <v>1259</v>
      </c>
      <c r="F1263" s="61" t="n">
        <v>0.998082</v>
      </c>
      <c r="G1263" s="61" t="n">
        <v>0.049622</v>
      </c>
      <c r="H1263" s="34" t="n">
        <f aca="false">NORMSINV(F1263)</f>
        <v>2.89134234734996</v>
      </c>
      <c r="I1263" s="34" t="n">
        <f aca="false">NORMSINV(G1263)</f>
        <v>-1.64852980371336</v>
      </c>
      <c r="J1263" s="59" t="n">
        <f aca="false">mc_s0*EXP((mc_mu-mc_vol^2/2)*mc_t1+mc_vol*SQRT(mc_t1)*H1263)</f>
        <v>1510.89023212917</v>
      </c>
      <c r="K1263" s="59" t="n">
        <f aca="false">J1263*EXP((mc_mu-mc_vol^2/2)*(mc_t2-mc_t1)+mc_vol*SQRT(mc_t2-mc_t1)*I1263)</f>
        <v>1186.54847316388</v>
      </c>
      <c r="L1263" s="31" t="n">
        <f aca="false">(t1_usd*J1263+t2_usd*K1263)/1000</f>
        <v>12830.6737239156</v>
      </c>
    </row>
    <row r="1264" customFormat="false" ht="15" hidden="false" customHeight="false" outlineLevel="0" collapsed="false">
      <c r="E1264" s="54" t="n">
        <v>1260</v>
      </c>
      <c r="F1264" s="61" t="n">
        <v>0.922516</v>
      </c>
      <c r="G1264" s="61" t="n">
        <v>0.313391</v>
      </c>
      <c r="H1264" s="34" t="n">
        <f aca="false">NORMSINV(F1264)</f>
        <v>1.42220068495969</v>
      </c>
      <c r="I1264" s="34" t="n">
        <f aca="false">NORMSINV(G1264)</f>
        <v>-0.486261178801416</v>
      </c>
      <c r="J1264" s="59" t="n">
        <f aca="false">mc_s0*EXP((mc_mu-mc_vol^2/2)*mc_t1+mc_vol*SQRT(mc_t1)*H1264)</f>
        <v>1313.06325025728</v>
      </c>
      <c r="K1264" s="59" t="n">
        <f aca="false">J1264*EXP((mc_mu-mc_vol^2/2)*(mc_t2-mc_t1)+mc_vol*SQRT(mc_t2-mc_t1)*I1264)</f>
        <v>1238.47156763708</v>
      </c>
      <c r="L1264" s="31" t="n">
        <f aca="false">(t1_usd*J1264+t2_usd*K1264)/1000</f>
        <v>11544.5387303115</v>
      </c>
    </row>
    <row r="1265" customFormat="false" ht="15" hidden="false" customHeight="false" outlineLevel="0" collapsed="false">
      <c r="E1265" s="54" t="n">
        <v>1261</v>
      </c>
      <c r="F1265" s="61" t="n">
        <v>0.410966</v>
      </c>
      <c r="G1265" s="61" t="n">
        <v>0.189111</v>
      </c>
      <c r="H1265" s="34" t="n">
        <f aca="false">NORMSINV(F1265)</f>
        <v>-0.225060768812485</v>
      </c>
      <c r="I1265" s="34" t="n">
        <f aca="false">NORMSINV(G1265)</f>
        <v>-0.881177048052412</v>
      </c>
      <c r="J1265" s="59" t="n">
        <f aca="false">mc_s0*EXP((mc_mu-mc_vol^2/2)*mc_t1+mc_vol*SQRT(mc_t1)*H1265)</f>
        <v>1121.8869316467</v>
      </c>
      <c r="K1265" s="59" t="n">
        <f aca="false">J1265*EXP((mc_mu-mc_vol^2/2)*(mc_t2-mc_t1)+mc_vol*SQRT(mc_t2-mc_t1)*I1265)</f>
        <v>994.307483066902</v>
      </c>
      <c r="L1265" s="31" t="n">
        <f aca="false">(t1_usd*J1265+t2_usd*K1265)/1000</f>
        <v>9742.39273935403</v>
      </c>
    </row>
    <row r="1266" customFormat="false" ht="15" hidden="false" customHeight="false" outlineLevel="0" collapsed="false">
      <c r="E1266" s="54" t="n">
        <v>1262</v>
      </c>
      <c r="F1266" s="61" t="n">
        <v>0.619736</v>
      </c>
      <c r="G1266" s="61" t="n">
        <v>0.758295</v>
      </c>
      <c r="H1266" s="34" t="n">
        <f aca="false">NORMSINV(F1266)</f>
        <v>0.30478750316327</v>
      </c>
      <c r="I1266" s="34" t="n">
        <f aca="false">NORMSINV(G1266)</f>
        <v>0.70082857969803</v>
      </c>
      <c r="J1266" s="59" t="n">
        <f aca="false">mc_s0*EXP((mc_mu-mc_vol^2/2)*mc_t1+mc_vol*SQRT(mc_t1)*H1266)</f>
        <v>1180.12991038654</v>
      </c>
      <c r="K1266" s="59" t="n">
        <f aca="false">J1266*EXP((mc_mu-mc_vol^2/2)*(mc_t2-mc_t1)+mc_vol*SQRT(mc_t2-mc_t1)*I1266)</f>
        <v>1342.0751625843</v>
      </c>
      <c r="L1266" s="31" t="n">
        <f aca="false">(t1_usd*J1266+t2_usd*K1266)/1000</f>
        <v>10810.8521816159</v>
      </c>
    </row>
    <row r="1267" customFormat="false" ht="15" hidden="false" customHeight="false" outlineLevel="0" collapsed="false">
      <c r="E1267" s="54" t="n">
        <v>1263</v>
      </c>
      <c r="F1267" s="61" t="n">
        <v>0.914735</v>
      </c>
      <c r="G1267" s="61" t="n">
        <v>0.274325</v>
      </c>
      <c r="H1267" s="34" t="n">
        <f aca="false">NORMSINV(F1267)</f>
        <v>1.37050280626385</v>
      </c>
      <c r="I1267" s="34" t="n">
        <f aca="false">NORMSINV(G1267)</f>
        <v>-0.599784296842455</v>
      </c>
      <c r="J1267" s="59" t="n">
        <f aca="false">mc_s0*EXP((mc_mu-mc_vol^2/2)*mc_t1+mc_vol*SQRT(mc_t1)*H1267)</f>
        <v>1306.59491206826</v>
      </c>
      <c r="K1267" s="59" t="n">
        <f aca="false">J1267*EXP((mc_mu-mc_vol^2/2)*(mc_t2-mc_t1)+mc_vol*SQRT(mc_t2-mc_t1)*I1267)</f>
        <v>1210.51903737702</v>
      </c>
      <c r="L1267" s="31" t="n">
        <f aca="false">(t1_usd*J1267+t2_usd*K1267)/1000</f>
        <v>11446.1505554941</v>
      </c>
    </row>
    <row r="1268" customFormat="false" ht="15" hidden="false" customHeight="false" outlineLevel="0" collapsed="false">
      <c r="E1268" s="54" t="n">
        <v>1264</v>
      </c>
      <c r="F1268" s="61" t="n">
        <v>0.04014</v>
      </c>
      <c r="G1268" s="61" t="n">
        <v>0.157772</v>
      </c>
      <c r="H1268" s="34" t="n">
        <f aca="false">NORMSINV(F1268)</f>
        <v>-1.7490637523381</v>
      </c>
      <c r="I1268" s="34" t="n">
        <f aca="false">NORMSINV(G1268)</f>
        <v>-1.00365693779832</v>
      </c>
      <c r="J1268" s="59" t="n">
        <f aca="false">mc_s0*EXP((mc_mu-mc_vol^2/2)*mc_t1+mc_vol*SQRT(mc_t1)*H1268)</f>
        <v>969.897641139006</v>
      </c>
      <c r="K1268" s="59" t="n">
        <f aca="false">J1268*EXP((mc_mu-mc_vol^2/2)*(mc_t2-mc_t1)+mc_vol*SQRT(mc_t2-mc_t1)*I1268)</f>
        <v>843.169271594914</v>
      </c>
      <c r="L1268" s="31" t="n">
        <f aca="false">(t1_usd*J1268+t2_usd*K1268)/1000</f>
        <v>8391.30510400338</v>
      </c>
    </row>
    <row r="1269" customFormat="false" ht="15" hidden="false" customHeight="false" outlineLevel="0" collapsed="false">
      <c r="E1269" s="54" t="n">
        <v>1265</v>
      </c>
      <c r="F1269" s="61" t="n">
        <v>0.98389</v>
      </c>
      <c r="G1269" s="61" t="n">
        <v>0.879787</v>
      </c>
      <c r="H1269" s="34" t="n">
        <f aca="false">NORMSINV(F1269)</f>
        <v>2.14167057685235</v>
      </c>
      <c r="I1269" s="34" t="n">
        <f aca="false">NORMSINV(G1269)</f>
        <v>1.17392267292286</v>
      </c>
      <c r="J1269" s="59" t="n">
        <f aca="false">mc_s0*EXP((mc_mu-mc_vol^2/2)*mc_t1+mc_vol*SQRT(mc_t1)*H1269)</f>
        <v>1406.47759510038</v>
      </c>
      <c r="K1269" s="59" t="n">
        <f aca="false">J1269*EXP((mc_mu-mc_vol^2/2)*(mc_t2-mc_t1)+mc_vol*SQRT(mc_t2-mc_t1)*I1269)</f>
        <v>1723.29361097552</v>
      </c>
      <c r="L1269" s="31" t="n">
        <f aca="false">(t1_usd*J1269+t2_usd*K1269)/1000</f>
        <v>13119.6010265562</v>
      </c>
    </row>
    <row r="1270" customFormat="false" ht="15" hidden="false" customHeight="false" outlineLevel="0" collapsed="false">
      <c r="E1270" s="54" t="n">
        <v>1266</v>
      </c>
      <c r="F1270" s="61" t="n">
        <v>0.730731</v>
      </c>
      <c r="G1270" s="61" t="n">
        <v>0.135092</v>
      </c>
      <c r="H1270" s="34" t="n">
        <f aca="false">NORMSINV(F1270)</f>
        <v>0.615025318686162</v>
      </c>
      <c r="I1270" s="34" t="n">
        <f aca="false">NORMSINV(G1270)</f>
        <v>-1.10263892342352</v>
      </c>
      <c r="J1270" s="59" t="n">
        <f aca="false">mc_s0*EXP((mc_mu-mc_vol^2/2)*mc_t1+mc_vol*SQRT(mc_t1)*H1270)</f>
        <v>1215.62610464402</v>
      </c>
      <c r="K1270" s="59" t="n">
        <f aca="false">J1270*EXP((mc_mu-mc_vol^2/2)*(mc_t2-mc_t1)+mc_vol*SQRT(mc_t2-mc_t1)*I1270)</f>
        <v>1040.43361310404</v>
      </c>
      <c r="L1270" s="31" t="n">
        <f aca="false">(t1_usd*J1270+t2_usd*K1270)/1000</f>
        <v>10486.2065974058</v>
      </c>
    </row>
    <row r="1271" customFormat="false" ht="15" hidden="false" customHeight="false" outlineLevel="0" collapsed="false">
      <c r="E1271" s="54" t="n">
        <v>1267</v>
      </c>
      <c r="F1271" s="61" t="n">
        <v>0.114066</v>
      </c>
      <c r="G1271" s="61" t="n">
        <v>0.307209</v>
      </c>
      <c r="H1271" s="34" t="n">
        <f aca="false">NORMSINV(F1271)</f>
        <v>-1.20518471942871</v>
      </c>
      <c r="I1271" s="34" t="n">
        <f aca="false">NORMSINV(G1271)</f>
        <v>-0.503777130823126</v>
      </c>
      <c r="J1271" s="59" t="n">
        <f aca="false">mc_s0*EXP((mc_mu-mc_vol^2/2)*mc_t1+mc_vol*SQRT(mc_t1)*H1271)</f>
        <v>1021.61837834681</v>
      </c>
      <c r="K1271" s="59" t="n">
        <f aca="false">J1271*EXP((mc_mu-mc_vol^2/2)*(mc_t2-mc_t1)+mc_vol*SQRT(mc_t2-mc_t1)*I1271)</f>
        <v>960.926713613888</v>
      </c>
      <c r="L1271" s="31" t="n">
        <f aca="false">(t1_usd*J1271+t2_usd*K1271)/1000</f>
        <v>8977.08940429404</v>
      </c>
    </row>
    <row r="1272" customFormat="false" ht="15" hidden="false" customHeight="false" outlineLevel="0" collapsed="false">
      <c r="E1272" s="54" t="n">
        <v>1268</v>
      </c>
      <c r="F1272" s="61" t="n">
        <v>0.346041</v>
      </c>
      <c r="G1272" s="61" t="n">
        <v>0.415819</v>
      </c>
      <c r="H1272" s="34" t="n">
        <f aca="false">NORMSINV(F1272)</f>
        <v>-0.396031215852431</v>
      </c>
      <c r="I1272" s="34" t="n">
        <f aca="false">NORMSINV(G1272)</f>
        <v>-0.212601245352806</v>
      </c>
      <c r="J1272" s="59" t="n">
        <f aca="false">mc_s0*EXP((mc_mu-mc_vol^2/2)*mc_t1+mc_vol*SQRT(mc_t1)*H1272)</f>
        <v>1103.71358703459</v>
      </c>
      <c r="K1272" s="59" t="n">
        <f aca="false">J1272*EXP((mc_mu-mc_vol^2/2)*(mc_t2-mc_t1)+mc_vol*SQRT(mc_t2-mc_t1)*I1272)</f>
        <v>1086.89246247388</v>
      </c>
      <c r="L1272" s="31" t="n">
        <f aca="false">(t1_usd*J1272+t2_usd*K1272)/1000</f>
        <v>9791.09078794247</v>
      </c>
    </row>
    <row r="1273" customFormat="false" ht="15" hidden="false" customHeight="false" outlineLevel="0" collapsed="false">
      <c r="E1273" s="54" t="n">
        <v>1269</v>
      </c>
      <c r="F1273" s="61" t="n">
        <v>0.618671</v>
      </c>
      <c r="G1273" s="61" t="n">
        <v>0.035514</v>
      </c>
      <c r="H1273" s="34" t="n">
        <f aca="false">NORMSINV(F1273)</f>
        <v>0.30199221184151</v>
      </c>
      <c r="I1273" s="34" t="n">
        <f aca="false">NORMSINV(G1273)</f>
        <v>-1.80529839929953</v>
      </c>
      <c r="J1273" s="59" t="n">
        <f aca="false">mc_s0*EXP((mc_mu-mc_vol^2/2)*mc_t1+mc_vol*SQRT(mc_t1)*H1273)</f>
        <v>1179.8148417575</v>
      </c>
      <c r="K1273" s="59" t="n">
        <f aca="false">J1273*EXP((mc_mu-mc_vol^2/2)*(mc_t2-mc_t1)+mc_vol*SQRT(mc_t2-mc_t1)*I1273)</f>
        <v>903.934355383656</v>
      </c>
      <c r="L1273" s="31" t="n">
        <f aca="false">(t1_usd*J1273+t2_usd*K1273)/1000</f>
        <v>9976.17916753144</v>
      </c>
    </row>
    <row r="1274" customFormat="false" ht="15" hidden="false" customHeight="false" outlineLevel="0" collapsed="false">
      <c r="E1274" s="54" t="n">
        <v>1270</v>
      </c>
      <c r="F1274" s="61" t="n">
        <v>0.973348</v>
      </c>
      <c r="G1274" s="61" t="n">
        <v>0.542194</v>
      </c>
      <c r="H1274" s="34" t="n">
        <f aca="false">NORMSINV(F1274)</f>
        <v>1.93244990069863</v>
      </c>
      <c r="I1274" s="34" t="n">
        <f aca="false">NORMSINV(G1274)</f>
        <v>0.105962632709807</v>
      </c>
      <c r="J1274" s="59" t="n">
        <f aca="false">mc_s0*EXP((mc_mu-mc_vol^2/2)*mc_t1+mc_vol*SQRT(mc_t1)*H1274)</f>
        <v>1378.64772738741</v>
      </c>
      <c r="K1274" s="59" t="n">
        <f aca="false">J1274*EXP((mc_mu-mc_vol^2/2)*(mc_t2-mc_t1)+mc_vol*SQRT(mc_t2-mc_t1)*I1274)</f>
        <v>1427.5344598673</v>
      </c>
      <c r="L1274" s="31" t="n">
        <f aca="false">(t1_usd*J1274+t2_usd*K1274)/1000</f>
        <v>12362.8495654597</v>
      </c>
    </row>
    <row r="1275" customFormat="false" ht="15" hidden="false" customHeight="false" outlineLevel="0" collapsed="false">
      <c r="E1275" s="54" t="n">
        <v>1271</v>
      </c>
      <c r="F1275" s="61" t="n">
        <v>0.738397</v>
      </c>
      <c r="G1275" s="61" t="n">
        <v>0.02451</v>
      </c>
      <c r="H1275" s="34" t="n">
        <f aca="false">NORMSINV(F1275)</f>
        <v>0.638411264739015</v>
      </c>
      <c r="I1275" s="34" t="n">
        <f aca="false">NORMSINV(G1275)</f>
        <v>-1.96841767377245</v>
      </c>
      <c r="J1275" s="59" t="n">
        <f aca="false">mc_s0*EXP((mc_mu-mc_vol^2/2)*mc_t1+mc_vol*SQRT(mc_t1)*H1275)</f>
        <v>1218.34471134552</v>
      </c>
      <c r="K1275" s="59" t="n">
        <f aca="false">J1275*EXP((mc_mu-mc_vol^2/2)*(mc_t2-mc_t1)+mc_vol*SQRT(mc_t2-mc_t1)*I1275)</f>
        <v>909.764600064322</v>
      </c>
      <c r="L1275" s="31" t="n">
        <f aca="false">(t1_usd*J1275+t2_usd*K1275)/1000</f>
        <v>10256.9657195409</v>
      </c>
    </row>
    <row r="1276" customFormat="false" ht="15" hidden="false" customHeight="false" outlineLevel="0" collapsed="false">
      <c r="E1276" s="54" t="n">
        <v>1272</v>
      </c>
      <c r="F1276" s="61" t="n">
        <v>0.289172</v>
      </c>
      <c r="G1276" s="61" t="n">
        <v>0.855439</v>
      </c>
      <c r="H1276" s="34" t="n">
        <f aca="false">NORMSINV(F1276)</f>
        <v>-0.555805244352009</v>
      </c>
      <c r="I1276" s="34" t="n">
        <f aca="false">NORMSINV(G1276)</f>
        <v>1.06004967679114</v>
      </c>
      <c r="J1276" s="59" t="n">
        <f aca="false">mc_s0*EXP((mc_mu-mc_vol^2/2)*mc_t1+mc_vol*SQRT(mc_t1)*H1276)</f>
        <v>1086.99656442091</v>
      </c>
      <c r="K1276" s="59" t="n">
        <f aca="false">J1276*EXP((mc_mu-mc_vol^2/2)*(mc_t2-mc_t1)+mc_vol*SQRT(mc_t2-mc_t1)*I1276)</f>
        <v>1308.16025984381</v>
      </c>
      <c r="L1276" s="31" t="n">
        <f aca="false">(t1_usd*J1276+t2_usd*K1276)/1000</f>
        <v>10094.4804446496</v>
      </c>
    </row>
    <row r="1277" customFormat="false" ht="15" hidden="false" customHeight="false" outlineLevel="0" collapsed="false">
      <c r="E1277" s="54" t="n">
        <v>1273</v>
      </c>
      <c r="F1277" s="61" t="n">
        <v>0.344112</v>
      </c>
      <c r="G1277" s="61" t="n">
        <v>0.342259</v>
      </c>
      <c r="H1277" s="34" t="n">
        <f aca="false">NORMSINV(F1277)</f>
        <v>-0.401266398132786</v>
      </c>
      <c r="I1277" s="34" t="n">
        <f aca="false">NORMSINV(G1277)</f>
        <v>-0.406305696966922</v>
      </c>
      <c r="J1277" s="59" t="n">
        <f aca="false">mc_s0*EXP((mc_mu-mc_vol^2/2)*mc_t1+mc_vol*SQRT(mc_t1)*H1277)</f>
        <v>1103.16178174445</v>
      </c>
      <c r="K1277" s="59" t="n">
        <f aca="false">J1277*EXP((mc_mu-mc_vol^2/2)*(mc_t2-mc_t1)+mc_vol*SQRT(mc_t2-mc_t1)*I1277)</f>
        <v>1053.68768281273</v>
      </c>
      <c r="L1277" s="31" t="n">
        <f aca="false">(t1_usd*J1277+t2_usd*K1277)/1000</f>
        <v>9724.13906955533</v>
      </c>
    </row>
    <row r="1278" customFormat="false" ht="15" hidden="false" customHeight="false" outlineLevel="0" collapsed="false">
      <c r="E1278" s="54" t="n">
        <v>1274</v>
      </c>
      <c r="F1278" s="61" t="n">
        <v>0.370196</v>
      </c>
      <c r="G1278" s="61" t="n">
        <v>0.447576</v>
      </c>
      <c r="H1278" s="34" t="n">
        <f aca="false">NORMSINV(F1278)</f>
        <v>-0.331334280754317</v>
      </c>
      <c r="I1278" s="34" t="n">
        <f aca="false">NORMSINV(G1278)</f>
        <v>-0.131787972658431</v>
      </c>
      <c r="J1278" s="59" t="n">
        <f aca="false">mc_s0*EXP((mc_mu-mc_vol^2/2)*mc_t1+mc_vol*SQRT(mc_t1)*H1278)</f>
        <v>1110.55568063416</v>
      </c>
      <c r="K1278" s="59" t="n">
        <f aca="false">J1278*EXP((mc_mu-mc_vol^2/2)*(mc_t2-mc_t1)+mc_vol*SQRT(mc_t2-mc_t1)*I1278)</f>
        <v>1107.64741031188</v>
      </c>
      <c r="L1278" s="31" t="n">
        <f aca="false">(t1_usd*J1278+t2_usd*K1278)/1000</f>
        <v>9878.41984403172</v>
      </c>
    </row>
    <row r="1279" customFormat="false" ht="15" hidden="false" customHeight="false" outlineLevel="0" collapsed="false">
      <c r="E1279" s="54" t="n">
        <v>1275</v>
      </c>
      <c r="F1279" s="61" t="n">
        <v>0.654682</v>
      </c>
      <c r="G1279" s="61" t="n">
        <v>0.35677</v>
      </c>
      <c r="H1279" s="34" t="n">
        <f aca="false">NORMSINV(F1279)</f>
        <v>0.397992112304236</v>
      </c>
      <c r="I1279" s="34" t="n">
        <f aca="false">NORMSINV(G1279)</f>
        <v>-0.367105935564044</v>
      </c>
      <c r="J1279" s="59" t="n">
        <f aca="false">mc_s0*EXP((mc_mu-mc_vol^2/2)*mc_t1+mc_vol*SQRT(mc_t1)*H1279)</f>
        <v>1190.68369399069</v>
      </c>
      <c r="K1279" s="59" t="n">
        <f aca="false">J1279*EXP((mc_mu-mc_vol^2/2)*(mc_t2-mc_t1)+mc_vol*SQRT(mc_t2-mc_t1)*I1279)</f>
        <v>1144.33190428188</v>
      </c>
      <c r="L1279" s="31" t="n">
        <f aca="false">(t1_usd*J1279+t2_usd*K1279)/1000</f>
        <v>10509.0164760704</v>
      </c>
    </row>
    <row r="1280" customFormat="false" ht="15" hidden="false" customHeight="false" outlineLevel="0" collapsed="false">
      <c r="E1280" s="54" t="n">
        <v>1276</v>
      </c>
      <c r="F1280" s="61" t="n">
        <v>0.580395</v>
      </c>
      <c r="G1280" s="61" t="n">
        <v>0.391621</v>
      </c>
      <c r="H1280" s="34" t="n">
        <f aca="false">NORMSINV(F1280)</f>
        <v>0.202904086700888</v>
      </c>
      <c r="I1280" s="34" t="n">
        <f aca="false">NORMSINV(G1280)</f>
        <v>-0.275096630790004</v>
      </c>
      <c r="J1280" s="59" t="n">
        <f aca="false">mc_s0*EXP((mc_mu-mc_vol^2/2)*mc_t1+mc_vol*SQRT(mc_t1)*H1280)</f>
        <v>1168.70039105611</v>
      </c>
      <c r="K1280" s="59" t="n">
        <f aca="false">J1280*EXP((mc_mu-mc_vol^2/2)*(mc_t2-mc_t1)+mc_vol*SQRT(mc_t2-mc_t1)*I1280)</f>
        <v>1139.60954272164</v>
      </c>
      <c r="L1280" s="31" t="n">
        <f aca="false">(t1_usd*J1280+t2_usd*K1280)/1000</f>
        <v>10346.1608685639</v>
      </c>
    </row>
    <row r="1281" customFormat="false" ht="15" hidden="false" customHeight="false" outlineLevel="0" collapsed="false">
      <c r="E1281" s="54" t="n">
        <v>1277</v>
      </c>
      <c r="F1281" s="61" t="n">
        <v>0.106109</v>
      </c>
      <c r="G1281" s="61" t="n">
        <v>0.773128</v>
      </c>
      <c r="H1281" s="34" t="n">
        <f aca="false">NORMSINV(F1281)</f>
        <v>-1.24748968526576</v>
      </c>
      <c r="I1281" s="34" t="n">
        <f aca="false">NORMSINV(G1281)</f>
        <v>0.749187835449284</v>
      </c>
      <c r="J1281" s="59" t="n">
        <f aca="false">mc_s0*EXP((mc_mu-mc_vol^2/2)*mc_t1+mc_vol*SQRT(mc_t1)*H1281)</f>
        <v>1017.49826578816</v>
      </c>
      <c r="K1281" s="59" t="n">
        <f aca="false">J1281*EXP((mc_mu-mc_vol^2/2)*(mc_t2-mc_t1)+mc_vol*SQRT(mc_t2-mc_t1)*I1281)</f>
        <v>1165.97837643623</v>
      </c>
      <c r="L1281" s="31" t="n">
        <f aca="false">(t1_usd*J1281+t2_usd*K1281)/1000</f>
        <v>9337.84677574598</v>
      </c>
    </row>
    <row r="1282" customFormat="false" ht="15" hidden="false" customHeight="false" outlineLevel="0" collapsed="false">
      <c r="E1282" s="54" t="n">
        <v>1278</v>
      </c>
      <c r="F1282" s="61" t="n">
        <v>0.232581</v>
      </c>
      <c r="G1282" s="61" t="n">
        <v>0.050232</v>
      </c>
      <c r="H1282" s="34" t="n">
        <f aca="false">NORMSINV(F1282)</f>
        <v>-0.730373356081406</v>
      </c>
      <c r="I1282" s="34" t="n">
        <f aca="false">NORMSINV(G1282)</f>
        <v>-1.64260831151397</v>
      </c>
      <c r="J1282" s="59" t="n">
        <f aca="false">mc_s0*EXP((mc_mu-mc_vol^2/2)*mc_t1+mc_vol*SQRT(mc_t1)*H1282)</f>
        <v>1069.02096456009</v>
      </c>
      <c r="K1282" s="59" t="n">
        <f aca="false">J1282*EXP((mc_mu-mc_vol^2/2)*(mc_t2-mc_t1)+mc_vol*SQRT(mc_t2-mc_t1)*I1282)</f>
        <v>840.318783717408</v>
      </c>
      <c r="L1282" s="31" t="n">
        <f aca="false">(t1_usd*J1282+t2_usd*K1282)/1000</f>
        <v>9079.75244098367</v>
      </c>
    </row>
    <row r="1283" customFormat="false" ht="15" hidden="false" customHeight="false" outlineLevel="0" collapsed="false">
      <c r="E1283" s="54" t="n">
        <v>1279</v>
      </c>
      <c r="F1283" s="61" t="n">
        <v>0.90879</v>
      </c>
      <c r="G1283" s="61" t="n">
        <v>0.968948</v>
      </c>
      <c r="H1283" s="34" t="n">
        <f aca="false">NORMSINV(F1283)</f>
        <v>1.3333407702662</v>
      </c>
      <c r="I1283" s="34" t="n">
        <f aca="false">NORMSINV(G1283)</f>
        <v>1.86555250375182</v>
      </c>
      <c r="J1283" s="59" t="n">
        <f aca="false">mc_s0*EXP((mc_mu-mc_vol^2/2)*mc_t1+mc_vol*SQRT(mc_t1)*H1283)</f>
        <v>1301.96496413537</v>
      </c>
      <c r="K1283" s="59" t="n">
        <f aca="false">J1283*EXP((mc_mu-mc_vol^2/2)*(mc_t2-mc_t1)+mc_vol*SQRT(mc_t2-mc_t1)*I1283)</f>
        <v>1778.9436310881</v>
      </c>
      <c r="L1283" s="31" t="n">
        <f aca="false">(t1_usd*J1283+t2_usd*K1283)/1000</f>
        <v>12493.747648015</v>
      </c>
    </row>
    <row r="1284" customFormat="false" ht="15" hidden="false" customHeight="false" outlineLevel="0" collapsed="false">
      <c r="E1284" s="54" t="n">
        <v>1280</v>
      </c>
      <c r="F1284" s="61" t="n">
        <v>0.826981</v>
      </c>
      <c r="G1284" s="61" t="n">
        <v>0.97917</v>
      </c>
      <c r="H1284" s="34" t="n">
        <f aca="false">NORMSINV(F1284)</f>
        <v>0.94230208695423</v>
      </c>
      <c r="I1284" s="34" t="n">
        <f aca="false">NORMSINV(G1284)</f>
        <v>2.03690063993214</v>
      </c>
      <c r="J1284" s="59" t="n">
        <f aca="false">mc_s0*EXP((mc_mu-mc_vol^2/2)*mc_t1+mc_vol*SQRT(mc_t1)*H1284)</f>
        <v>1254.22969160689</v>
      </c>
      <c r="K1284" s="59" t="n">
        <f aca="false">J1284*EXP((mc_mu-mc_vol^2/2)*(mc_t2-mc_t1)+mc_vol*SQRT(mc_t2-mc_t1)*I1284)</f>
        <v>1760.62697576452</v>
      </c>
      <c r="L1284" s="31" t="n">
        <f aca="false">(t1_usd*J1284+t2_usd*K1284)/1000</f>
        <v>12124.7990952008</v>
      </c>
    </row>
    <row r="1285" customFormat="false" ht="15" hidden="false" customHeight="false" outlineLevel="0" collapsed="false">
      <c r="E1285" s="54" t="n">
        <v>1281</v>
      </c>
      <c r="F1285" s="61" t="n">
        <v>0.248846</v>
      </c>
      <c r="G1285" s="61" t="n">
        <v>0.503899</v>
      </c>
      <c r="H1285" s="34" t="n">
        <f aca="false">NORMSINV(F1285)</f>
        <v>-0.678125695262994</v>
      </c>
      <c r="I1285" s="34" t="n">
        <f aca="false">NORMSINV(G1285)</f>
        <v>0.00977349923676166</v>
      </c>
      <c r="J1285" s="59" t="n">
        <f aca="false">mc_s0*EXP((mc_mu-mc_vol^2/2)*mc_t1+mc_vol*SQRT(mc_t1)*H1285)</f>
        <v>1074.36960642624</v>
      </c>
      <c r="K1285" s="59" t="n">
        <f aca="false">J1285*EXP((mc_mu-mc_vol^2/2)*(mc_t2-mc_t1)+mc_vol*SQRT(mc_t2-mc_t1)*I1285)</f>
        <v>1095.7302268971</v>
      </c>
      <c r="L1285" s="31" t="n">
        <f aca="false">(t1_usd*J1285+t2_usd*K1285)/1000</f>
        <v>9602.4746760882</v>
      </c>
    </row>
    <row r="1286" customFormat="false" ht="15" hidden="false" customHeight="false" outlineLevel="0" collapsed="false">
      <c r="E1286" s="54" t="n">
        <v>1282</v>
      </c>
      <c r="F1286" s="61" t="n">
        <v>0.944484</v>
      </c>
      <c r="G1286" s="61" t="n">
        <v>0.642806</v>
      </c>
      <c r="H1286" s="34" t="n">
        <f aca="false">NORMSINV(F1286)</f>
        <v>1.59357168773283</v>
      </c>
      <c r="I1286" s="34" t="n">
        <f aca="false">NORMSINV(G1286)</f>
        <v>0.365969278374764</v>
      </c>
      <c r="J1286" s="59" t="n">
        <f aca="false">mc_s0*EXP((mc_mu-mc_vol^2/2)*mc_t1+mc_vol*SQRT(mc_t1)*H1286)</f>
        <v>1334.73473874877</v>
      </c>
      <c r="K1286" s="59" t="n">
        <f aca="false">J1286*EXP((mc_mu-mc_vol^2/2)*(mc_t2-mc_t1)+mc_vol*SQRT(mc_t2-mc_t1)*I1286)</f>
        <v>1439.87102681257</v>
      </c>
      <c r="L1286" s="31" t="n">
        <f aca="false">(t1_usd*J1286+t2_usd*K1286)/1000</f>
        <v>12078.8981221853</v>
      </c>
    </row>
    <row r="1287" customFormat="false" ht="15" hidden="false" customHeight="false" outlineLevel="0" collapsed="false">
      <c r="E1287" s="54" t="n">
        <v>1283</v>
      </c>
      <c r="F1287" s="61" t="n">
        <v>0.291998</v>
      </c>
      <c r="G1287" s="61" t="n">
        <v>0.211748</v>
      </c>
      <c r="H1287" s="34" t="n">
        <f aca="false">NORMSINV(F1287)</f>
        <v>-0.547557177362741</v>
      </c>
      <c r="I1287" s="34" t="n">
        <f aca="false">NORMSINV(G1287)</f>
        <v>-0.800370789256773</v>
      </c>
      <c r="J1287" s="59" t="n">
        <f aca="false">mc_s0*EXP((mc_mu-mc_vol^2/2)*mc_t1+mc_vol*SQRT(mc_t1)*H1287)</f>
        <v>1087.85332149069</v>
      </c>
      <c r="K1287" s="59" t="n">
        <f aca="false">J1287*EXP((mc_mu-mc_vol^2/2)*(mc_t2-mc_t1)+mc_vol*SQRT(mc_t2-mc_t1)*I1287)</f>
        <v>976.500547715072</v>
      </c>
      <c r="L1287" s="31" t="n">
        <f aca="false">(t1_usd*J1287+t2_usd*K1287)/1000</f>
        <v>9470.32429109346</v>
      </c>
    </row>
    <row r="1288" customFormat="false" ht="15" hidden="false" customHeight="false" outlineLevel="0" collapsed="false">
      <c r="E1288" s="54" t="n">
        <v>1284</v>
      </c>
      <c r="F1288" s="61" t="n">
        <v>0.546737</v>
      </c>
      <c r="G1288" s="61" t="n">
        <v>0.420157</v>
      </c>
      <c r="H1288" s="34" t="n">
        <f aca="false">NORMSINV(F1288)</f>
        <v>0.117421559803086</v>
      </c>
      <c r="I1288" s="34" t="n">
        <f aca="false">NORMSINV(G1288)</f>
        <v>-0.201491851935626</v>
      </c>
      <c r="J1288" s="59" t="n">
        <f aca="false">mc_s0*EXP((mc_mu-mc_vol^2/2)*mc_t1+mc_vol*SQRT(mc_t1)*H1288)</f>
        <v>1159.19620613659</v>
      </c>
      <c r="K1288" s="59" t="n">
        <f aca="false">J1288*EXP((mc_mu-mc_vol^2/2)*(mc_t2-mc_t1)+mc_vol*SQRT(mc_t2-mc_t1)*I1288)</f>
        <v>1143.52980008382</v>
      </c>
      <c r="L1288" s="31" t="n">
        <f aca="false">(t1_usd*J1288+t2_usd*K1288)/1000</f>
        <v>10287.0800631154</v>
      </c>
    </row>
    <row r="1289" customFormat="false" ht="15" hidden="false" customHeight="false" outlineLevel="0" collapsed="false">
      <c r="E1289" s="54" t="n">
        <v>1285</v>
      </c>
      <c r="F1289" s="61" t="n">
        <v>0.863589</v>
      </c>
      <c r="G1289" s="61" t="n">
        <v>0.065222</v>
      </c>
      <c r="H1289" s="34" t="n">
        <f aca="false">NORMSINV(F1289)</f>
        <v>1.09658693800562</v>
      </c>
      <c r="I1289" s="34" t="n">
        <f aca="false">NORMSINV(G1289)</f>
        <v>-1.51235333324928</v>
      </c>
      <c r="J1289" s="59" t="n">
        <f aca="false">mc_s0*EXP((mc_mu-mc_vol^2/2)*mc_t1+mc_vol*SQRT(mc_t1)*H1289)</f>
        <v>1272.85102571902</v>
      </c>
      <c r="K1289" s="59" t="n">
        <f aca="false">J1289*EXP((mc_mu-mc_vol^2/2)*(mc_t2-mc_t1)+mc_vol*SQRT(mc_t2-mc_t1)*I1289)</f>
        <v>1021.29291402157</v>
      </c>
      <c r="L1289" s="31" t="n">
        <f aca="false">(t1_usd*J1289+t2_usd*K1289)/1000</f>
        <v>10850.4137166741</v>
      </c>
    </row>
    <row r="1290" customFormat="false" ht="15" hidden="false" customHeight="false" outlineLevel="0" collapsed="false">
      <c r="E1290" s="54" t="n">
        <v>1286</v>
      </c>
      <c r="F1290" s="61" t="n">
        <v>0.38238</v>
      </c>
      <c r="G1290" s="61" t="n">
        <v>0.888176</v>
      </c>
      <c r="H1290" s="34" t="n">
        <f aca="false">NORMSINV(F1290)</f>
        <v>-0.299235977635346</v>
      </c>
      <c r="I1290" s="34" t="n">
        <f aca="false">NORMSINV(G1290)</f>
        <v>1.21688493035993</v>
      </c>
      <c r="J1290" s="59" t="n">
        <f aca="false">mc_s0*EXP((mc_mu-mc_vol^2/2)*mc_t1+mc_vol*SQRT(mc_t1)*H1290)</f>
        <v>1113.96599668857</v>
      </c>
      <c r="K1290" s="59" t="n">
        <f aca="false">J1290*EXP((mc_mu-mc_vol^2/2)*(mc_t2-mc_t1)+mc_vol*SQRT(mc_t2-mc_t1)*I1290)</f>
        <v>1374.16477143731</v>
      </c>
      <c r="L1290" s="31" t="n">
        <f aca="false">(t1_usd*J1290+t2_usd*K1290)/1000</f>
        <v>10408.6750425509</v>
      </c>
    </row>
    <row r="1291" customFormat="false" ht="15" hidden="false" customHeight="false" outlineLevel="0" collapsed="false">
      <c r="E1291" s="54" t="n">
        <v>1287</v>
      </c>
      <c r="F1291" s="61" t="n">
        <v>0.642333</v>
      </c>
      <c r="G1291" s="61" t="n">
        <v>0.154094</v>
      </c>
      <c r="H1291" s="34" t="n">
        <f aca="false">NORMSINV(F1291)</f>
        <v>0.364701819851811</v>
      </c>
      <c r="I1291" s="34" t="n">
        <f aca="false">NORMSINV(G1291)</f>
        <v>-1.01903152573216</v>
      </c>
      <c r="J1291" s="59" t="n">
        <f aca="false">mc_s0*EXP((mc_mu-mc_vol^2/2)*mc_t1+mc_vol*SQRT(mc_t1)*H1291)</f>
        <v>1186.90336213661</v>
      </c>
      <c r="K1291" s="59" t="n">
        <f aca="false">J1291*EXP((mc_mu-mc_vol^2/2)*(mc_t2-mc_t1)+mc_vol*SQRT(mc_t2-mc_t1)*I1291)</f>
        <v>1029.32367614658</v>
      </c>
      <c r="L1291" s="31" t="n">
        <f aca="false">(t1_usd*J1291+t2_usd*K1291)/1000</f>
        <v>10264.0385196347</v>
      </c>
    </row>
    <row r="1292" customFormat="false" ht="15" hidden="false" customHeight="false" outlineLevel="0" collapsed="false">
      <c r="E1292" s="54" t="n">
        <v>1288</v>
      </c>
      <c r="F1292" s="61" t="n">
        <v>0.545466</v>
      </c>
      <c r="G1292" s="61" t="n">
        <v>0.552863</v>
      </c>
      <c r="H1292" s="34" t="n">
        <f aca="false">NORMSINV(F1292)</f>
        <v>0.114214194447522</v>
      </c>
      <c r="I1292" s="34" t="n">
        <f aca="false">NORMSINV(G1292)</f>
        <v>0.132898061505837</v>
      </c>
      <c r="J1292" s="59" t="n">
        <f aca="false">mc_s0*EXP((mc_mu-mc_vol^2/2)*mc_t1+mc_vol*SQRT(mc_t1)*H1292)</f>
        <v>1158.84111068684</v>
      </c>
      <c r="K1292" s="59" t="n">
        <f aca="false">J1292*EXP((mc_mu-mc_vol^2/2)*(mc_t2-mc_t1)+mc_vol*SQRT(mc_t2-mc_t1)*I1292)</f>
        <v>1205.03787121247</v>
      </c>
      <c r="L1292" s="31" t="n">
        <f aca="false">(t1_usd*J1292+t2_usd*K1292)/1000</f>
        <v>10401.4597301116</v>
      </c>
    </row>
    <row r="1293" customFormat="false" ht="15" hidden="false" customHeight="false" outlineLevel="0" collapsed="false">
      <c r="E1293" s="54" t="n">
        <v>1289</v>
      </c>
      <c r="F1293" s="61" t="n">
        <v>0.763008</v>
      </c>
      <c r="G1293" s="61" t="n">
        <v>0.366087</v>
      </c>
      <c r="H1293" s="34" t="n">
        <f aca="false">NORMSINV(F1293)</f>
        <v>0.716011901639695</v>
      </c>
      <c r="I1293" s="34" t="n">
        <f aca="false">NORMSINV(G1293)</f>
        <v>-0.342235063195878</v>
      </c>
      <c r="J1293" s="59" t="n">
        <f aca="false">mc_s0*EXP((mc_mu-mc_vol^2/2)*mc_t1+mc_vol*SQRT(mc_t1)*H1293)</f>
        <v>1227.40938849932</v>
      </c>
      <c r="K1293" s="59" t="n">
        <f aca="false">J1293*EXP((mc_mu-mc_vol^2/2)*(mc_t2-mc_t1)+mc_vol*SQRT(mc_t2-mc_t1)*I1293)</f>
        <v>1184.26051577508</v>
      </c>
      <c r="L1293" s="31" t="n">
        <f aca="false">(t1_usd*J1293+t2_usd*K1293)/1000</f>
        <v>10841.9606994679</v>
      </c>
    </row>
    <row r="1294" customFormat="false" ht="15" hidden="false" customHeight="false" outlineLevel="0" collapsed="false">
      <c r="E1294" s="54" t="n">
        <v>1290</v>
      </c>
      <c r="F1294" s="61" t="n">
        <v>0.464243</v>
      </c>
      <c r="G1294" s="61" t="n">
        <v>0.556325</v>
      </c>
      <c r="H1294" s="34" t="n">
        <f aca="false">NORMSINV(F1294)</f>
        <v>-0.0897498514848806</v>
      </c>
      <c r="I1294" s="34" t="n">
        <f aca="false">NORMSINV(G1294)</f>
        <v>0.141658191717782</v>
      </c>
      <c r="J1294" s="59" t="n">
        <f aca="false">mc_s0*EXP((mc_mu-mc_vol^2/2)*mc_t1+mc_vol*SQRT(mc_t1)*H1294)</f>
        <v>1136.48172274346</v>
      </c>
      <c r="K1294" s="59" t="n">
        <f aca="false">J1294*EXP((mc_mu-mc_vol^2/2)*(mc_t2-mc_t1)+mc_vol*SQRT(mc_t2-mc_t1)*I1294)</f>
        <v>1183.41976225855</v>
      </c>
      <c r="L1294" s="31" t="n">
        <f aca="false">(t1_usd*J1294+t2_usd*K1294)/1000</f>
        <v>10203.8696074955</v>
      </c>
    </row>
    <row r="1295" customFormat="false" ht="15" hidden="false" customHeight="false" outlineLevel="0" collapsed="false">
      <c r="E1295" s="54" t="n">
        <v>1291</v>
      </c>
      <c r="F1295" s="61" t="n">
        <v>0.881023</v>
      </c>
      <c r="G1295" s="61" t="n">
        <v>0.797475</v>
      </c>
      <c r="H1295" s="34" t="n">
        <f aca="false">NORMSINV(F1295)</f>
        <v>1.18011620575821</v>
      </c>
      <c r="I1295" s="34" t="n">
        <f aca="false">NORMSINV(G1295)</f>
        <v>0.832636087302353</v>
      </c>
      <c r="J1295" s="59" t="n">
        <f aca="false">mc_s0*EXP((mc_mu-mc_vol^2/2)*mc_t1+mc_vol*SQRT(mc_t1)*H1295)</f>
        <v>1283.04764622323</v>
      </c>
      <c r="K1295" s="59" t="n">
        <f aca="false">J1295*EXP((mc_mu-mc_vol^2/2)*(mc_t2-mc_t1)+mc_vol*SQRT(mc_t2-mc_t1)*I1295)</f>
        <v>1489.74163742836</v>
      </c>
      <c r="L1295" s="31" t="n">
        <f aca="false">(t1_usd*J1295+t2_usd*K1295)/1000</f>
        <v>11811.8426346765</v>
      </c>
    </row>
    <row r="1296" customFormat="false" ht="15" hidden="false" customHeight="false" outlineLevel="0" collapsed="false">
      <c r="E1296" s="54" t="n">
        <v>1292</v>
      </c>
      <c r="F1296" s="61" t="n">
        <v>0.705771</v>
      </c>
      <c r="G1296" s="61" t="n">
        <v>0.190793</v>
      </c>
      <c r="H1296" s="34" t="n">
        <f aca="false">NORMSINV(F1296)</f>
        <v>0.541071937200948</v>
      </c>
      <c r="I1296" s="34" t="n">
        <f aca="false">NORMSINV(G1296)</f>
        <v>-0.874977772550695</v>
      </c>
      <c r="J1296" s="59" t="n">
        <f aca="false">mc_s0*EXP((mc_mu-mc_vol^2/2)*mc_t1+mc_vol*SQRT(mc_t1)*H1296)</f>
        <v>1207.06891354943</v>
      </c>
      <c r="K1296" s="59" t="n">
        <f aca="false">J1296*EXP((mc_mu-mc_vol^2/2)*(mc_t2-mc_t1)+mc_vol*SQRT(mc_t2-mc_t1)*I1296)</f>
        <v>1070.8483554604</v>
      </c>
      <c r="L1296" s="31" t="n">
        <f aca="false">(t1_usd*J1296+t2_usd*K1296)/1000</f>
        <v>10484.0942702208</v>
      </c>
    </row>
    <row r="1297" customFormat="false" ht="15" hidden="false" customHeight="false" outlineLevel="0" collapsed="false">
      <c r="E1297" s="54" t="n">
        <v>1293</v>
      </c>
      <c r="F1297" s="61" t="n">
        <v>0.397044</v>
      </c>
      <c r="G1297" s="61" t="n">
        <v>0.560214</v>
      </c>
      <c r="H1297" s="34" t="n">
        <f aca="false">NORMSINV(F1297)</f>
        <v>-0.261005844733931</v>
      </c>
      <c r="I1297" s="34" t="n">
        <f aca="false">NORMSINV(G1297)</f>
        <v>0.151511804105493</v>
      </c>
      <c r="J1297" s="59" t="n">
        <f aca="false">mc_s0*EXP((mc_mu-mc_vol^2/2)*mc_t1+mc_vol*SQRT(mc_t1)*H1297)</f>
        <v>1118.04146218171</v>
      </c>
      <c r="K1297" s="59" t="n">
        <f aca="false">J1297*EXP((mc_mu-mc_vol^2/2)*(mc_t2-mc_t1)+mc_vol*SQRT(mc_t2-mc_t1)*I1297)</f>
        <v>1166.02717161719</v>
      </c>
      <c r="L1297" s="31" t="n">
        <f aca="false">(t1_usd*J1297+t2_usd*K1297)/1000</f>
        <v>10041.7418613446</v>
      </c>
    </row>
    <row r="1298" customFormat="false" ht="15" hidden="false" customHeight="false" outlineLevel="0" collapsed="false">
      <c r="E1298" s="54" t="n">
        <v>1294</v>
      </c>
      <c r="F1298" s="61" t="n">
        <v>0.170492</v>
      </c>
      <c r="G1298" s="61" t="n">
        <v>0.337517</v>
      </c>
      <c r="H1298" s="34" t="n">
        <f aca="false">NORMSINV(F1298)</f>
        <v>-0.952222800526637</v>
      </c>
      <c r="I1298" s="34" t="n">
        <f aca="false">NORMSINV(G1298)</f>
        <v>-0.419249225399403</v>
      </c>
      <c r="J1298" s="59" t="n">
        <f aca="false">mc_s0*EXP((mc_mu-mc_vol^2/2)*mc_t1+mc_vol*SQRT(mc_t1)*H1298)</f>
        <v>1046.60501002939</v>
      </c>
      <c r="K1298" s="59" t="n">
        <f aca="false">J1298*EXP((mc_mu-mc_vol^2/2)*(mc_t2-mc_t1)+mc_vol*SQRT(mc_t2-mc_t1)*I1298)</f>
        <v>997.630288341057</v>
      </c>
      <c r="L1298" s="31" t="n">
        <f aca="false">(t1_usd*J1298+t2_usd*K1298)/1000</f>
        <v>9221.73261805376</v>
      </c>
    </row>
    <row r="1299" customFormat="false" ht="15" hidden="false" customHeight="false" outlineLevel="0" collapsed="false">
      <c r="E1299" s="54" t="n">
        <v>1295</v>
      </c>
      <c r="F1299" s="61" t="n">
        <v>0.828314</v>
      </c>
      <c r="G1299" s="61" t="n">
        <v>0.171813</v>
      </c>
      <c r="H1299" s="34" t="n">
        <f aca="false">NORMSINV(F1299)</f>
        <v>0.947523671301717</v>
      </c>
      <c r="I1299" s="34" t="n">
        <f aca="false">NORMSINV(G1299)</f>
        <v>-0.947025078371692</v>
      </c>
      <c r="J1299" s="59" t="n">
        <f aca="false">mc_s0*EXP((mc_mu-mc_vol^2/2)*mc_t1+mc_vol*SQRT(mc_t1)*H1299)</f>
        <v>1254.85543163575</v>
      </c>
      <c r="K1299" s="59" t="n">
        <f aca="false">J1299*EXP((mc_mu-mc_vol^2/2)*(mc_t2-mc_t1)+mc_vol*SQRT(mc_t2-mc_t1)*I1299)</f>
        <v>1100.67360561519</v>
      </c>
      <c r="L1299" s="31" t="n">
        <f aca="false">(t1_usd*J1299+t2_usd*K1299)/1000</f>
        <v>10875.2678721191</v>
      </c>
    </row>
    <row r="1300" customFormat="false" ht="15" hidden="false" customHeight="false" outlineLevel="0" collapsed="false">
      <c r="E1300" s="54" t="n">
        <v>1296</v>
      </c>
      <c r="F1300" s="61" t="n">
        <v>0.801847</v>
      </c>
      <c r="G1300" s="61" t="n">
        <v>0.606603</v>
      </c>
      <c r="H1300" s="34" t="n">
        <f aca="false">NORMSINV(F1300)</f>
        <v>0.848236991438531</v>
      </c>
      <c r="I1300" s="34" t="n">
        <f aca="false">NORMSINV(G1300)</f>
        <v>0.270476101784243</v>
      </c>
      <c r="J1300" s="59" t="n">
        <f aca="false">mc_s0*EXP((mc_mu-mc_vol^2/2)*mc_t1+mc_vol*SQRT(mc_t1)*H1300)</f>
        <v>1243.01048499778</v>
      </c>
      <c r="K1300" s="59" t="n">
        <f aca="false">J1300*EXP((mc_mu-mc_vol^2/2)*(mc_t2-mc_t1)+mc_vol*SQRT(mc_t2-mc_t1)*I1300)</f>
        <v>1320.89315828327</v>
      </c>
      <c r="L1300" s="31" t="n">
        <f aca="false">(t1_usd*J1300+t2_usd*K1300)/1000</f>
        <v>11210.7703957227</v>
      </c>
    </row>
    <row r="1301" customFormat="false" ht="15" hidden="false" customHeight="false" outlineLevel="0" collapsed="false">
      <c r="E1301" s="54" t="n">
        <v>1297</v>
      </c>
      <c r="F1301" s="61" t="n">
        <v>0.808323</v>
      </c>
      <c r="G1301" s="61" t="n">
        <v>0.482074</v>
      </c>
      <c r="H1301" s="34" t="n">
        <f aca="false">NORMSINV(F1301)</f>
        <v>0.871733097266079</v>
      </c>
      <c r="I1301" s="34" t="n">
        <f aca="false">NORMSINV(G1301)</f>
        <v>-0.0449489497352659</v>
      </c>
      <c r="J1301" s="59" t="n">
        <f aca="false">mc_s0*EXP((mc_mu-mc_vol^2/2)*mc_t1+mc_vol*SQRT(mc_t1)*H1301)</f>
        <v>1245.80344289809</v>
      </c>
      <c r="K1301" s="59" t="n">
        <f aca="false">J1301*EXP((mc_mu-mc_vol^2/2)*(mc_t2-mc_t1)+mc_vol*SQRT(mc_t2-mc_t1)*I1301)</f>
        <v>1259.66235090049</v>
      </c>
      <c r="L1301" s="31" t="n">
        <f aca="false">(t1_usd*J1301+t2_usd*K1301)/1000</f>
        <v>11113.9825669976</v>
      </c>
    </row>
    <row r="1302" customFormat="false" ht="15" hidden="false" customHeight="false" outlineLevel="0" collapsed="false">
      <c r="E1302" s="54" t="n">
        <v>1298</v>
      </c>
      <c r="F1302" s="61" t="n">
        <v>0.555107</v>
      </c>
      <c r="G1302" s="61" t="n">
        <v>0.841371</v>
      </c>
      <c r="H1302" s="34" t="n">
        <f aca="false">NORMSINV(F1302)</f>
        <v>0.13857499972693</v>
      </c>
      <c r="I1302" s="34" t="n">
        <f aca="false">NORMSINV(G1302)</f>
        <v>1.00010850633251</v>
      </c>
      <c r="J1302" s="59" t="n">
        <f aca="false">mc_s0*EXP((mc_mu-mc_vol^2/2)*mc_t1+mc_vol*SQRT(mc_t1)*H1302)</f>
        <v>1161.54088328286</v>
      </c>
      <c r="K1302" s="59" t="n">
        <f aca="false">J1302*EXP((mc_mu-mc_vol^2/2)*(mc_t2-mc_t1)+mc_vol*SQRT(mc_t2-mc_t1)*I1302)</f>
        <v>1384.72902586676</v>
      </c>
      <c r="L1302" s="31" t="n">
        <f aca="false">(t1_usd*J1302+t2_usd*K1302)/1000</f>
        <v>10761.7713321268</v>
      </c>
    </row>
    <row r="1303" customFormat="false" ht="15" hidden="false" customHeight="false" outlineLevel="0" collapsed="false">
      <c r="E1303" s="54" t="n">
        <v>1299</v>
      </c>
      <c r="F1303" s="61" t="n">
        <v>0.381409</v>
      </c>
      <c r="G1303" s="61" t="n">
        <v>0.918745</v>
      </c>
      <c r="H1303" s="34" t="n">
        <f aca="false">NORMSINV(F1303)</f>
        <v>-0.301782332430587</v>
      </c>
      <c r="I1303" s="34" t="n">
        <f aca="false">NORMSINV(G1303)</f>
        <v>1.3966794053117</v>
      </c>
      <c r="J1303" s="59" t="n">
        <f aca="false">mc_s0*EXP((mc_mu-mc_vol^2/2)*mc_t1+mc_vol*SQRT(mc_t1)*H1303)</f>
        <v>1113.69507468245</v>
      </c>
      <c r="K1303" s="59" t="n">
        <f aca="false">J1303*EXP((mc_mu-mc_vol^2/2)*(mc_t2-mc_t1)+mc_vol*SQRT(mc_t2-mc_t1)*I1303)</f>
        <v>1413.31394117092</v>
      </c>
      <c r="L1303" s="31" t="n">
        <f aca="false">(t1_usd*J1303+t2_usd*K1303)/1000</f>
        <v>10481.1620110019</v>
      </c>
    </row>
    <row r="1304" customFormat="false" ht="15" hidden="false" customHeight="false" outlineLevel="0" collapsed="false">
      <c r="E1304" s="54" t="n">
        <v>1300</v>
      </c>
      <c r="F1304" s="61" t="n">
        <v>0.025632</v>
      </c>
      <c r="G1304" s="61" t="n">
        <v>0.652352</v>
      </c>
      <c r="H1304" s="34" t="n">
        <f aca="false">NORMSINV(F1304)</f>
        <v>-1.94926320763777</v>
      </c>
      <c r="I1304" s="34" t="n">
        <f aca="false">NORMSINV(G1304)</f>
        <v>0.391678199355407</v>
      </c>
      <c r="J1304" s="59" t="n">
        <f aca="false">mc_s0*EXP((mc_mu-mc_vol^2/2)*mc_t1+mc_vol*SQRT(mc_t1)*H1304)</f>
        <v>951.525954484138</v>
      </c>
      <c r="K1304" s="59" t="n">
        <f aca="false">J1304*EXP((mc_mu-mc_vol^2/2)*(mc_t2-mc_t1)+mc_vol*SQRT(mc_t2-mc_t1)*I1304)</f>
        <v>1030.64436760087</v>
      </c>
      <c r="L1304" s="31" t="n">
        <f aca="false">(t1_usd*J1304+t2_usd*K1304)/1000</f>
        <v>8618.90597983062</v>
      </c>
    </row>
    <row r="1305" customFormat="false" ht="15" hidden="false" customHeight="false" outlineLevel="0" collapsed="false">
      <c r="E1305" s="54" t="n">
        <v>1301</v>
      </c>
      <c r="F1305" s="61" t="n">
        <v>0.868326</v>
      </c>
      <c r="G1305" s="61" t="n">
        <v>0.828803</v>
      </c>
      <c r="H1305" s="34" t="n">
        <f aca="false">NORMSINV(F1305)</f>
        <v>1.11851290032739</v>
      </c>
      <c r="I1305" s="34" t="n">
        <f aca="false">NORMSINV(G1305)</f>
        <v>0.949445654054279</v>
      </c>
      <c r="J1305" s="59" t="n">
        <f aca="false">mc_s0*EXP((mc_mu-mc_vol^2/2)*mc_t1+mc_vol*SQRT(mc_t1)*H1305)</f>
        <v>1275.51971104548</v>
      </c>
      <c r="K1305" s="59" t="n">
        <f aca="false">J1305*EXP((mc_mu-mc_vol^2/2)*(mc_t2-mc_t1)+mc_vol*SQRT(mc_t2-mc_t1)*I1305)</f>
        <v>1508.51630919966</v>
      </c>
      <c r="L1305" s="31" t="n">
        <f aca="false">(t1_usd*J1305+t2_usd*K1305)/1000</f>
        <v>11794.8189647977</v>
      </c>
    </row>
    <row r="1306" customFormat="false" ht="15" hidden="false" customHeight="false" outlineLevel="0" collapsed="false">
      <c r="E1306" s="54" t="n">
        <v>1302</v>
      </c>
      <c r="F1306" s="61" t="n">
        <v>0.770709</v>
      </c>
      <c r="G1306" s="61" t="n">
        <v>0.697262</v>
      </c>
      <c r="H1306" s="34" t="n">
        <f aca="false">NORMSINV(F1306)</f>
        <v>0.741183807519768</v>
      </c>
      <c r="I1306" s="34" t="n">
        <f aca="false">NORMSINV(G1306)</f>
        <v>0.516541875029479</v>
      </c>
      <c r="J1306" s="59" t="n">
        <f aca="false">mc_s0*EXP((mc_mu-mc_vol^2/2)*mc_t1+mc_vol*SQRT(mc_t1)*H1306)</f>
        <v>1230.36422885403</v>
      </c>
      <c r="K1306" s="59" t="n">
        <f aca="false">J1306*EXP((mc_mu-mc_vol^2/2)*(mc_t2-mc_t1)+mc_vol*SQRT(mc_t2-mc_t1)*I1306)</f>
        <v>1359.15126367824</v>
      </c>
      <c r="L1306" s="31" t="n">
        <f aca="false">(t1_usd*J1306+t2_usd*K1306)/1000</f>
        <v>11194.9370029669</v>
      </c>
    </row>
    <row r="1307" customFormat="false" ht="15" hidden="false" customHeight="false" outlineLevel="0" collapsed="false">
      <c r="E1307" s="54" t="n">
        <v>1303</v>
      </c>
      <c r="F1307" s="61" t="n">
        <v>0.402137</v>
      </c>
      <c r="G1307" s="61" t="n">
        <v>0.967567</v>
      </c>
      <c r="H1307" s="34" t="n">
        <f aca="false">NORMSINV(F1307)</f>
        <v>-0.247819586137504</v>
      </c>
      <c r="I1307" s="34" t="n">
        <f aca="false">NORMSINV(G1307)</f>
        <v>1.84618050936676</v>
      </c>
      <c r="J1307" s="59" t="n">
        <f aca="false">mc_s0*EXP((mc_mu-mc_vol^2/2)*mc_t1+mc_vol*SQRT(mc_t1)*H1307)</f>
        <v>1119.45061888723</v>
      </c>
      <c r="K1307" s="59" t="n">
        <f aca="false">J1307*EXP((mc_mu-mc_vol^2/2)*(mc_t2-mc_t1)+mc_vol*SQRT(mc_t2-mc_t1)*I1307)</f>
        <v>1524.9021435505</v>
      </c>
      <c r="L1307" s="31" t="n">
        <f aca="false">(t1_usd*J1307+t2_usd*K1307)/1000</f>
        <v>10733.4684049565</v>
      </c>
    </row>
    <row r="1308" customFormat="false" ht="15" hidden="false" customHeight="false" outlineLevel="0" collapsed="false">
      <c r="E1308" s="54" t="n">
        <v>1304</v>
      </c>
      <c r="F1308" s="61" t="n">
        <v>0.179166</v>
      </c>
      <c r="G1308" s="61" t="n">
        <v>0.056038</v>
      </c>
      <c r="H1308" s="34" t="n">
        <f aca="false">NORMSINV(F1308)</f>
        <v>-0.918548079132493</v>
      </c>
      <c r="I1308" s="34" t="n">
        <f aca="false">NORMSINV(G1308)</f>
        <v>-1.58893087371166</v>
      </c>
      <c r="J1308" s="59" t="n">
        <f aca="false">mc_s0*EXP((mc_mu-mc_vol^2/2)*mc_t1+mc_vol*SQRT(mc_t1)*H1308)</f>
        <v>1049.97704254848</v>
      </c>
      <c r="K1308" s="59" t="n">
        <f aca="false">J1308*EXP((mc_mu-mc_vol^2/2)*(mc_t2-mc_t1)+mc_vol*SQRT(mc_t2-mc_t1)*I1308)</f>
        <v>832.360449756347</v>
      </c>
      <c r="L1308" s="31" t="n">
        <f aca="false">(t1_usd*J1308+t2_usd*K1308)/1000</f>
        <v>8931.32415237642</v>
      </c>
    </row>
    <row r="1309" customFormat="false" ht="15" hidden="false" customHeight="false" outlineLevel="0" collapsed="false">
      <c r="E1309" s="54" t="n">
        <v>1305</v>
      </c>
      <c r="F1309" s="61" t="n">
        <v>0.719551</v>
      </c>
      <c r="G1309" s="61" t="n">
        <v>0.242753</v>
      </c>
      <c r="H1309" s="34" t="n">
        <f aca="false">NORMSINV(F1309)</f>
        <v>0.581508190076859</v>
      </c>
      <c r="I1309" s="34" t="n">
        <f aca="false">NORMSINV(G1309)</f>
        <v>-0.697474327893685</v>
      </c>
      <c r="J1309" s="59" t="n">
        <f aca="false">mc_s0*EXP((mc_mu-mc_vol^2/2)*mc_t1+mc_vol*SQRT(mc_t1)*H1309)</f>
        <v>1211.74032624195</v>
      </c>
      <c r="K1309" s="59" t="n">
        <f aca="false">J1309*EXP((mc_mu-mc_vol^2/2)*(mc_t2-mc_t1)+mc_vol*SQRT(mc_t2-mc_t1)*I1309)</f>
        <v>1105.48826111856</v>
      </c>
      <c r="L1309" s="31" t="n">
        <f aca="false">(t1_usd*J1309+t2_usd*K1309)/1000</f>
        <v>10582.6099798189</v>
      </c>
    </row>
    <row r="1310" customFormat="false" ht="15" hidden="false" customHeight="false" outlineLevel="0" collapsed="false">
      <c r="E1310" s="54" t="n">
        <v>1306</v>
      </c>
      <c r="F1310" s="61" t="n">
        <v>0.622866</v>
      </c>
      <c r="G1310" s="61" t="n">
        <v>0.620076</v>
      </c>
      <c r="H1310" s="34" t="n">
        <f aca="false">NORMSINV(F1310)</f>
        <v>0.313016666416015</v>
      </c>
      <c r="I1310" s="34" t="n">
        <f aca="false">NORMSINV(G1310)</f>
        <v>0.305680397333195</v>
      </c>
      <c r="J1310" s="59" t="n">
        <f aca="false">mc_s0*EXP((mc_mu-mc_vol^2/2)*mc_t1+mc_vol*SQRT(mc_t1)*H1310)</f>
        <v>1181.05794131341</v>
      </c>
      <c r="K1310" s="59" t="n">
        <f aca="false">J1310*EXP((mc_mu-mc_vol^2/2)*(mc_t2-mc_t1)+mc_vol*SQRT(mc_t2-mc_t1)*I1310)</f>
        <v>1262.04125015821</v>
      </c>
      <c r="L1310" s="31" t="n">
        <f aca="false">(t1_usd*J1310+t2_usd*K1310)/1000</f>
        <v>10665.2839644945</v>
      </c>
    </row>
    <row r="1311" customFormat="false" ht="15" hidden="false" customHeight="false" outlineLevel="0" collapsed="false">
      <c r="E1311" s="54" t="n">
        <v>1307</v>
      </c>
      <c r="F1311" s="61" t="n">
        <v>0.468134</v>
      </c>
      <c r="G1311" s="61" t="n">
        <v>0.908174</v>
      </c>
      <c r="H1311" s="34" t="n">
        <f aca="false">NORMSINV(F1311)</f>
        <v>-0.0799613446352074</v>
      </c>
      <c r="I1311" s="34" t="n">
        <f aca="false">NORMSINV(G1311)</f>
        <v>1.32959423075013</v>
      </c>
      <c r="J1311" s="59" t="n">
        <f aca="false">mc_s0*EXP((mc_mu-mc_vol^2/2)*mc_t1+mc_vol*SQRT(mc_t1)*H1311)</f>
        <v>1137.54485723345</v>
      </c>
      <c r="K1311" s="59" t="n">
        <f aca="false">J1311*EXP((mc_mu-mc_vol^2/2)*(mc_t2-mc_t1)+mc_vol*SQRT(mc_t2-mc_t1)*I1311)</f>
        <v>1428.39868396581</v>
      </c>
      <c r="L1311" s="31" t="n">
        <f aca="false">(t1_usd*J1311+t2_usd*K1311)/1000</f>
        <v>10676.7715001692</v>
      </c>
    </row>
    <row r="1312" customFormat="false" ht="15" hidden="false" customHeight="false" outlineLevel="0" collapsed="false">
      <c r="E1312" s="54" t="n">
        <v>1308</v>
      </c>
      <c r="F1312" s="61" t="n">
        <v>0.958842</v>
      </c>
      <c r="G1312" s="61" t="n">
        <v>0.555626</v>
      </c>
      <c r="H1312" s="34" t="n">
        <f aca="false">NORMSINV(F1312)</f>
        <v>1.73740335205846</v>
      </c>
      <c r="I1312" s="34" t="n">
        <f aca="false">NORMSINV(G1312)</f>
        <v>0.139888610887299</v>
      </c>
      <c r="J1312" s="59" t="n">
        <f aca="false">mc_s0*EXP((mc_mu-mc_vol^2/2)*mc_t1+mc_vol*SQRT(mc_t1)*H1312)</f>
        <v>1353.19945165118</v>
      </c>
      <c r="K1312" s="59" t="n">
        <f aca="false">J1312*EXP((mc_mu-mc_vol^2/2)*(mc_t2-mc_t1)+mc_vol*SQRT(mc_t2-mc_t1)*I1312)</f>
        <v>1408.6952865924</v>
      </c>
      <c r="L1312" s="31" t="n">
        <f aca="false">(t1_usd*J1312+t2_usd*K1312)/1000</f>
        <v>12148.9172060838</v>
      </c>
    </row>
    <row r="1313" customFormat="false" ht="15" hidden="false" customHeight="false" outlineLevel="0" collapsed="false">
      <c r="E1313" s="54" t="n">
        <v>1309</v>
      </c>
      <c r="F1313" s="61" t="n">
        <v>0.742407</v>
      </c>
      <c r="G1313" s="61" t="n">
        <v>0.944384</v>
      </c>
      <c r="H1313" s="34" t="n">
        <f aca="false">NORMSINV(F1313)</f>
        <v>0.650783891603737</v>
      </c>
      <c r="I1313" s="34" t="n">
        <f aca="false">NORMSINV(G1313)</f>
        <v>1.59267998427323</v>
      </c>
      <c r="J1313" s="59" t="n">
        <f aca="false">mc_s0*EXP((mc_mu-mc_vol^2/2)*mc_t1+mc_vol*SQRT(mc_t1)*H1313)</f>
        <v>1219.78548252174</v>
      </c>
      <c r="K1313" s="59" t="n">
        <f aca="false">J1313*EXP((mc_mu-mc_vol^2/2)*(mc_t2-mc_t1)+mc_vol*SQRT(mc_t2-mc_t1)*I1313)</f>
        <v>1596.50560545832</v>
      </c>
      <c r="L1313" s="31" t="n">
        <f aca="false">(t1_usd*J1313+t2_usd*K1313)/1000</f>
        <v>11571.859028023</v>
      </c>
    </row>
    <row r="1314" customFormat="false" ht="15" hidden="false" customHeight="false" outlineLevel="0" collapsed="false">
      <c r="E1314" s="54" t="n">
        <v>1310</v>
      </c>
      <c r="F1314" s="61" t="n">
        <v>0.249766</v>
      </c>
      <c r="G1314" s="61" t="n">
        <v>0.958319</v>
      </c>
      <c r="H1314" s="34" t="n">
        <f aca="false">NORMSINV(F1314)</f>
        <v>-0.67522629961826</v>
      </c>
      <c r="I1314" s="34" t="n">
        <f aca="false">NORMSINV(G1314)</f>
        <v>1.73150350661349</v>
      </c>
      <c r="J1314" s="59" t="n">
        <f aca="false">mc_s0*EXP((mc_mu-mc_vol^2/2)*mc_t1+mc_vol*SQRT(mc_t1)*H1314)</f>
        <v>1074.66720276732</v>
      </c>
      <c r="K1314" s="59" t="n">
        <f aca="false">J1314*EXP((mc_mu-mc_vol^2/2)*(mc_t2-mc_t1)+mc_vol*SQRT(mc_t2-mc_t1)*I1314)</f>
        <v>1437.68030129706</v>
      </c>
      <c r="L1314" s="31" t="n">
        <f aca="false">(t1_usd*J1314+t2_usd*K1314)/1000</f>
        <v>10254.2629918356</v>
      </c>
    </row>
    <row r="1315" customFormat="false" ht="15" hidden="false" customHeight="false" outlineLevel="0" collapsed="false">
      <c r="E1315" s="54" t="n">
        <v>1311</v>
      </c>
      <c r="F1315" s="61" t="n">
        <v>0.623587</v>
      </c>
      <c r="G1315" s="61" t="n">
        <v>0.59702</v>
      </c>
      <c r="H1315" s="34" t="n">
        <f aca="false">NORMSINV(F1315)</f>
        <v>0.314915253251922</v>
      </c>
      <c r="I1315" s="34" t="n">
        <f aca="false">NORMSINV(G1315)</f>
        <v>0.245641191196001</v>
      </c>
      <c r="J1315" s="59" t="n">
        <f aca="false">mc_s0*EXP((mc_mu-mc_vol^2/2)*mc_t1+mc_vol*SQRT(mc_t1)*H1315)</f>
        <v>1181.27215504205</v>
      </c>
      <c r="K1315" s="59" t="n">
        <f aca="false">J1315*EXP((mc_mu-mc_vol^2/2)*(mc_t2-mc_t1)+mc_vol*SQRT(mc_t2-mc_t1)*I1315)</f>
        <v>1250.38316625657</v>
      </c>
      <c r="L1315" s="31" t="n">
        <f aca="false">(t1_usd*J1315+t2_usd*K1315)/1000</f>
        <v>10644.6331011819</v>
      </c>
    </row>
    <row r="1316" customFormat="false" ht="15" hidden="false" customHeight="false" outlineLevel="0" collapsed="false">
      <c r="E1316" s="54" t="n">
        <v>1312</v>
      </c>
      <c r="F1316" s="61" t="n">
        <v>0.903918</v>
      </c>
      <c r="G1316" s="61" t="n">
        <v>0.351627</v>
      </c>
      <c r="H1316" s="34" t="n">
        <f aca="false">NORMSINV(F1316)</f>
        <v>1.30420410686508</v>
      </c>
      <c r="I1316" s="34" t="n">
        <f aca="false">NORMSINV(G1316)</f>
        <v>-0.380931605031339</v>
      </c>
      <c r="J1316" s="59" t="n">
        <f aca="false">mc_s0*EXP((mc_mu-mc_vol^2/2)*mc_t1+mc_vol*SQRT(mc_t1)*H1316)</f>
        <v>1298.34635948217</v>
      </c>
      <c r="K1316" s="59" t="n">
        <f aca="false">J1316*EXP((mc_mu-mc_vol^2/2)*(mc_t2-mc_t1)+mc_vol*SQRT(mc_t2-mc_t1)*I1316)</f>
        <v>1245.08760660327</v>
      </c>
      <c r="L1316" s="31" t="n">
        <f aca="false">(t1_usd*J1316+t2_usd*K1316)/1000</f>
        <v>11454.0909689214</v>
      </c>
    </row>
    <row r="1317" customFormat="false" ht="15" hidden="false" customHeight="false" outlineLevel="0" collapsed="false">
      <c r="E1317" s="54" t="n">
        <v>1313</v>
      </c>
      <c r="F1317" s="61" t="n">
        <v>0.541549</v>
      </c>
      <c r="G1317" s="61" t="n">
        <v>0.555982</v>
      </c>
      <c r="H1317" s="34" t="n">
        <f aca="false">NORMSINV(F1317)</f>
        <v>0.104336894628853</v>
      </c>
      <c r="I1317" s="34" t="n">
        <f aca="false">NORMSINV(G1317)</f>
        <v>0.140789801546475</v>
      </c>
      <c r="J1317" s="59" t="n">
        <f aca="false">mc_s0*EXP((mc_mu-mc_vol^2/2)*mc_t1+mc_vol*SQRT(mc_t1)*H1317)</f>
        <v>1157.74825323954</v>
      </c>
      <c r="K1317" s="59" t="n">
        <f aca="false">J1317*EXP((mc_mu-mc_vol^2/2)*(mc_t2-mc_t1)+mc_vol*SQRT(mc_t2-mc_t1)*I1317)</f>
        <v>1205.39965251484</v>
      </c>
      <c r="L1317" s="31" t="n">
        <f aca="false">(t1_usd*J1317+t2_usd*K1317)/1000</f>
        <v>10394.497112455</v>
      </c>
    </row>
    <row r="1318" customFormat="false" ht="15" hidden="false" customHeight="false" outlineLevel="0" collapsed="false">
      <c r="E1318" s="54" t="n">
        <v>1314</v>
      </c>
      <c r="F1318" s="61" t="n">
        <v>0.174324</v>
      </c>
      <c r="G1318" s="61" t="n">
        <v>0.567378</v>
      </c>
      <c r="H1318" s="34" t="n">
        <f aca="false">NORMSINV(F1318)</f>
        <v>-0.93721495229069</v>
      </c>
      <c r="I1318" s="34" t="n">
        <f aca="false">NORMSINV(G1318)</f>
        <v>0.169702637164304</v>
      </c>
      <c r="J1318" s="59" t="n">
        <f aca="false">mc_s0*EXP((mc_mu-mc_vol^2/2)*mc_t1+mc_vol*SQRT(mc_t1)*H1318)</f>
        <v>1048.10648751721</v>
      </c>
      <c r="K1318" s="59" t="n">
        <f aca="false">J1318*EXP((mc_mu-mc_vol^2/2)*(mc_t2-mc_t1)+mc_vol*SQRT(mc_t2-mc_t1)*I1318)</f>
        <v>1096.22874248494</v>
      </c>
      <c r="L1318" s="31" t="n">
        <f aca="false">(t1_usd*J1318+t2_usd*K1318)/1000</f>
        <v>9419.58002334188</v>
      </c>
    </row>
    <row r="1319" customFormat="false" ht="15" hidden="false" customHeight="false" outlineLevel="0" collapsed="false">
      <c r="E1319" s="54" t="n">
        <v>1315</v>
      </c>
      <c r="F1319" s="61" t="n">
        <v>0.416147</v>
      </c>
      <c r="G1319" s="61" t="n">
        <v>0.947019</v>
      </c>
      <c r="H1319" s="34" t="n">
        <f aca="false">NORMSINV(F1319)</f>
        <v>-0.211760353956214</v>
      </c>
      <c r="I1319" s="34" t="n">
        <f aca="false">NORMSINV(G1319)</f>
        <v>1.61661227767696</v>
      </c>
      <c r="J1319" s="59" t="n">
        <f aca="false">mc_s0*EXP((mc_mu-mc_vol^2/2)*mc_t1+mc_vol*SQRT(mc_t1)*H1319)</f>
        <v>1123.31318421181</v>
      </c>
      <c r="K1319" s="59" t="n">
        <f aca="false">J1319*EXP((mc_mu-mc_vol^2/2)*(mc_t2-mc_t1)+mc_vol*SQRT(mc_t2-mc_t1)*I1319)</f>
        <v>1475.7942512452</v>
      </c>
      <c r="L1319" s="31" t="n">
        <f aca="false">(t1_usd*J1319+t2_usd*K1319)/1000</f>
        <v>10667.2013668486</v>
      </c>
    </row>
    <row r="1320" customFormat="false" ht="15" hidden="false" customHeight="false" outlineLevel="0" collapsed="false">
      <c r="E1320" s="54" t="n">
        <v>1316</v>
      </c>
      <c r="F1320" s="61" t="n">
        <v>0.245279</v>
      </c>
      <c r="G1320" s="61" t="n">
        <v>0.538311</v>
      </c>
      <c r="H1320" s="34" t="n">
        <f aca="false">NORMSINV(F1320)</f>
        <v>-0.689421591196095</v>
      </c>
      <c r="I1320" s="34" t="n">
        <f aca="false">NORMSINV(G1320)</f>
        <v>0.0961795150527354</v>
      </c>
      <c r="J1320" s="59" t="n">
        <f aca="false">mc_s0*EXP((mc_mu-mc_vol^2/2)*mc_t1+mc_vol*SQRT(mc_t1)*H1320)</f>
        <v>1073.21097217743</v>
      </c>
      <c r="K1320" s="59" t="n">
        <f aca="false">J1320*EXP((mc_mu-mc_vol^2/2)*(mc_t2-mc_t1)+mc_vol*SQRT(mc_t2-mc_t1)*I1320)</f>
        <v>1109.55496413372</v>
      </c>
      <c r="L1320" s="31" t="n">
        <f aca="false">(t1_usd*J1320+t2_usd*K1320)/1000</f>
        <v>9620.63123709605</v>
      </c>
    </row>
    <row r="1321" customFormat="false" ht="15" hidden="false" customHeight="false" outlineLevel="0" collapsed="false">
      <c r="E1321" s="54" t="n">
        <v>1317</v>
      </c>
      <c r="F1321" s="61" t="n">
        <v>0.348939</v>
      </c>
      <c r="G1321" s="61" t="n">
        <v>0.427123</v>
      </c>
      <c r="H1321" s="34" t="n">
        <f aca="false">NORMSINV(F1321)</f>
        <v>-0.388186530861342</v>
      </c>
      <c r="I1321" s="34" t="n">
        <f aca="false">NORMSINV(G1321)</f>
        <v>-0.183703580350162</v>
      </c>
      <c r="J1321" s="59" t="n">
        <f aca="false">mc_s0*EXP((mc_mu-mc_vol^2/2)*mc_t1+mc_vol*SQRT(mc_t1)*H1321)</f>
        <v>1104.54095914123</v>
      </c>
      <c r="K1321" s="59" t="n">
        <f aca="false">J1321*EXP((mc_mu-mc_vol^2/2)*(mc_t2-mc_t1)+mc_vol*SQRT(mc_t2-mc_t1)*I1321)</f>
        <v>1092.67202228304</v>
      </c>
      <c r="L1321" s="31" t="n">
        <f aca="false">(t1_usd*J1321+t2_usd*K1321)/1000</f>
        <v>9807.86355632641</v>
      </c>
    </row>
    <row r="1322" customFormat="false" ht="15" hidden="false" customHeight="false" outlineLevel="0" collapsed="false">
      <c r="E1322" s="54" t="n">
        <v>1318</v>
      </c>
      <c r="F1322" s="61" t="n">
        <v>0.393784</v>
      </c>
      <c r="G1322" s="61" t="n">
        <v>0.596321</v>
      </c>
      <c r="H1322" s="34" t="n">
        <f aca="false">NORMSINV(F1322)</f>
        <v>-0.269470032726817</v>
      </c>
      <c r="I1322" s="34" t="n">
        <f aca="false">NORMSINV(G1322)</f>
        <v>0.243835790447309</v>
      </c>
      <c r="J1322" s="59" t="n">
        <f aca="false">mc_s0*EXP((mc_mu-mc_vol^2/2)*mc_t1+mc_vol*SQRT(mc_t1)*H1322)</f>
        <v>1117.13786700705</v>
      </c>
      <c r="K1322" s="59" t="n">
        <f aca="false">J1322*EXP((mc_mu-mc_vol^2/2)*(mc_t2-mc_t1)+mc_vol*SQRT(mc_t2-mc_t1)*I1322)</f>
        <v>1182.16026980689</v>
      </c>
      <c r="L1322" s="31" t="n">
        <f aca="false">(t1_usd*J1322+t2_usd*K1322)/1000</f>
        <v>10066.0695816825</v>
      </c>
    </row>
    <row r="1323" customFormat="false" ht="15" hidden="false" customHeight="false" outlineLevel="0" collapsed="false">
      <c r="E1323" s="54" t="n">
        <v>1319</v>
      </c>
      <c r="F1323" s="61" t="n">
        <v>0.761323</v>
      </c>
      <c r="G1323" s="61" t="n">
        <v>0.233599</v>
      </c>
      <c r="H1323" s="34" t="n">
        <f aca="false">NORMSINV(F1323)</f>
        <v>0.710564739208077</v>
      </c>
      <c r="I1323" s="34" t="n">
        <f aca="false">NORMSINV(G1323)</f>
        <v>-0.727045635922669</v>
      </c>
      <c r="J1323" s="59" t="n">
        <f aca="false">mc_s0*EXP((mc_mu-mc_vol^2/2)*mc_t1+mc_vol*SQRT(mc_t1)*H1323)</f>
        <v>1226.77090006713</v>
      </c>
      <c r="K1323" s="59" t="n">
        <f aca="false">J1323*EXP((mc_mu-mc_vol^2/2)*(mc_t2-mc_t1)+mc_vol*SQRT(mc_t2-mc_t1)*I1323)</f>
        <v>1113.99726453927</v>
      </c>
      <c r="L1323" s="31" t="n">
        <f aca="false">(t1_usd*J1323+t2_usd*K1323)/1000</f>
        <v>10703.9911030945</v>
      </c>
    </row>
    <row r="1324" customFormat="false" ht="15" hidden="false" customHeight="false" outlineLevel="0" collapsed="false">
      <c r="E1324" s="54" t="n">
        <v>1320</v>
      </c>
      <c r="F1324" s="61" t="n">
        <v>0.622661</v>
      </c>
      <c r="G1324" s="61" t="n">
        <v>0.115547</v>
      </c>
      <c r="H1324" s="34" t="n">
        <f aca="false">NORMSINV(F1324)</f>
        <v>0.312477052549189</v>
      </c>
      <c r="I1324" s="34" t="n">
        <f aca="false">NORMSINV(G1324)</f>
        <v>-1.19754551045505</v>
      </c>
      <c r="J1324" s="59" t="n">
        <f aca="false">mc_s0*EXP((mc_mu-mc_vol^2/2)*mc_t1+mc_vol*SQRT(mc_t1)*H1324)</f>
        <v>1180.99706485734</v>
      </c>
      <c r="K1324" s="59" t="n">
        <f aca="false">J1324*EXP((mc_mu-mc_vol^2/2)*(mc_t2-mc_t1)+mc_vol*SQRT(mc_t2-mc_t1)*I1324)</f>
        <v>995.789613277098</v>
      </c>
      <c r="L1324" s="31" t="n">
        <f aca="false">(t1_usd*J1324+t2_usd*K1324)/1000</f>
        <v>10158.9797192279</v>
      </c>
    </row>
    <row r="1325" customFormat="false" ht="15" hidden="false" customHeight="false" outlineLevel="0" collapsed="false">
      <c r="E1325" s="54" t="n">
        <v>1321</v>
      </c>
      <c r="F1325" s="61" t="n">
        <v>0.043147</v>
      </c>
      <c r="G1325" s="61" t="n">
        <v>0.418256</v>
      </c>
      <c r="H1325" s="34" t="n">
        <f aca="false">NORMSINV(F1325)</f>
        <v>-1.71527947388523</v>
      </c>
      <c r="I1325" s="34" t="n">
        <f aca="false">NORMSINV(G1325)</f>
        <v>-0.206357072906566</v>
      </c>
      <c r="J1325" s="59" t="n">
        <f aca="false">mc_s0*EXP((mc_mu-mc_vol^2/2)*mc_t1+mc_vol*SQRT(mc_t1)*H1325)</f>
        <v>973.032714864326</v>
      </c>
      <c r="K1325" s="59" t="n">
        <f aca="false">J1325*EXP((mc_mu-mc_vol^2/2)*(mc_t2-mc_t1)+mc_vol*SQRT(mc_t2-mc_t1)*I1325)</f>
        <v>959.146603025585</v>
      </c>
      <c r="L1325" s="31" t="n">
        <f aca="false">(t1_usd*J1325+t2_usd*K1325)/1000</f>
        <v>8633.60754979889</v>
      </c>
    </row>
    <row r="1326" customFormat="false" ht="15" hidden="false" customHeight="false" outlineLevel="0" collapsed="false">
      <c r="E1326" s="54" t="n">
        <v>1322</v>
      </c>
      <c r="F1326" s="61" t="n">
        <v>0.401358</v>
      </c>
      <c r="G1326" s="61" t="n">
        <v>0.105291</v>
      </c>
      <c r="H1326" s="34" t="n">
        <f aca="false">NORMSINV(F1326)</f>
        <v>-0.249833644557649</v>
      </c>
      <c r="I1326" s="34" t="n">
        <f aca="false">NORMSINV(G1326)</f>
        <v>-1.25196669519167</v>
      </c>
      <c r="J1326" s="59" t="n">
        <f aca="false">mc_s0*EXP((mc_mu-mc_vol^2/2)*mc_t1+mc_vol*SQRT(mc_t1)*H1326)</f>
        <v>1119.23527057231</v>
      </c>
      <c r="K1326" s="59" t="n">
        <f aca="false">J1326*EXP((mc_mu-mc_vol^2/2)*(mc_t2-mc_t1)+mc_vol*SQRT(mc_t2-mc_t1)*I1326)</f>
        <v>935.65442202979</v>
      </c>
      <c r="L1326" s="31" t="n">
        <f aca="false">(t1_usd*J1326+t2_usd*K1326)/1000</f>
        <v>9612.39029586279</v>
      </c>
    </row>
    <row r="1327" customFormat="false" ht="15" hidden="false" customHeight="false" outlineLevel="0" collapsed="false">
      <c r="E1327" s="54" t="n">
        <v>1323</v>
      </c>
      <c r="F1327" s="61" t="n">
        <v>0.177882</v>
      </c>
      <c r="G1327" s="61" t="n">
        <v>0.920541</v>
      </c>
      <c r="H1327" s="34" t="n">
        <f aca="false">NORMSINV(F1327)</f>
        <v>-0.923466788823407</v>
      </c>
      <c r="I1327" s="34" t="n">
        <f aca="false">NORMSINV(G1327)</f>
        <v>1.40871992780952</v>
      </c>
      <c r="J1327" s="59" t="n">
        <f aca="false">mc_s0*EXP((mc_mu-mc_vol^2/2)*mc_t1+mc_vol*SQRT(mc_t1)*H1327)</f>
        <v>1049.48382874665</v>
      </c>
      <c r="K1327" s="59" t="n">
        <f aca="false">J1327*EXP((mc_mu-mc_vol^2/2)*(mc_t2-mc_t1)+mc_vol*SQRT(mc_t2-mc_t1)*I1327)</f>
        <v>1334.35740683639</v>
      </c>
      <c r="L1327" s="31" t="n">
        <f aca="false">(t1_usd*J1327+t2_usd*K1327)/1000</f>
        <v>9881.66587421571</v>
      </c>
    </row>
    <row r="1328" customFormat="false" ht="15" hidden="false" customHeight="false" outlineLevel="0" collapsed="false">
      <c r="E1328" s="54" t="n">
        <v>1324</v>
      </c>
      <c r="F1328" s="61" t="n">
        <v>0.319484</v>
      </c>
      <c r="G1328" s="61" t="n">
        <v>0.295805</v>
      </c>
      <c r="H1328" s="34" t="n">
        <f aca="false">NORMSINV(F1328)</f>
        <v>-0.469142195544939</v>
      </c>
      <c r="I1328" s="34" t="n">
        <f aca="false">NORMSINV(G1328)</f>
        <v>-0.536504393919248</v>
      </c>
      <c r="J1328" s="59" t="n">
        <f aca="false">mc_s0*EXP((mc_mu-mc_vol^2/2)*mc_t1+mc_vol*SQRT(mc_t1)*H1328)</f>
        <v>1096.03237733586</v>
      </c>
      <c r="K1328" s="59" t="n">
        <f aca="false">J1328*EXP((mc_mu-mc_vol^2/2)*(mc_t2-mc_t1)+mc_vol*SQRT(mc_t2-mc_t1)*I1328)</f>
        <v>1025.61659369379</v>
      </c>
      <c r="L1328" s="31" t="n">
        <f aca="false">(t1_usd*J1328+t2_usd*K1328)/1000</f>
        <v>9620.89816936921</v>
      </c>
    </row>
    <row r="1329" customFormat="false" ht="15" hidden="false" customHeight="false" outlineLevel="0" collapsed="false">
      <c r="E1329" s="54" t="n">
        <v>1325</v>
      </c>
      <c r="F1329" s="61" t="n">
        <v>0.779322</v>
      </c>
      <c r="G1329" s="61" t="n">
        <v>0.558102</v>
      </c>
      <c r="H1329" s="34" t="n">
        <f aca="false">NORMSINV(F1329)</f>
        <v>0.769905417626642</v>
      </c>
      <c r="I1329" s="34" t="n">
        <f aca="false">NORMSINV(G1329)</f>
        <v>0.1461588368046</v>
      </c>
      <c r="J1329" s="59" t="n">
        <f aca="false">mc_s0*EXP((mc_mu-mc_vol^2/2)*mc_t1+mc_vol*SQRT(mc_t1)*H1329)</f>
        <v>1233.74444616278</v>
      </c>
      <c r="K1329" s="59" t="n">
        <f aca="false">J1329*EXP((mc_mu-mc_vol^2/2)*(mc_t2-mc_t1)+mc_vol*SQRT(mc_t2-mc_t1)*I1329)</f>
        <v>1285.61107463898</v>
      </c>
      <c r="L1329" s="31" t="n">
        <f aca="false">(t1_usd*J1329+t2_usd*K1329)/1000</f>
        <v>11078.8721649536</v>
      </c>
    </row>
    <row r="1330" customFormat="false" ht="15" hidden="false" customHeight="false" outlineLevel="0" collapsed="false">
      <c r="E1330" s="54" t="n">
        <v>1326</v>
      </c>
      <c r="F1330" s="61" t="n">
        <v>0.31347</v>
      </c>
      <c r="G1330" s="61" t="n">
        <v>0.403585</v>
      </c>
      <c r="H1330" s="34" t="n">
        <f aca="false">NORMSINV(F1330)</f>
        <v>-0.486038315814172</v>
      </c>
      <c r="I1330" s="34" t="n">
        <f aca="false">NORMSINV(G1330)</f>
        <v>-0.244078530436184</v>
      </c>
      <c r="J1330" s="59" t="n">
        <f aca="false">mc_s0*EXP((mc_mu-mc_vol^2/2)*mc_t1+mc_vol*SQRT(mc_t1)*H1330)</f>
        <v>1094.26484973231</v>
      </c>
      <c r="K1330" s="59" t="n">
        <f aca="false">J1330*EXP((mc_mu-mc_vol^2/2)*(mc_t2-mc_t1)+mc_vol*SQRT(mc_t2-mc_t1)*I1330)</f>
        <v>1072.25547678076</v>
      </c>
      <c r="L1330" s="31" t="n">
        <f aca="false">(t1_usd*J1330+t2_usd*K1330)/1000</f>
        <v>9697.13935400963</v>
      </c>
    </row>
    <row r="1331" customFormat="false" ht="15" hidden="false" customHeight="false" outlineLevel="0" collapsed="false">
      <c r="E1331" s="54" t="n">
        <v>1327</v>
      </c>
      <c r="F1331" s="61" t="n">
        <v>0.808792</v>
      </c>
      <c r="G1331" s="61" t="n">
        <v>0.606104</v>
      </c>
      <c r="H1331" s="34" t="n">
        <f aca="false">NORMSINV(F1331)</f>
        <v>0.873453391835246</v>
      </c>
      <c r="I1331" s="34" t="n">
        <f aca="false">NORMSINV(G1331)</f>
        <v>0.269178921550104</v>
      </c>
      <c r="J1331" s="59" t="n">
        <f aca="false">mc_s0*EXP((mc_mu-mc_vol^2/2)*mc_t1+mc_vol*SQRT(mc_t1)*H1331)</f>
        <v>1246.00817892822</v>
      </c>
      <c r="K1331" s="59" t="n">
        <f aca="false">J1331*EXP((mc_mu-mc_vol^2/2)*(mc_t2-mc_t1)+mc_vol*SQRT(mc_t2-mc_t1)*I1331)</f>
        <v>1323.80802771216</v>
      </c>
      <c r="L1331" s="31" t="n">
        <f aca="false">(t1_usd*J1331+t2_usd*K1331)/1000</f>
        <v>11237.2925051507</v>
      </c>
    </row>
    <row r="1332" customFormat="false" ht="15" hidden="false" customHeight="false" outlineLevel="0" collapsed="false">
      <c r="E1332" s="54" t="n">
        <v>1328</v>
      </c>
      <c r="F1332" s="61" t="n">
        <v>0.021849</v>
      </c>
      <c r="G1332" s="61" t="n">
        <v>0.357506</v>
      </c>
      <c r="H1332" s="34" t="n">
        <f aca="false">NORMSINV(F1332)</f>
        <v>-2.01697617196583</v>
      </c>
      <c r="I1332" s="34" t="n">
        <f aca="false">NORMSINV(G1332)</f>
        <v>-0.365133172210802</v>
      </c>
      <c r="J1332" s="59" t="n">
        <f aca="false">mc_s0*EXP((mc_mu-mc_vol^2/2)*mc_t1+mc_vol*SQRT(mc_t1)*H1332)</f>
        <v>945.391231772292</v>
      </c>
      <c r="K1332" s="59" t="n">
        <f aca="false">J1332*EXP((mc_mu-mc_vol^2/2)*(mc_t2-mc_t1)+mc_vol*SQRT(mc_t2-mc_t1)*I1332)</f>
        <v>908.870881809167</v>
      </c>
      <c r="L1332" s="31" t="n">
        <f aca="false">(t1_usd*J1332+t2_usd*K1332)/1000</f>
        <v>8344.59329784346</v>
      </c>
    </row>
    <row r="1333" customFormat="false" ht="15" hidden="false" customHeight="false" outlineLevel="0" collapsed="false">
      <c r="E1333" s="54" t="n">
        <v>1329</v>
      </c>
      <c r="F1333" s="61" t="n">
        <v>0.324651</v>
      </c>
      <c r="G1333" s="61" t="n">
        <v>0.442529</v>
      </c>
      <c r="H1333" s="34" t="n">
        <f aca="false">NORMSINV(F1333)</f>
        <v>-0.454732078281491</v>
      </c>
      <c r="I1333" s="34" t="n">
        <f aca="false">NORMSINV(G1333)</f>
        <v>-0.144560355606742</v>
      </c>
      <c r="J1333" s="59" t="n">
        <f aca="false">mc_s0*EXP((mc_mu-mc_vol^2/2)*mc_t1+mc_vol*SQRT(mc_t1)*H1333)</f>
        <v>1097.54209620674</v>
      </c>
      <c r="K1333" s="59" t="n">
        <f aca="false">J1333*EXP((mc_mu-mc_vol^2/2)*(mc_t2-mc_t1)+mc_vol*SQRT(mc_t2-mc_t1)*I1333)</f>
        <v>1092.46672918893</v>
      </c>
      <c r="L1333" s="31" t="n">
        <f aca="false">(t1_usd*J1333+t2_usd*K1333)/1000</f>
        <v>9758.48145890619</v>
      </c>
    </row>
    <row r="1334" customFormat="false" ht="15" hidden="false" customHeight="false" outlineLevel="0" collapsed="false">
      <c r="E1334" s="54" t="n">
        <v>1330</v>
      </c>
      <c r="F1334" s="61" t="n">
        <v>0.05707</v>
      </c>
      <c r="G1334" s="61" t="n">
        <v>0.24426</v>
      </c>
      <c r="H1334" s="34" t="n">
        <f aca="false">NORMSINV(F1334)</f>
        <v>-1.57985533471963</v>
      </c>
      <c r="I1334" s="34" t="n">
        <f aca="false">NORMSINV(G1334)</f>
        <v>-0.692664694979873</v>
      </c>
      <c r="J1334" s="59" t="n">
        <f aca="false">mc_s0*EXP((mc_mu-mc_vol^2/2)*mc_t1+mc_vol*SQRT(mc_t1)*H1334)</f>
        <v>985.701700244619</v>
      </c>
      <c r="K1334" s="59" t="n">
        <f aca="false">J1334*EXP((mc_mu-mc_vol^2/2)*(mc_t2-mc_t1)+mc_vol*SQRT(mc_t2-mc_t1)*I1334)</f>
        <v>899.951820617482</v>
      </c>
      <c r="L1334" s="31" t="n">
        <f aca="false">(t1_usd*J1334+t2_usd*K1334)/1000</f>
        <v>8609.82036088555</v>
      </c>
    </row>
    <row r="1335" customFormat="false" ht="15" hidden="false" customHeight="false" outlineLevel="0" collapsed="false">
      <c r="E1335" s="54" t="n">
        <v>1331</v>
      </c>
      <c r="F1335" s="61" t="n">
        <v>0.686644</v>
      </c>
      <c r="G1335" s="61" t="n">
        <v>0.38897</v>
      </c>
      <c r="H1335" s="34" t="n">
        <f aca="false">NORMSINV(F1335)</f>
        <v>0.486359923288086</v>
      </c>
      <c r="I1335" s="34" t="n">
        <f aca="false">NORMSINV(G1335)</f>
        <v>-0.282004577970765</v>
      </c>
      <c r="J1335" s="59" t="n">
        <f aca="false">mc_s0*EXP((mc_mu-mc_vol^2/2)*mc_t1+mc_vol*SQRT(mc_t1)*H1335)</f>
        <v>1200.77694348744</v>
      </c>
      <c r="K1335" s="59" t="n">
        <f aca="false">J1335*EXP((mc_mu-mc_vol^2/2)*(mc_t2-mc_t1)+mc_vol*SQRT(mc_t2-mc_t1)*I1335)</f>
        <v>1169.61366974694</v>
      </c>
      <c r="L1335" s="31" t="n">
        <f aca="false">(t1_usd*J1335+t2_usd*K1335)/1000</f>
        <v>10627.7045769312</v>
      </c>
    </row>
    <row r="1336" customFormat="false" ht="15" hidden="false" customHeight="false" outlineLevel="0" collapsed="false">
      <c r="E1336" s="54" t="n">
        <v>1332</v>
      </c>
      <c r="F1336" s="61" t="n">
        <v>0.827687</v>
      </c>
      <c r="G1336" s="61" t="n">
        <v>0.76356</v>
      </c>
      <c r="H1336" s="34" t="n">
        <f aca="false">NORMSINV(F1336)</f>
        <v>0.945064397703493</v>
      </c>
      <c r="I1336" s="34" t="n">
        <f aca="false">NORMSINV(G1336)</f>
        <v>0.717800994649526</v>
      </c>
      <c r="J1336" s="59" t="n">
        <f aca="false">mc_s0*EXP((mc_mu-mc_vol^2/2)*mc_t1+mc_vol*SQRT(mc_t1)*H1336)</f>
        <v>1254.56068030054</v>
      </c>
      <c r="K1336" s="59" t="n">
        <f aca="false">J1336*EXP((mc_mu-mc_vol^2/2)*(mc_t2-mc_t1)+mc_vol*SQRT(mc_t2-mc_t1)*I1336)</f>
        <v>1430.54102493585</v>
      </c>
      <c r="L1336" s="31" t="n">
        <f aca="false">(t1_usd*J1336+t2_usd*K1336)/1000</f>
        <v>11499.9527094819</v>
      </c>
    </row>
    <row r="1337" customFormat="false" ht="15" hidden="false" customHeight="false" outlineLevel="0" collapsed="false">
      <c r="E1337" s="54" t="n">
        <v>1333</v>
      </c>
      <c r="F1337" s="61" t="n">
        <v>0.406193</v>
      </c>
      <c r="G1337" s="61" t="n">
        <v>0.029246</v>
      </c>
      <c r="H1337" s="34" t="n">
        <f aca="false">NORMSINV(F1337)</f>
        <v>-0.237349066274001</v>
      </c>
      <c r="I1337" s="34" t="n">
        <f aca="false">NORMSINV(G1337)</f>
        <v>-1.89199235058572</v>
      </c>
      <c r="J1337" s="59" t="n">
        <f aca="false">mc_s0*EXP((mc_mu-mc_vol^2/2)*mc_t1+mc_vol*SQRT(mc_t1)*H1337)</f>
        <v>1120.57082164542</v>
      </c>
      <c r="K1337" s="59" t="n">
        <f aca="false">J1337*EXP((mc_mu-mc_vol^2/2)*(mc_t2-mc_t1)+mc_vol*SQRT(mc_t2-mc_t1)*I1337)</f>
        <v>846.893602730034</v>
      </c>
      <c r="L1337" s="31" t="n">
        <f aca="false">(t1_usd*J1337+t2_usd*K1337)/1000</f>
        <v>9453.09359670501</v>
      </c>
    </row>
    <row r="1338" customFormat="false" ht="15" hidden="false" customHeight="false" outlineLevel="0" collapsed="false">
      <c r="E1338" s="54" t="n">
        <v>1334</v>
      </c>
      <c r="F1338" s="61" t="n">
        <v>0.770262</v>
      </c>
      <c r="G1338" s="61" t="n">
        <v>0.034024</v>
      </c>
      <c r="H1338" s="34" t="n">
        <f aca="false">NORMSINV(F1338)</f>
        <v>0.739709965388822</v>
      </c>
      <c r="I1338" s="34" t="n">
        <f aca="false">NORMSINV(G1338)</f>
        <v>-1.82468882885363</v>
      </c>
      <c r="J1338" s="59" t="n">
        <f aca="false">mc_s0*EXP((mc_mu-mc_vol^2/2)*mc_t1+mc_vol*SQRT(mc_t1)*H1338)</f>
        <v>1230.19102388723</v>
      </c>
      <c r="K1338" s="59" t="n">
        <f aca="false">J1338*EXP((mc_mu-mc_vol^2/2)*(mc_t2-mc_t1)+mc_vol*SQRT(mc_t2-mc_t1)*I1338)</f>
        <v>939.655098177083</v>
      </c>
      <c r="L1338" s="31" t="n">
        <f aca="false">(t1_usd*J1338+t2_usd*K1338)/1000</f>
        <v>10396.6818537471</v>
      </c>
    </row>
    <row r="1339" customFormat="false" ht="15" hidden="false" customHeight="false" outlineLevel="0" collapsed="false">
      <c r="E1339" s="54" t="n">
        <v>1335</v>
      </c>
      <c r="F1339" s="61" t="n">
        <v>0.816888</v>
      </c>
      <c r="G1339" s="61" t="n">
        <v>0.950671</v>
      </c>
      <c r="H1339" s="34" t="n">
        <f aca="false">NORMSINV(F1339)</f>
        <v>0.903568972356194</v>
      </c>
      <c r="I1339" s="34" t="n">
        <f aca="false">NORMSINV(G1339)</f>
        <v>1.65139473113235</v>
      </c>
      <c r="J1339" s="59" t="n">
        <f aca="false">mc_s0*EXP((mc_mu-mc_vol^2/2)*mc_t1+mc_vol*SQRT(mc_t1)*H1339)</f>
        <v>1249.59775534294</v>
      </c>
      <c r="K1339" s="59" t="n">
        <f aca="false">J1339*EXP((mc_mu-mc_vol^2/2)*(mc_t2-mc_t1)+mc_vol*SQRT(mc_t2-mc_t1)*I1339)</f>
        <v>1650.72895881575</v>
      </c>
      <c r="L1339" s="31" t="n">
        <f aca="false">(t1_usd*J1339+t2_usd*K1339)/1000</f>
        <v>11883.5693091505</v>
      </c>
    </row>
    <row r="1340" customFormat="false" ht="15" hidden="false" customHeight="false" outlineLevel="0" collapsed="false">
      <c r="E1340" s="54" t="n">
        <v>1336</v>
      </c>
      <c r="F1340" s="61" t="n">
        <v>0.797014</v>
      </c>
      <c r="G1340" s="61" t="n">
        <v>0.450291</v>
      </c>
      <c r="H1340" s="34" t="n">
        <f aca="false">NORMSINV(F1340)</f>
        <v>0.831002884232837</v>
      </c>
      <c r="I1340" s="34" t="n">
        <f aca="false">NORMSINV(G1340)</f>
        <v>-0.124926170002885</v>
      </c>
      <c r="J1340" s="59" t="n">
        <f aca="false">mc_s0*EXP((mc_mu-mc_vol^2/2)*mc_t1+mc_vol*SQRT(mc_t1)*H1340)</f>
        <v>1240.96586594968</v>
      </c>
      <c r="K1340" s="59" t="n">
        <f aca="false">J1340*EXP((mc_mu-mc_vol^2/2)*(mc_t2-mc_t1)+mc_vol*SQRT(mc_t2-mc_t1)*I1340)</f>
        <v>1239.05524086965</v>
      </c>
      <c r="L1340" s="31" t="n">
        <f aca="false">(t1_usd*J1340+t2_usd*K1340)/1000</f>
        <v>11040.9660193001</v>
      </c>
    </row>
    <row r="1341" customFormat="false" ht="15" hidden="false" customHeight="false" outlineLevel="0" collapsed="false">
      <c r="E1341" s="54" t="n">
        <v>1337</v>
      </c>
      <c r="F1341" s="61" t="n">
        <v>0.551248</v>
      </c>
      <c r="G1341" s="61" t="n">
        <v>0.054585</v>
      </c>
      <c r="H1341" s="34" t="n">
        <f aca="false">NORMSINV(F1341)</f>
        <v>0.128815045667517</v>
      </c>
      <c r="I1341" s="34" t="n">
        <f aca="false">NORMSINV(G1341)</f>
        <v>-1.60193492697911</v>
      </c>
      <c r="J1341" s="59" t="n">
        <f aca="false">mc_s0*EXP((mc_mu-mc_vol^2/2)*mc_t1+mc_vol*SQRT(mc_t1)*H1341)</f>
        <v>1160.45848749561</v>
      </c>
      <c r="K1341" s="59" t="n">
        <f aca="false">J1341*EXP((mc_mu-mc_vol^2/2)*(mc_t2-mc_t1)+mc_vol*SQRT(mc_t2-mc_t1)*I1341)</f>
        <v>918.060327511378</v>
      </c>
      <c r="L1341" s="31" t="n">
        <f aca="false">(t1_usd*J1341+t2_usd*K1341)/1000</f>
        <v>9867.52403474087</v>
      </c>
    </row>
    <row r="1342" customFormat="false" ht="15" hidden="false" customHeight="false" outlineLevel="0" collapsed="false">
      <c r="E1342" s="54" t="n">
        <v>1338</v>
      </c>
      <c r="F1342" s="61" t="n">
        <v>0.787226</v>
      </c>
      <c r="G1342" s="61" t="n">
        <v>0.304808</v>
      </c>
      <c r="H1342" s="34" t="n">
        <f aca="false">NORMSINV(F1342)</f>
        <v>0.796833046160731</v>
      </c>
      <c r="I1342" s="34" t="n">
        <f aca="false">NORMSINV(G1342)</f>
        <v>-0.510621668507241</v>
      </c>
      <c r="J1342" s="59" t="n">
        <f aca="false">mc_s0*EXP((mc_mu-mc_vol^2/2)*mc_t1+mc_vol*SQRT(mc_t1)*H1342)</f>
        <v>1236.92196572464</v>
      </c>
      <c r="K1342" s="59" t="n">
        <f aca="false">J1342*EXP((mc_mu-mc_vol^2/2)*(mc_t2-mc_t1)+mc_vol*SQRT(mc_t2-mc_t1)*I1342)</f>
        <v>1162.18540968495</v>
      </c>
      <c r="L1342" s="31" t="n">
        <f aca="false">(t1_usd*J1342+t2_usd*K1342)/1000</f>
        <v>10866.6060384739</v>
      </c>
    </row>
    <row r="1343" customFormat="false" ht="15" hidden="false" customHeight="false" outlineLevel="0" collapsed="false">
      <c r="E1343" s="54" t="n">
        <v>1339</v>
      </c>
      <c r="F1343" s="61" t="n">
        <v>0.447592</v>
      </c>
      <c r="G1343" s="61" t="n">
        <v>0.079153</v>
      </c>
      <c r="H1343" s="34" t="n">
        <f aca="false">NORMSINV(F1343)</f>
        <v>-0.13174751691488</v>
      </c>
      <c r="I1343" s="34" t="n">
        <f aca="false">NORMSINV(G1343)</f>
        <v>-1.41079184427702</v>
      </c>
      <c r="J1343" s="59" t="n">
        <f aca="false">mc_s0*EXP((mc_mu-mc_vol^2/2)*mc_t1+mc_vol*SQRT(mc_t1)*H1343)</f>
        <v>1131.93160107033</v>
      </c>
      <c r="K1343" s="59" t="n">
        <f aca="false">J1343*EXP((mc_mu-mc_vol^2/2)*(mc_t2-mc_t1)+mc_vol*SQRT(mc_t2-mc_t1)*I1343)</f>
        <v>922.877341557475</v>
      </c>
      <c r="L1343" s="31" t="n">
        <f aca="false">(t1_usd*J1343+t2_usd*K1343)/1000</f>
        <v>9676.98815645152</v>
      </c>
    </row>
    <row r="1344" customFormat="false" ht="15" hidden="false" customHeight="false" outlineLevel="0" collapsed="false">
      <c r="E1344" s="54" t="n">
        <v>1340</v>
      </c>
      <c r="F1344" s="61" t="n">
        <v>0.487533</v>
      </c>
      <c r="G1344" s="61" t="n">
        <v>0.848625</v>
      </c>
      <c r="H1344" s="34" t="n">
        <f aca="false">NORMSINV(F1344)</f>
        <v>-0.0312552227678572</v>
      </c>
      <c r="I1344" s="34" t="n">
        <f aca="false">NORMSINV(G1344)</f>
        <v>1.03055403607302</v>
      </c>
      <c r="J1344" s="59" t="n">
        <f aca="false">mc_s0*EXP((mc_mu-mc_vol^2/2)*mc_t1+mc_vol*SQRT(mc_t1)*H1344)</f>
        <v>1142.8496571601</v>
      </c>
      <c r="K1344" s="59" t="n">
        <f aca="false">J1344*EXP((mc_mu-mc_vol^2/2)*(mc_t2-mc_t1)+mc_vol*SQRT(mc_t2-mc_t1)*I1344)</f>
        <v>1368.99904819836</v>
      </c>
      <c r="L1344" s="31" t="n">
        <f aca="false">(t1_usd*J1344+t2_usd*K1344)/1000</f>
        <v>10601.0457916975</v>
      </c>
    </row>
    <row r="1345" customFormat="false" ht="15" hidden="false" customHeight="false" outlineLevel="0" collapsed="false">
      <c r="E1345" s="54" t="n">
        <v>1341</v>
      </c>
      <c r="F1345" s="61" t="n">
        <v>0.440056</v>
      </c>
      <c r="G1345" s="61" t="n">
        <v>0.619575</v>
      </c>
      <c r="H1345" s="34" t="n">
        <f aca="false">NORMSINV(F1345)</f>
        <v>-0.150827237035904</v>
      </c>
      <c r="I1345" s="34" t="n">
        <f aca="false">NORMSINV(G1345)</f>
        <v>0.304364776316816</v>
      </c>
      <c r="J1345" s="59" t="n">
        <f aca="false">mc_s0*EXP((mc_mu-mc_vol^2/2)*mc_t1+mc_vol*SQRT(mc_t1)*H1345)</f>
        <v>1129.87048365341</v>
      </c>
      <c r="K1345" s="59" t="n">
        <f aca="false">J1345*EXP((mc_mu-mc_vol^2/2)*(mc_t2-mc_t1)+mc_vol*SQRT(mc_t2-mc_t1)*I1345)</f>
        <v>1207.09365181702</v>
      </c>
      <c r="L1345" s="31" t="n">
        <f aca="false">(t1_usd*J1345+t2_usd*K1345)/1000</f>
        <v>10202.5713240262</v>
      </c>
    </row>
    <row r="1346" customFormat="false" ht="15" hidden="false" customHeight="false" outlineLevel="0" collapsed="false">
      <c r="E1346" s="54" t="n">
        <v>1342</v>
      </c>
      <c r="F1346" s="61" t="n">
        <v>0.177379</v>
      </c>
      <c r="G1346" s="61" t="n">
        <v>0.522749</v>
      </c>
      <c r="H1346" s="34" t="n">
        <f aca="false">NORMSINV(F1346)</f>
        <v>-0.925399766960088</v>
      </c>
      <c r="I1346" s="34" t="n">
        <f aca="false">NORMSINV(G1346)</f>
        <v>0.0570542251840867</v>
      </c>
      <c r="J1346" s="59" t="n">
        <f aca="false">mc_s0*EXP((mc_mu-mc_vol^2/2)*mc_t1+mc_vol*SQRT(mc_t1)*H1346)</f>
        <v>1049.29006663981</v>
      </c>
      <c r="K1346" s="59" t="n">
        <f aca="false">J1346*EXP((mc_mu-mc_vol^2/2)*(mc_t2-mc_t1)+mc_vol*SQRT(mc_t2-mc_t1)*I1346)</f>
        <v>1078.15566883186</v>
      </c>
      <c r="L1346" s="31" t="n">
        <f aca="false">(t1_usd*J1346+t2_usd*K1346)/1000</f>
        <v>9393.52623725922</v>
      </c>
    </row>
    <row r="1347" customFormat="false" ht="15" hidden="false" customHeight="false" outlineLevel="0" collapsed="false">
      <c r="E1347" s="54" t="n">
        <v>1343</v>
      </c>
      <c r="F1347" s="61" t="n">
        <v>0.553077</v>
      </c>
      <c r="G1347" s="61" t="n">
        <v>0.111361</v>
      </c>
      <c r="H1347" s="34" t="n">
        <f aca="false">NORMSINV(F1347)</f>
        <v>0.133439257506305</v>
      </c>
      <c r="I1347" s="34" t="n">
        <f aca="false">NORMSINV(G1347)</f>
        <v>-1.21932200454982</v>
      </c>
      <c r="J1347" s="59" t="n">
        <f aca="false">mc_s0*EXP((mc_mu-mc_vol^2/2)*mc_t1+mc_vol*SQRT(mc_t1)*H1347)</f>
        <v>1160.97119479546</v>
      </c>
      <c r="K1347" s="59" t="n">
        <f aca="false">J1347*EXP((mc_mu-mc_vol^2/2)*(mc_t2-mc_t1)+mc_vol*SQRT(mc_t2-mc_t1)*I1347)</f>
        <v>975.550586841218</v>
      </c>
      <c r="L1347" s="31" t="n">
        <f aca="false">(t1_usd*J1347+t2_usd*K1347)/1000</f>
        <v>9980.34447856655</v>
      </c>
    </row>
    <row r="1348" customFormat="false" ht="15" hidden="false" customHeight="false" outlineLevel="0" collapsed="false">
      <c r="E1348" s="54" t="n">
        <v>1344</v>
      </c>
      <c r="F1348" s="61" t="n">
        <v>0.823745</v>
      </c>
      <c r="G1348" s="61" t="n">
        <v>0.893825</v>
      </c>
      <c r="H1348" s="34" t="n">
        <f aca="false">NORMSINV(F1348)</f>
        <v>0.929731733062351</v>
      </c>
      <c r="I1348" s="34" t="n">
        <f aca="false">NORMSINV(G1348)</f>
        <v>1.24712954848264</v>
      </c>
      <c r="J1348" s="59" t="n">
        <f aca="false">mc_s0*EXP((mc_mu-mc_vol^2/2)*mc_t1+mc_vol*SQRT(mc_t1)*H1348)</f>
        <v>1252.72457510501</v>
      </c>
      <c r="K1348" s="59" t="n">
        <f aca="false">J1348*EXP((mc_mu-mc_vol^2/2)*(mc_t2-mc_t1)+mc_vol*SQRT(mc_t2-mc_t1)*I1348)</f>
        <v>1552.71758394106</v>
      </c>
      <c r="L1348" s="31" t="n">
        <f aca="false">(t1_usd*J1348+t2_usd*K1348)/1000</f>
        <v>11719.2354352231</v>
      </c>
    </row>
    <row r="1349" customFormat="false" ht="15" hidden="false" customHeight="false" outlineLevel="0" collapsed="false">
      <c r="E1349" s="54" t="n">
        <v>1345</v>
      </c>
      <c r="F1349" s="61" t="n">
        <v>0.841996</v>
      </c>
      <c r="G1349" s="61" t="n">
        <v>0.395887</v>
      </c>
      <c r="H1349" s="34" t="n">
        <f aca="false">NORMSINV(F1349)</f>
        <v>1.00269508929078</v>
      </c>
      <c r="I1349" s="34" t="n">
        <f aca="false">NORMSINV(G1349)</f>
        <v>-0.264007681123635</v>
      </c>
      <c r="J1349" s="59" t="n">
        <f aca="false">mc_s0*EXP((mc_mu-mc_vol^2/2)*mc_t1+mc_vol*SQRT(mc_t1)*H1349)</f>
        <v>1261.48612561226</v>
      </c>
      <c r="K1349" s="59" t="n">
        <f aca="false">J1349*EXP((mc_mu-mc_vol^2/2)*(mc_t2-mc_t1)+mc_vol*SQRT(mc_t2-mc_t1)*I1349)</f>
        <v>1232.2371969297</v>
      </c>
      <c r="L1349" s="31" t="n">
        <f aca="false">(t1_usd*J1349+t2_usd*K1349)/1000</f>
        <v>11171.6535534522</v>
      </c>
    </row>
    <row r="1350" customFormat="false" ht="15" hidden="false" customHeight="false" outlineLevel="0" collapsed="false">
      <c r="E1350" s="54" t="n">
        <v>1346</v>
      </c>
      <c r="F1350" s="61" t="n">
        <v>0.956804</v>
      </c>
      <c r="G1350" s="61" t="n">
        <v>0.190355</v>
      </c>
      <c r="H1350" s="34" t="n">
        <f aca="false">NORMSINV(F1350)</f>
        <v>1.7147449415395</v>
      </c>
      <c r="I1350" s="34" t="n">
        <f aca="false">NORMSINV(G1350)</f>
        <v>-0.87658884551098</v>
      </c>
      <c r="J1350" s="59" t="n">
        <f aca="false">mc_s0*EXP((mc_mu-mc_vol^2/2)*mc_t1+mc_vol*SQRT(mc_t1)*H1350)</f>
        <v>1350.27376643865</v>
      </c>
      <c r="K1350" s="59" t="n">
        <f aca="false">J1350*EXP((mc_mu-mc_vol^2/2)*(mc_t2-mc_t1)+mc_vol*SQRT(mc_t2-mc_t1)*I1350)</f>
        <v>1197.58810560494</v>
      </c>
      <c r="L1350" s="31" t="n">
        <f aca="false">(t1_usd*J1350+t2_usd*K1350)/1000</f>
        <v>11727.3337657199</v>
      </c>
    </row>
    <row r="1351" customFormat="false" ht="15" hidden="false" customHeight="false" outlineLevel="0" collapsed="false">
      <c r="E1351" s="54" t="n">
        <v>1347</v>
      </c>
      <c r="F1351" s="61" t="n">
        <v>0.921724</v>
      </c>
      <c r="G1351" s="61" t="n">
        <v>0.080845</v>
      </c>
      <c r="H1351" s="34" t="n">
        <f aca="false">NORMSINV(F1351)</f>
        <v>1.41676378897741</v>
      </c>
      <c r="I1351" s="34" t="n">
        <f aca="false">NORMSINV(G1351)</f>
        <v>-1.39941023308135</v>
      </c>
      <c r="J1351" s="59" t="n">
        <f aca="false">mc_s0*EXP((mc_mu-mc_vol^2/2)*mc_t1+mc_vol*SQRT(mc_t1)*H1351)</f>
        <v>1312.38149240256</v>
      </c>
      <c r="K1351" s="59" t="n">
        <f aca="false">J1351*EXP((mc_mu-mc_vol^2/2)*(mc_t2-mc_t1)+mc_vol*SQRT(mc_t2-mc_t1)*I1351)</f>
        <v>1071.92123505641</v>
      </c>
      <c r="L1351" s="31" t="n">
        <f aca="false">(t1_usd*J1351+t2_usd*K1351)/1000</f>
        <v>11223.3207934251</v>
      </c>
    </row>
    <row r="1352" customFormat="false" ht="15" hidden="false" customHeight="false" outlineLevel="0" collapsed="false">
      <c r="E1352" s="54" t="n">
        <v>1348</v>
      </c>
      <c r="F1352" s="61" t="n">
        <v>0.219786</v>
      </c>
      <c r="G1352" s="61" t="n">
        <v>0.002314</v>
      </c>
      <c r="H1352" s="34" t="n">
        <f aca="false">NORMSINV(F1352)</f>
        <v>-0.772916160477063</v>
      </c>
      <c r="I1352" s="34" t="n">
        <f aca="false">NORMSINV(G1352)</f>
        <v>-2.83184691411747</v>
      </c>
      <c r="J1352" s="59" t="n">
        <f aca="false">mc_s0*EXP((mc_mu-mc_vol^2/2)*mc_t1+mc_vol*SQRT(mc_t1)*H1352)</f>
        <v>1064.68549199598</v>
      </c>
      <c r="K1352" s="59" t="n">
        <f aca="false">J1352*EXP((mc_mu-mc_vol^2/2)*(mc_t2-mc_t1)+mc_vol*SQRT(mc_t2-mc_t1)*I1352)</f>
        <v>693.881785359639</v>
      </c>
      <c r="L1352" s="31" t="n">
        <f aca="false">(t1_usd*J1352+t2_usd*K1352)/1000</f>
        <v>8771.1738361552</v>
      </c>
    </row>
    <row r="1353" customFormat="false" ht="15" hidden="false" customHeight="false" outlineLevel="0" collapsed="false">
      <c r="E1353" s="54" t="n">
        <v>1349</v>
      </c>
      <c r="F1353" s="61" t="n">
        <v>0.151368</v>
      </c>
      <c r="G1353" s="61" t="n">
        <v>0.187425</v>
      </c>
      <c r="H1353" s="34" t="n">
        <f aca="false">NORMSINV(F1353)</f>
        <v>-1.03058387712025</v>
      </c>
      <c r="I1353" s="34" t="n">
        <f aca="false">NORMSINV(G1353)</f>
        <v>-0.88742523918905</v>
      </c>
      <c r="J1353" s="59" t="n">
        <f aca="false">mc_s0*EXP((mc_mu-mc_vol^2/2)*mc_t1+mc_vol*SQRT(mc_t1)*H1353)</f>
        <v>1038.80015098805</v>
      </c>
      <c r="K1353" s="59" t="n">
        <f aca="false">J1353*EXP((mc_mu-mc_vol^2/2)*(mc_t2-mc_t1)+mc_vol*SQRT(mc_t2-mc_t1)*I1353)</f>
        <v>919.763106138262</v>
      </c>
      <c r="L1353" s="31" t="n">
        <f aca="false">(t1_usd*J1353+t2_usd*K1353)/1000</f>
        <v>9019.15095857904</v>
      </c>
    </row>
    <row r="1354" customFormat="false" ht="15" hidden="false" customHeight="false" outlineLevel="0" collapsed="false">
      <c r="E1354" s="54" t="n">
        <v>1350</v>
      </c>
      <c r="F1354" s="61" t="n">
        <v>0.393343</v>
      </c>
      <c r="G1354" s="61" t="n">
        <v>0.380514</v>
      </c>
      <c r="H1354" s="34" t="n">
        <f aca="false">NORMSINV(F1354)</f>
        <v>-0.270616505257797</v>
      </c>
      <c r="I1354" s="34" t="n">
        <f aca="false">NORMSINV(G1354)</f>
        <v>-0.304131118362631</v>
      </c>
      <c r="J1354" s="59" t="n">
        <f aca="false">mc_s0*EXP((mc_mu-mc_vol^2/2)*mc_t1+mc_vol*SQRT(mc_t1)*H1354)</f>
        <v>1117.015531396</v>
      </c>
      <c r="K1354" s="59" t="n">
        <f aca="false">J1354*EXP((mc_mu-mc_vol^2/2)*(mc_t2-mc_t1)+mc_vol*SQRT(mc_t2-mc_t1)*I1354)</f>
        <v>1084.23875185765</v>
      </c>
      <c r="L1354" s="31" t="n">
        <f aca="false">(t1_usd*J1354+t2_usd*K1354)/1000</f>
        <v>9879.1623483015</v>
      </c>
    </row>
    <row r="1355" customFormat="false" ht="15" hidden="false" customHeight="false" outlineLevel="0" collapsed="false">
      <c r="E1355" s="54" t="n">
        <v>1351</v>
      </c>
      <c r="F1355" s="61" t="n">
        <v>0.506255</v>
      </c>
      <c r="G1355" s="61" t="n">
        <v>0.883656</v>
      </c>
      <c r="H1355" s="34" t="n">
        <f aca="false">NORMSINV(F1355)</f>
        <v>0.0156796023056424</v>
      </c>
      <c r="I1355" s="34" t="n">
        <f aca="false">NORMSINV(G1355)</f>
        <v>1.19346324133229</v>
      </c>
      <c r="J1355" s="59" t="n">
        <f aca="false">mc_s0*EXP((mc_mu-mc_vol^2/2)*mc_t1+mc_vol*SQRT(mc_t1)*H1355)</f>
        <v>1147.98494112073</v>
      </c>
      <c r="K1355" s="59" t="n">
        <f aca="false">J1355*EXP((mc_mu-mc_vol^2/2)*(mc_t2-mc_t1)+mc_vol*SQRT(mc_t2-mc_t1)*I1355)</f>
        <v>1410.9123778187</v>
      </c>
      <c r="L1355" s="31" t="n">
        <f aca="false">(t1_usd*J1355+t2_usd*K1355)/1000</f>
        <v>10716.6281057007</v>
      </c>
    </row>
    <row r="1356" customFormat="false" ht="15" hidden="false" customHeight="false" outlineLevel="0" collapsed="false">
      <c r="E1356" s="54" t="n">
        <v>1352</v>
      </c>
      <c r="F1356" s="61" t="n">
        <v>0.087038</v>
      </c>
      <c r="G1356" s="61" t="n">
        <v>0.549691</v>
      </c>
      <c r="H1356" s="34" t="n">
        <f aca="false">NORMSINV(F1356)</f>
        <v>-1.35922279529678</v>
      </c>
      <c r="I1356" s="34" t="n">
        <f aca="false">NORMSINV(G1356)</f>
        <v>0.124880697367493</v>
      </c>
      <c r="J1356" s="59" t="n">
        <f aca="false">mc_s0*EXP((mc_mu-mc_vol^2/2)*mc_t1+mc_vol*SQRT(mc_t1)*H1356)</f>
        <v>1006.69621401697</v>
      </c>
      <c r="K1356" s="59" t="n">
        <f aca="false">J1356*EXP((mc_mu-mc_vol^2/2)*(mc_t2-mc_t1)+mc_vol*SQRT(mc_t2-mc_t1)*I1356)</f>
        <v>1045.50596315125</v>
      </c>
      <c r="L1356" s="31" t="n">
        <f aca="false">(t1_usd*J1356+t2_usd*K1356)/1000</f>
        <v>9033.33482810617</v>
      </c>
    </row>
    <row r="1357" customFormat="false" ht="15" hidden="false" customHeight="false" outlineLevel="0" collapsed="false">
      <c r="E1357" s="54" t="n">
        <v>1353</v>
      </c>
      <c r="F1357" s="61" t="n">
        <v>0.242315</v>
      </c>
      <c r="G1357" s="61" t="n">
        <v>0.114722</v>
      </c>
      <c r="H1357" s="34" t="n">
        <f aca="false">NORMSINV(F1357)</f>
        <v>-0.698875243773087</v>
      </c>
      <c r="I1357" s="34" t="n">
        <f aca="false">NORMSINV(G1357)</f>
        <v>-1.20179232450405</v>
      </c>
      <c r="J1357" s="59" t="n">
        <f aca="false">mc_s0*EXP((mc_mu-mc_vol^2/2)*mc_t1+mc_vol*SQRT(mc_t1)*H1357)</f>
        <v>1072.24225965493</v>
      </c>
      <c r="K1357" s="59" t="n">
        <f aca="false">J1357*EXP((mc_mu-mc_vol^2/2)*(mc_t2-mc_t1)+mc_vol*SQRT(mc_t2-mc_t1)*I1357)</f>
        <v>903.485181158174</v>
      </c>
      <c r="L1357" s="31" t="n">
        <f aca="false">(t1_usd*J1357+t2_usd*K1357)/1000</f>
        <v>9222.31766178505</v>
      </c>
    </row>
    <row r="1358" customFormat="false" ht="15" hidden="false" customHeight="false" outlineLevel="0" collapsed="false">
      <c r="E1358" s="54" t="n">
        <v>1354</v>
      </c>
      <c r="F1358" s="61" t="n">
        <v>0.040436</v>
      </c>
      <c r="G1358" s="61" t="n">
        <v>0.397307</v>
      </c>
      <c r="H1358" s="34" t="n">
        <f aca="false">NORMSINV(F1358)</f>
        <v>-1.74564878245684</v>
      </c>
      <c r="I1358" s="34" t="n">
        <f aca="false">NORMSINV(G1358)</f>
        <v>-0.260323820179413</v>
      </c>
      <c r="J1358" s="59" t="n">
        <f aca="false">mc_s0*EXP((mc_mu-mc_vol^2/2)*mc_t1+mc_vol*SQRT(mc_t1)*H1358)</f>
        <v>970.214080039578</v>
      </c>
      <c r="K1358" s="59" t="n">
        <f aca="false">J1358*EXP((mc_mu-mc_vol^2/2)*(mc_t2-mc_t1)+mc_vol*SQRT(mc_t2-mc_t1)*I1358)</f>
        <v>948.268969858196</v>
      </c>
      <c r="L1358" s="31" t="n">
        <f aca="false">(t1_usd*J1358+t2_usd*K1358)/1000</f>
        <v>8593.20960300762</v>
      </c>
    </row>
    <row r="1359" customFormat="false" ht="15" hidden="false" customHeight="false" outlineLevel="0" collapsed="false">
      <c r="E1359" s="54" t="n">
        <v>1355</v>
      </c>
      <c r="F1359" s="61" t="n">
        <v>0.146091</v>
      </c>
      <c r="G1359" s="61" t="n">
        <v>0.829205</v>
      </c>
      <c r="H1359" s="34" t="n">
        <f aca="false">NORMSINV(F1359)</f>
        <v>-1.05334696812874</v>
      </c>
      <c r="I1359" s="34" t="n">
        <f aca="false">NORMSINV(G1359)</f>
        <v>0.951028319661331</v>
      </c>
      <c r="J1359" s="59" t="n">
        <f aca="false">mc_s0*EXP((mc_mu-mc_vol^2/2)*mc_t1+mc_vol*SQRT(mc_t1)*H1359)</f>
        <v>1036.54384804017</v>
      </c>
      <c r="K1359" s="59" t="n">
        <f aca="false">J1359*EXP((mc_mu-mc_vol^2/2)*(mc_t2-mc_t1)+mc_vol*SQRT(mc_t2-mc_t1)*I1359)</f>
        <v>1226.19300573129</v>
      </c>
      <c r="L1359" s="31" t="n">
        <f aca="false">(t1_usd*J1359+t2_usd*K1359)/1000</f>
        <v>9585.57364717061</v>
      </c>
    </row>
    <row r="1360" customFormat="false" ht="15" hidden="false" customHeight="false" outlineLevel="0" collapsed="false">
      <c r="E1360" s="54" t="n">
        <v>1356</v>
      </c>
      <c r="F1360" s="61" t="n">
        <v>0.104082</v>
      </c>
      <c r="G1360" s="61" t="n">
        <v>0.569667</v>
      </c>
      <c r="H1360" s="34" t="n">
        <f aca="false">NORMSINV(F1360)</f>
        <v>-1.25863001626961</v>
      </c>
      <c r="I1360" s="34" t="n">
        <f aca="false">NORMSINV(G1360)</f>
        <v>0.175526436376736</v>
      </c>
      <c r="J1360" s="59" t="n">
        <f aca="false">mc_s0*EXP((mc_mu-mc_vol^2/2)*mc_t1+mc_vol*SQRT(mc_t1)*H1360)</f>
        <v>1016.4160671968</v>
      </c>
      <c r="K1360" s="59" t="n">
        <f aca="false">J1360*EXP((mc_mu-mc_vol^2/2)*(mc_t2-mc_t1)+mc_vol*SQRT(mc_t2-mc_t1)*I1360)</f>
        <v>1064.05943983759</v>
      </c>
      <c r="L1360" s="31" t="n">
        <f aca="false">(t1_usd*J1360+t2_usd*K1360)/1000</f>
        <v>9136.62540606901</v>
      </c>
    </row>
    <row r="1361" customFormat="false" ht="15" hidden="false" customHeight="false" outlineLevel="0" collapsed="false">
      <c r="E1361" s="54" t="n">
        <v>1357</v>
      </c>
      <c r="F1361" s="61" t="n">
        <v>0.110626</v>
      </c>
      <c r="G1361" s="61" t="n">
        <v>0.216529</v>
      </c>
      <c r="H1361" s="34" t="n">
        <f aca="false">NORMSINV(F1361)</f>
        <v>-1.22320573506382</v>
      </c>
      <c r="I1361" s="34" t="n">
        <f aca="false">NORMSINV(G1361)</f>
        <v>-0.783969512031057</v>
      </c>
      <c r="J1361" s="59" t="n">
        <f aca="false">mc_s0*EXP((mc_mu-mc_vol^2/2)*mc_t1+mc_vol*SQRT(mc_t1)*H1361)</f>
        <v>1019.86126222719</v>
      </c>
      <c r="K1361" s="59" t="n">
        <f aca="false">J1361*EXP((mc_mu-mc_vol^2/2)*(mc_t2-mc_t1)+mc_vol*SQRT(mc_t2-mc_t1)*I1361)</f>
        <v>917.837460847426</v>
      </c>
      <c r="L1361" s="31" t="n">
        <f aca="false">(t1_usd*J1361+t2_usd*K1361)/1000</f>
        <v>8882.92001120047</v>
      </c>
    </row>
    <row r="1362" customFormat="false" ht="15" hidden="false" customHeight="false" outlineLevel="0" collapsed="false">
      <c r="E1362" s="54" t="n">
        <v>1358</v>
      </c>
      <c r="F1362" s="61" t="n">
        <v>0.863313</v>
      </c>
      <c r="G1362" s="61" t="n">
        <v>0.722155</v>
      </c>
      <c r="H1362" s="34" t="n">
        <f aca="false">NORMSINV(F1362)</f>
        <v>1.0953256364123</v>
      </c>
      <c r="I1362" s="34" t="n">
        <f aca="false">NORMSINV(G1362)</f>
        <v>0.589255338314402</v>
      </c>
      <c r="J1362" s="59" t="n">
        <f aca="false">mc_s0*EXP((mc_mu-mc_vol^2/2)*mc_t1+mc_vol*SQRT(mc_t1)*H1362)</f>
        <v>1272.69767825147</v>
      </c>
      <c r="K1362" s="59" t="n">
        <f aca="false">J1362*EXP((mc_mu-mc_vol^2/2)*(mc_t2-mc_t1)+mc_vol*SQRT(mc_t2-mc_t1)*I1362)</f>
        <v>1422.11917884547</v>
      </c>
      <c r="L1362" s="31" t="n">
        <f aca="false">(t1_usd*J1362+t2_usd*K1362)/1000</f>
        <v>11610.9101875667</v>
      </c>
    </row>
    <row r="1363" customFormat="false" ht="15" hidden="false" customHeight="false" outlineLevel="0" collapsed="false">
      <c r="E1363" s="54" t="n">
        <v>1359</v>
      </c>
      <c r="F1363" s="61" t="n">
        <v>0.271801</v>
      </c>
      <c r="G1363" s="61" t="n">
        <v>0.839543</v>
      </c>
      <c r="H1363" s="34" t="n">
        <f aca="false">NORMSINV(F1363)</f>
        <v>-0.607375113897144</v>
      </c>
      <c r="I1363" s="34" t="n">
        <f aca="false">NORMSINV(G1363)</f>
        <v>0.992581385200353</v>
      </c>
      <c r="J1363" s="59" t="n">
        <f aca="false">mc_s0*EXP((mc_mu-mc_vol^2/2)*mc_t1+mc_vol*SQRT(mc_t1)*H1363)</f>
        <v>1081.65508934915</v>
      </c>
      <c r="K1363" s="59" t="n">
        <f aca="false">J1363*EXP((mc_mu-mc_vol^2/2)*(mc_t2-mc_t1)+mc_vol*SQRT(mc_t2-mc_t1)*I1363)</f>
        <v>1287.96459005458</v>
      </c>
      <c r="L1363" s="31" t="n">
        <f aca="false">(t1_usd*J1363+t2_usd*K1363)/1000</f>
        <v>10018.7183465477</v>
      </c>
    </row>
    <row r="1364" customFormat="false" ht="15" hidden="false" customHeight="false" outlineLevel="0" collapsed="false">
      <c r="E1364" s="54" t="n">
        <v>1360</v>
      </c>
      <c r="F1364" s="61" t="n">
        <v>0.983824</v>
      </c>
      <c r="G1364" s="61" t="n">
        <v>0.5581</v>
      </c>
      <c r="H1364" s="34" t="n">
        <f aca="false">NORMSINV(F1364)</f>
        <v>2.14003423673819</v>
      </c>
      <c r="I1364" s="34" t="n">
        <f aca="false">NORMSINV(G1364)</f>
        <v>0.14615376971532</v>
      </c>
      <c r="J1364" s="59" t="n">
        <f aca="false">mc_s0*EXP((mc_mu-mc_vol^2/2)*mc_t1+mc_vol*SQRT(mc_t1)*H1364)</f>
        <v>1406.25776927962</v>
      </c>
      <c r="K1364" s="59" t="n">
        <f aca="false">J1364*EXP((mc_mu-mc_vol^2/2)*(mc_t2-mc_t1)+mc_vol*SQRT(mc_t2-mc_t1)*I1364)</f>
        <v>1465.3756893721</v>
      </c>
      <c r="L1364" s="31" t="n">
        <f aca="false">(t1_usd*J1364+t2_usd*K1364)/1000</f>
        <v>12628.0181947643</v>
      </c>
    </row>
    <row r="1365" customFormat="false" ht="15" hidden="false" customHeight="false" outlineLevel="0" collapsed="false">
      <c r="E1365" s="54" t="n">
        <v>1361</v>
      </c>
      <c r="F1365" s="61" t="n">
        <v>0.602134</v>
      </c>
      <c r="G1365" s="61" t="n">
        <v>0.759301</v>
      </c>
      <c r="H1365" s="34" t="n">
        <f aca="false">NORMSINV(F1365)</f>
        <v>0.258874595538003</v>
      </c>
      <c r="I1365" s="34" t="n">
        <f aca="false">NORMSINV(G1365)</f>
        <v>0.704055839289927</v>
      </c>
      <c r="J1365" s="59" t="n">
        <f aca="false">mc_s0*EXP((mc_mu-mc_vol^2/2)*mc_t1+mc_vol*SQRT(mc_t1)*H1365)</f>
        <v>1174.96552236844</v>
      </c>
      <c r="K1365" s="59" t="n">
        <f aca="false">J1365*EXP((mc_mu-mc_vol^2/2)*(mc_t2-mc_t1)+mc_vol*SQRT(mc_t2-mc_t1)*I1365)</f>
        <v>1336.88184042203</v>
      </c>
      <c r="L1365" s="31" t="n">
        <f aca="false">(t1_usd*J1365+t2_usd*K1365)/1000</f>
        <v>10764.8341533809</v>
      </c>
    </row>
    <row r="1366" customFormat="false" ht="15" hidden="false" customHeight="false" outlineLevel="0" collapsed="false">
      <c r="E1366" s="54" t="n">
        <v>1362</v>
      </c>
      <c r="F1366" s="61" t="n">
        <v>0.461865</v>
      </c>
      <c r="G1366" s="61" t="n">
        <v>0.646832</v>
      </c>
      <c r="H1366" s="34" t="n">
        <f aca="false">NORMSINV(F1366)</f>
        <v>-0.0957363126764965</v>
      </c>
      <c r="I1366" s="34" t="n">
        <f aca="false">NORMSINV(G1366)</f>
        <v>0.376781486708529</v>
      </c>
      <c r="J1366" s="59" t="n">
        <f aca="false">mc_s0*EXP((mc_mu-mc_vol^2/2)*mc_t1+mc_vol*SQRT(mc_t1)*H1366)</f>
        <v>1135.83201998857</v>
      </c>
      <c r="K1366" s="59" t="n">
        <f aca="false">J1366*EXP((mc_mu-mc_vol^2/2)*(mc_t2-mc_t1)+mc_vol*SQRT(mc_t2-mc_t1)*I1366)</f>
        <v>1227.39046250853</v>
      </c>
      <c r="L1366" s="31" t="n">
        <f aca="false">(t1_usd*J1366+t2_usd*K1366)/1000</f>
        <v>10282.8660186862</v>
      </c>
    </row>
    <row r="1367" customFormat="false" ht="15" hidden="false" customHeight="false" outlineLevel="0" collapsed="false">
      <c r="E1367" s="54" t="n">
        <v>1363</v>
      </c>
      <c r="F1367" s="61" t="n">
        <v>0.436891</v>
      </c>
      <c r="G1367" s="61" t="n">
        <v>0.415218</v>
      </c>
      <c r="H1367" s="34" t="n">
        <f aca="false">NORMSINV(F1367)</f>
        <v>-0.158856415433615</v>
      </c>
      <c r="I1367" s="34" t="n">
        <f aca="false">NORMSINV(G1367)</f>
        <v>-0.214142415636403</v>
      </c>
      <c r="J1367" s="59" t="n">
        <f aca="false">mc_s0*EXP((mc_mu-mc_vol^2/2)*mc_t1+mc_vol*SQRT(mc_t1)*H1367)</f>
        <v>1129.00424115677</v>
      </c>
      <c r="K1367" s="59" t="n">
        <f aca="false">J1367*EXP((mc_mu-mc_vol^2/2)*(mc_t2-mc_t1)+mc_vol*SQRT(mc_t2-mc_t1)*I1367)</f>
        <v>1111.52767653775</v>
      </c>
      <c r="L1367" s="31" t="n">
        <f aca="false">(t1_usd*J1367+t2_usd*K1367)/1000</f>
        <v>10014.9322735191</v>
      </c>
    </row>
    <row r="1368" customFormat="false" ht="15" hidden="false" customHeight="false" outlineLevel="0" collapsed="false">
      <c r="E1368" s="54" t="n">
        <v>1364</v>
      </c>
      <c r="F1368" s="61" t="n">
        <v>0.394825</v>
      </c>
      <c r="G1368" s="61" t="n">
        <v>0.973979</v>
      </c>
      <c r="H1368" s="34" t="n">
        <f aca="false">NORMSINV(F1368)</f>
        <v>-0.266765134939107</v>
      </c>
      <c r="I1368" s="34" t="n">
        <f aca="false">NORMSINV(G1368)</f>
        <v>1.94278616665479</v>
      </c>
      <c r="J1368" s="59" t="n">
        <f aca="false">mc_s0*EXP((mc_mu-mc_vol^2/2)*mc_t1+mc_vol*SQRT(mc_t1)*H1368)</f>
        <v>1117.42654919524</v>
      </c>
      <c r="K1368" s="59" t="n">
        <f aca="false">J1368*EXP((mc_mu-mc_vol^2/2)*(mc_t2-mc_t1)+mc_vol*SQRT(mc_t2-mc_t1)*I1368)</f>
        <v>1545.4960176911</v>
      </c>
      <c r="L1368" s="31" t="n">
        <f aca="false">(t1_usd*J1368+t2_usd*K1368)/1000</f>
        <v>10758.4282779798</v>
      </c>
    </row>
    <row r="1369" customFormat="false" ht="15" hidden="false" customHeight="false" outlineLevel="0" collapsed="false">
      <c r="E1369" s="54" t="n">
        <v>1365</v>
      </c>
      <c r="F1369" s="61" t="n">
        <v>0.920215</v>
      </c>
      <c r="G1369" s="61" t="n">
        <v>0.967635</v>
      </c>
      <c r="H1369" s="34" t="n">
        <f aca="false">NORMSINV(F1369)</f>
        <v>1.40651922476869</v>
      </c>
      <c r="I1369" s="34" t="n">
        <f aca="false">NORMSINV(G1369)</f>
        <v>1.84711827788995</v>
      </c>
      <c r="J1369" s="59" t="n">
        <f aca="false">mc_s0*EXP((mc_mu-mc_vol^2/2)*mc_t1+mc_vol*SQRT(mc_t1)*H1369)</f>
        <v>1311.09784024541</v>
      </c>
      <c r="K1369" s="59" t="n">
        <f aca="false">J1369*EXP((mc_mu-mc_vol^2/2)*(mc_t2-mc_t1)+mc_vol*SQRT(mc_t2-mc_t1)*I1369)</f>
        <v>1786.22563864829</v>
      </c>
      <c r="L1369" s="31" t="n">
        <f aca="false">(t1_usd*J1369+t2_usd*K1369)/1000</f>
        <v>12571.5135951496</v>
      </c>
    </row>
    <row r="1370" customFormat="false" ht="15" hidden="false" customHeight="false" outlineLevel="0" collapsed="false">
      <c r="E1370" s="54" t="n">
        <v>1366</v>
      </c>
      <c r="F1370" s="61" t="n">
        <v>0.886</v>
      </c>
      <c r="G1370" s="61" t="n">
        <v>0.974348</v>
      </c>
      <c r="H1370" s="34" t="n">
        <f aca="false">NORMSINV(F1370)</f>
        <v>1.20552679597252</v>
      </c>
      <c r="I1370" s="34" t="n">
        <f aca="false">NORMSINV(G1370)</f>
        <v>1.94892819849493</v>
      </c>
      <c r="J1370" s="59" t="n">
        <f aca="false">mc_s0*EXP((mc_mu-mc_vol^2/2)*mc_t1+mc_vol*SQRT(mc_t1)*H1370)</f>
        <v>1286.16575291474</v>
      </c>
      <c r="K1370" s="59" t="n">
        <f aca="false">J1370*EXP((mc_mu-mc_vol^2/2)*(mc_t2-mc_t1)+mc_vol*SQRT(mc_t2-mc_t1)*I1370)</f>
        <v>1780.5993810806</v>
      </c>
      <c r="L1370" s="31" t="n">
        <f aca="false">(t1_usd*J1370+t2_usd*K1370)/1000</f>
        <v>12386.2990944563</v>
      </c>
    </row>
    <row r="1371" customFormat="false" ht="15" hidden="false" customHeight="false" outlineLevel="0" collapsed="false">
      <c r="E1371" s="54" t="n">
        <v>1367</v>
      </c>
      <c r="F1371" s="61" t="n">
        <v>0.180393</v>
      </c>
      <c r="G1371" s="61" t="n">
        <v>0.627124</v>
      </c>
      <c r="H1371" s="34" t="n">
        <f aca="false">NORMSINV(F1371)</f>
        <v>-0.913868399680494</v>
      </c>
      <c r="I1371" s="34" t="n">
        <f aca="false">NORMSINV(G1371)</f>
        <v>0.324245734052867</v>
      </c>
      <c r="J1371" s="59" t="n">
        <f aca="false">mc_s0*EXP((mc_mu-mc_vol^2/2)*mc_t1+mc_vol*SQRT(mc_t1)*H1371)</f>
        <v>1050.44650323586</v>
      </c>
      <c r="K1371" s="59" t="n">
        <f aca="false">J1371*EXP((mc_mu-mc_vol^2/2)*(mc_t2-mc_t1)+mc_vol*SQRT(mc_t2-mc_t1)*I1371)</f>
        <v>1125.76289919407</v>
      </c>
      <c r="L1371" s="31" t="n">
        <f aca="false">(t1_usd*J1371+t2_usd*K1371)/1000</f>
        <v>9492.07503111973</v>
      </c>
    </row>
    <row r="1372" customFormat="false" ht="15" hidden="false" customHeight="false" outlineLevel="0" collapsed="false">
      <c r="E1372" s="54" t="n">
        <v>1368</v>
      </c>
      <c r="F1372" s="61" t="n">
        <v>0.456325</v>
      </c>
      <c r="G1372" s="61" t="n">
        <v>0.791229</v>
      </c>
      <c r="H1372" s="34" t="n">
        <f aca="false">NORMSINV(F1372)</f>
        <v>-0.109696596155721</v>
      </c>
      <c r="I1372" s="34" t="n">
        <f aca="false">NORMSINV(G1372)</f>
        <v>0.81069298998966</v>
      </c>
      <c r="J1372" s="59" t="n">
        <f aca="false">mc_s0*EXP((mc_mu-mc_vol^2/2)*mc_t1+mc_vol*SQRT(mc_t1)*H1372)</f>
        <v>1134.31837141675</v>
      </c>
      <c r="K1372" s="59" t="n">
        <f aca="false">J1372*EXP((mc_mu-mc_vol^2/2)*(mc_t2-mc_t1)+mc_vol*SQRT(mc_t2-mc_t1)*I1372)</f>
        <v>1312.50604279961</v>
      </c>
      <c r="L1372" s="31" t="n">
        <f aca="false">(t1_usd*J1372+t2_usd*K1372)/1000</f>
        <v>10433.9900812365</v>
      </c>
    </row>
    <row r="1373" customFormat="false" ht="15" hidden="false" customHeight="false" outlineLevel="0" collapsed="false">
      <c r="E1373" s="54" t="n">
        <v>1369</v>
      </c>
      <c r="F1373" s="61" t="n">
        <v>0.232994</v>
      </c>
      <c r="G1373" s="61" t="n">
        <v>0.543025</v>
      </c>
      <c r="H1373" s="34" t="n">
        <f aca="false">NORMSINV(F1373)</f>
        <v>-0.729022335415261</v>
      </c>
      <c r="I1373" s="34" t="n">
        <f aca="false">NORMSINV(G1373)</f>
        <v>0.108057601827806</v>
      </c>
      <c r="J1373" s="59" t="n">
        <f aca="false">mc_s0*EXP((mc_mu-mc_vol^2/2)*mc_t1+mc_vol*SQRT(mc_t1)*H1373)</f>
        <v>1069.1589338686</v>
      </c>
      <c r="K1373" s="59" t="n">
        <f aca="false">J1373*EXP((mc_mu-mc_vol^2/2)*(mc_t2-mc_t1)+mc_vol*SQRT(mc_t2-mc_t1)*I1373)</f>
        <v>1107.43678285611</v>
      </c>
      <c r="L1373" s="31" t="n">
        <f aca="false">(t1_usd*J1373+t2_usd*K1373)/1000</f>
        <v>9588.24242450679</v>
      </c>
    </row>
    <row r="1374" customFormat="false" ht="15" hidden="false" customHeight="false" outlineLevel="0" collapsed="false">
      <c r="E1374" s="54" t="n">
        <v>1370</v>
      </c>
      <c r="F1374" s="61" t="n">
        <v>0.5074</v>
      </c>
      <c r="G1374" s="61" t="n">
        <v>0.76903</v>
      </c>
      <c r="H1374" s="34" t="n">
        <f aca="false">NORMSINV(F1374)</f>
        <v>0.018550113047038</v>
      </c>
      <c r="I1374" s="34" t="n">
        <f aca="false">NORMSINV(G1374)</f>
        <v>0.735656120255804</v>
      </c>
      <c r="J1374" s="59" t="n">
        <f aca="false">mc_s0*EXP((mc_mu-mc_vol^2/2)*mc_t1+mc_vol*SQRT(mc_t1)*H1374)</f>
        <v>1148.29976028351</v>
      </c>
      <c r="K1374" s="59" t="n">
        <f aca="false">J1374*EXP((mc_mu-mc_vol^2/2)*(mc_t2-mc_t1)+mc_vol*SQRT(mc_t2-mc_t1)*I1374)</f>
        <v>1313.06418909871</v>
      </c>
      <c r="L1374" s="31" t="n">
        <f aca="false">(t1_usd*J1374+t2_usd*K1374)/1000</f>
        <v>10532.9202812721</v>
      </c>
    </row>
    <row r="1375" customFormat="false" ht="15" hidden="false" customHeight="false" outlineLevel="0" collapsed="false">
      <c r="E1375" s="54" t="n">
        <v>1371</v>
      </c>
      <c r="F1375" s="61" t="n">
        <v>0.259839</v>
      </c>
      <c r="G1375" s="61" t="n">
        <v>0.797957</v>
      </c>
      <c r="H1375" s="34" t="n">
        <f aca="false">NORMSINV(F1375)</f>
        <v>-0.643841838765057</v>
      </c>
      <c r="I1375" s="34" t="n">
        <f aca="false">NORMSINV(G1375)</f>
        <v>0.834346066307974</v>
      </c>
      <c r="J1375" s="59" t="n">
        <f aca="false">mc_s0*EXP((mc_mu-mc_vol^2/2)*mc_t1+mc_vol*SQRT(mc_t1)*H1375)</f>
        <v>1077.89380976058</v>
      </c>
      <c r="K1375" s="59" t="n">
        <f aca="false">J1375*EXP((mc_mu-mc_vol^2/2)*(mc_t2-mc_t1)+mc_vol*SQRT(mc_t2-mc_t1)*I1375)</f>
        <v>1251.87562624986</v>
      </c>
      <c r="L1375" s="31" t="n">
        <f aca="false">(t1_usd*J1375+t2_usd*K1375)/1000</f>
        <v>9923.82035819881</v>
      </c>
    </row>
    <row r="1376" customFormat="false" ht="15" hidden="false" customHeight="false" outlineLevel="0" collapsed="false">
      <c r="E1376" s="54" t="n">
        <v>1372</v>
      </c>
      <c r="F1376" s="61" t="n">
        <v>0.633651</v>
      </c>
      <c r="G1376" s="61" t="n">
        <v>0.226608</v>
      </c>
      <c r="H1376" s="34" t="n">
        <f aca="false">NORMSINV(F1376)</f>
        <v>0.341538800941268</v>
      </c>
      <c r="I1376" s="34" t="n">
        <f aca="false">NORMSINV(G1376)</f>
        <v>-0.750064265817547</v>
      </c>
      <c r="J1376" s="59" t="n">
        <f aca="false">mc_s0*EXP((mc_mu-mc_vol^2/2)*mc_t1+mc_vol*SQRT(mc_t1)*H1376)</f>
        <v>1184.28013194978</v>
      </c>
      <c r="K1376" s="59" t="n">
        <f aca="false">J1376*EXP((mc_mu-mc_vol^2/2)*(mc_t2-mc_t1)+mc_vol*SQRT(mc_t2-mc_t1)*I1376)</f>
        <v>1071.51847725275</v>
      </c>
      <c r="L1376" s="31" t="n">
        <f aca="false">(t1_usd*J1376+t2_usd*K1376)/1000</f>
        <v>10325.8460304287</v>
      </c>
    </row>
    <row r="1377" customFormat="false" ht="15" hidden="false" customHeight="false" outlineLevel="0" collapsed="false">
      <c r="E1377" s="54" t="n">
        <v>1373</v>
      </c>
      <c r="F1377" s="61" t="n">
        <v>0.861224</v>
      </c>
      <c r="G1377" s="61" t="n">
        <v>0.838622</v>
      </c>
      <c r="H1377" s="34" t="n">
        <f aca="false">NORMSINV(F1377)</f>
        <v>1.08583499670862</v>
      </c>
      <c r="I1377" s="34" t="n">
        <f aca="false">NORMSINV(G1377)</f>
        <v>0.988810226163088</v>
      </c>
      <c r="J1377" s="59" t="n">
        <f aca="false">mc_s0*EXP((mc_mu-mc_vol^2/2)*mc_t1+mc_vol*SQRT(mc_t1)*H1377)</f>
        <v>1271.54441051343</v>
      </c>
      <c r="K1377" s="59" t="n">
        <f aca="false">J1377*EXP((mc_mu-mc_vol^2/2)*(mc_t2-mc_t1)+mc_vol*SQRT(mc_t2-mc_t1)*I1377)</f>
        <v>1513.17289433968</v>
      </c>
      <c r="L1377" s="31" t="n">
        <f aca="false">(t1_usd*J1377+t2_usd*K1377)/1000</f>
        <v>11775.8393728394</v>
      </c>
    </row>
    <row r="1378" customFormat="false" ht="15" hidden="false" customHeight="false" outlineLevel="0" collapsed="false">
      <c r="E1378" s="54" t="n">
        <v>1374</v>
      </c>
      <c r="F1378" s="61" t="n">
        <v>0.195351</v>
      </c>
      <c r="G1378" s="61" t="n">
        <v>0.656799</v>
      </c>
      <c r="H1378" s="34" t="n">
        <f aca="false">NORMSINV(F1378)</f>
        <v>-0.85834497831358</v>
      </c>
      <c r="I1378" s="34" t="n">
        <f aca="false">NORMSINV(G1378)</f>
        <v>0.403742613428714</v>
      </c>
      <c r="J1378" s="59" t="n">
        <f aca="false">mc_s0*EXP((mc_mu-mc_vol^2/2)*mc_t1+mc_vol*SQRT(mc_t1)*H1378)</f>
        <v>1056.03260201099</v>
      </c>
      <c r="K1378" s="59" t="n">
        <f aca="false">J1378*EXP((mc_mu-mc_vol^2/2)*(mc_t2-mc_t1)+mc_vol*SQRT(mc_t2-mc_t1)*I1378)</f>
        <v>1146.01745447848</v>
      </c>
      <c r="L1378" s="31" t="n">
        <f aca="false">(t1_usd*J1378+t2_usd*K1378)/1000</f>
        <v>9569.661377586</v>
      </c>
    </row>
    <row r="1379" customFormat="false" ht="15" hidden="false" customHeight="false" outlineLevel="0" collapsed="false">
      <c r="E1379" s="54" t="n">
        <v>1375</v>
      </c>
      <c r="F1379" s="61" t="n">
        <v>0.689066</v>
      </c>
      <c r="G1379" s="61" t="n">
        <v>0.958561</v>
      </c>
      <c r="H1379" s="34" t="n">
        <f aca="false">NORMSINV(F1379)</f>
        <v>0.493204639534462</v>
      </c>
      <c r="I1379" s="34" t="n">
        <f aca="false">NORMSINV(G1379)</f>
        <v>1.73422595181261</v>
      </c>
      <c r="J1379" s="59" t="n">
        <f aca="false">mc_s0*EXP((mc_mu-mc_vol^2/2)*mc_t1+mc_vol*SQRT(mc_t1)*H1379)</f>
        <v>1201.56229850443</v>
      </c>
      <c r="K1379" s="59" t="n">
        <f aca="false">J1379*EXP((mc_mu-mc_vol^2/2)*(mc_t2-mc_t1)+mc_vol*SQRT(mc_t2-mc_t1)*I1379)</f>
        <v>1608.12924261925</v>
      </c>
      <c r="L1379" s="31" t="n">
        <f aca="false">(t1_usd*J1379+t2_usd*K1379)/1000</f>
        <v>11466.3816505076</v>
      </c>
    </row>
    <row r="1380" customFormat="false" ht="15" hidden="false" customHeight="false" outlineLevel="0" collapsed="false">
      <c r="E1380" s="54" t="n">
        <v>1376</v>
      </c>
      <c r="F1380" s="61" t="n">
        <v>0.519657</v>
      </c>
      <c r="G1380" s="61" t="n">
        <v>0.546732</v>
      </c>
      <c r="H1380" s="34" t="n">
        <f aca="false">NORMSINV(F1380)</f>
        <v>0.049292746433759</v>
      </c>
      <c r="I1380" s="34" t="n">
        <f aca="false">NORMSINV(G1380)</f>
        <v>0.117408939970186</v>
      </c>
      <c r="J1380" s="59" t="n">
        <f aca="false">mc_s0*EXP((mc_mu-mc_vol^2/2)*mc_t1+mc_vol*SQRT(mc_t1)*H1380)</f>
        <v>1151.67683309076</v>
      </c>
      <c r="K1380" s="59" t="n">
        <f aca="false">J1380*EXP((mc_mu-mc_vol^2/2)*(mc_t2-mc_t1)+mc_vol*SQRT(mc_t2-mc_t1)*I1380)</f>
        <v>1194.66826875981</v>
      </c>
      <c r="L1380" s="31" t="n">
        <f aca="false">(t1_usd*J1380+t2_usd*K1380)/1000</f>
        <v>10331.6075422789</v>
      </c>
    </row>
    <row r="1381" customFormat="false" ht="15" hidden="false" customHeight="false" outlineLevel="0" collapsed="false">
      <c r="E1381" s="54" t="n">
        <v>1377</v>
      </c>
      <c r="F1381" s="61" t="n">
        <v>0.112232</v>
      </c>
      <c r="G1381" s="61" t="n">
        <v>0.324545</v>
      </c>
      <c r="H1381" s="34" t="n">
        <f aca="false">NORMSINV(F1381)</f>
        <v>-1.21474333223394</v>
      </c>
      <c r="I1381" s="34" t="n">
        <f aca="false">NORMSINV(G1381)</f>
        <v>-0.455026742147405</v>
      </c>
      <c r="J1381" s="59" t="n">
        <f aca="false">mc_s0*EXP((mc_mu-mc_vol^2/2)*mc_t1+mc_vol*SQRT(mc_t1)*H1381)</f>
        <v>1020.68600132494</v>
      </c>
      <c r="K1381" s="59" t="n">
        <f aca="false">J1381*EXP((mc_mu-mc_vol^2/2)*(mc_t2-mc_t1)+mc_vol*SQRT(mc_t2-mc_t1)*I1381)</f>
        <v>967.453935071364</v>
      </c>
      <c r="L1381" s="31" t="n">
        <f aca="false">(t1_usd*J1381+t2_usd*K1381)/1000</f>
        <v>8982.9644859102</v>
      </c>
    </row>
    <row r="1382" customFormat="false" ht="15" hidden="false" customHeight="false" outlineLevel="0" collapsed="false">
      <c r="E1382" s="54" t="n">
        <v>1378</v>
      </c>
      <c r="F1382" s="61" t="n">
        <v>0.769274</v>
      </c>
      <c r="G1382" s="61" t="n">
        <v>0.148597</v>
      </c>
      <c r="H1382" s="34" t="n">
        <f aca="false">NORMSINV(F1382)</f>
        <v>0.736458030574797</v>
      </c>
      <c r="I1382" s="34" t="n">
        <f aca="false">NORMSINV(G1382)</f>
        <v>-1.04246962725894</v>
      </c>
      <c r="J1382" s="59" t="n">
        <f aca="false">mc_s0*EXP((mc_mu-mc_vol^2/2)*mc_t1+mc_vol*SQRT(mc_t1)*H1382)</f>
        <v>1229.80894487429</v>
      </c>
      <c r="K1382" s="59" t="n">
        <f aca="false">J1382*EXP((mc_mu-mc_vol^2/2)*(mc_t2-mc_t1)+mc_vol*SQRT(mc_t2-mc_t1)*I1382)</f>
        <v>1062.60071215384</v>
      </c>
      <c r="L1382" s="31" t="n">
        <f aca="false">(t1_usd*J1382+t2_usd*K1382)/1000</f>
        <v>10627.6039672124</v>
      </c>
    </row>
    <row r="1383" customFormat="false" ht="15" hidden="false" customHeight="false" outlineLevel="0" collapsed="false">
      <c r="E1383" s="54" t="n">
        <v>1379</v>
      </c>
      <c r="F1383" s="61" t="n">
        <v>0.080528</v>
      </c>
      <c r="G1383" s="61" t="n">
        <v>0.917408</v>
      </c>
      <c r="H1383" s="34" t="n">
        <f aca="false">NORMSINV(F1383)</f>
        <v>-1.40152880509926</v>
      </c>
      <c r="I1383" s="34" t="n">
        <f aca="false">NORMSINV(G1383)</f>
        <v>1.38784581647212</v>
      </c>
      <c r="J1383" s="59" t="n">
        <f aca="false">mc_s0*EXP((mc_mu-mc_vol^2/2)*mc_t1+mc_vol*SQRT(mc_t1)*H1383)</f>
        <v>1002.63618147571</v>
      </c>
      <c r="K1383" s="59" t="n">
        <f aca="false">J1383*EXP((mc_mu-mc_vol^2/2)*(mc_t2-mc_t1)+mc_vol*SQRT(mc_t2-mc_t1)*I1383)</f>
        <v>1270.60666578095</v>
      </c>
      <c r="L1383" s="31" t="n">
        <f aca="false">(t1_usd*J1383+t2_usd*K1383)/1000</f>
        <v>9432.60593531378</v>
      </c>
    </row>
    <row r="1384" customFormat="false" ht="15" hidden="false" customHeight="false" outlineLevel="0" collapsed="false">
      <c r="E1384" s="54" t="n">
        <v>1380</v>
      </c>
      <c r="F1384" s="61" t="n">
        <v>0.398997</v>
      </c>
      <c r="G1384" s="61" t="n">
        <v>0.435561</v>
      </c>
      <c r="H1384" s="34" t="n">
        <f aca="false">NORMSINV(F1384)</f>
        <v>-0.255944102002865</v>
      </c>
      <c r="I1384" s="34" t="n">
        <f aca="false">NORMSINV(G1384)</f>
        <v>-0.162233474655453</v>
      </c>
      <c r="J1384" s="59" t="n">
        <f aca="false">mc_s0*EXP((mc_mu-mc_vol^2/2)*mc_t1+mc_vol*SQRT(mc_t1)*H1384)</f>
        <v>1118.58217818574</v>
      </c>
      <c r="K1384" s="59" t="n">
        <f aca="false">J1384*EXP((mc_mu-mc_vol^2/2)*(mc_t2-mc_t1)+mc_vol*SQRT(mc_t2-mc_t1)*I1384)</f>
        <v>1110.31280248559</v>
      </c>
      <c r="L1384" s="31" t="n">
        <f aca="false">(t1_usd*J1384+t2_usd*K1384)/1000</f>
        <v>9939.6695720228</v>
      </c>
    </row>
    <row r="1385" customFormat="false" ht="15" hidden="false" customHeight="false" outlineLevel="0" collapsed="false">
      <c r="E1385" s="54" t="n">
        <v>1381</v>
      </c>
      <c r="F1385" s="61" t="n">
        <v>0.894735</v>
      </c>
      <c r="G1385" s="61" t="n">
        <v>0.764872</v>
      </c>
      <c r="H1385" s="34" t="n">
        <f aca="false">NORMSINV(F1385)</f>
        <v>1.25210940806203</v>
      </c>
      <c r="I1385" s="34" t="n">
        <f aca="false">NORMSINV(G1385)</f>
        <v>0.722062585285595</v>
      </c>
      <c r="J1385" s="59" t="n">
        <f aca="false">mc_s0*EXP((mc_mu-mc_vol^2/2)*mc_t1+mc_vol*SQRT(mc_t1)*H1385)</f>
        <v>1291.9015479694</v>
      </c>
      <c r="K1385" s="59" t="n">
        <f aca="false">J1385*EXP((mc_mu-mc_vol^2/2)*(mc_t2-mc_t1)+mc_vol*SQRT(mc_t2-mc_t1)*I1385)</f>
        <v>1474.10946507741</v>
      </c>
      <c r="L1385" s="31" t="n">
        <f aca="false">(t1_usd*J1385+t2_usd*K1385)/1000</f>
        <v>11844.1188194329</v>
      </c>
    </row>
    <row r="1386" customFormat="false" ht="15" hidden="false" customHeight="false" outlineLevel="0" collapsed="false">
      <c r="E1386" s="54" t="n">
        <v>1382</v>
      </c>
      <c r="F1386" s="61" t="n">
        <v>0.315963</v>
      </c>
      <c r="G1386" s="61" t="n">
        <v>0.880778</v>
      </c>
      <c r="H1386" s="34" t="n">
        <f aca="false">NORMSINV(F1386)</f>
        <v>-0.479017751756157</v>
      </c>
      <c r="I1386" s="34" t="n">
        <f aca="false">NORMSINV(G1386)</f>
        <v>1.17888492827598</v>
      </c>
      <c r="J1386" s="59" t="n">
        <f aca="false">mc_s0*EXP((mc_mu-mc_vol^2/2)*mc_t1+mc_vol*SQRT(mc_t1)*H1386)</f>
        <v>1094.99893470965</v>
      </c>
      <c r="K1386" s="59" t="n">
        <f aca="false">J1386*EXP((mc_mu-mc_vol^2/2)*(mc_t2-mc_t1)+mc_vol*SQRT(mc_t2-mc_t1)*I1386)</f>
        <v>1342.70245255487</v>
      </c>
      <c r="L1386" s="31" t="n">
        <f aca="false">(t1_usd*J1386+t2_usd*K1386)/1000</f>
        <v>10216.1272028218</v>
      </c>
    </row>
    <row r="1387" customFormat="false" ht="15" hidden="false" customHeight="false" outlineLevel="0" collapsed="false">
      <c r="E1387" s="54" t="n">
        <v>1383</v>
      </c>
      <c r="F1387" s="61" t="n">
        <v>0.067125</v>
      </c>
      <c r="G1387" s="61" t="n">
        <v>0.669345</v>
      </c>
      <c r="H1387" s="34" t="n">
        <f aca="false">NORMSINV(F1387)</f>
        <v>-1.49755079116631</v>
      </c>
      <c r="I1387" s="34" t="n">
        <f aca="false">NORMSINV(G1387)</f>
        <v>0.438105234598785</v>
      </c>
      <c r="J1387" s="59" t="n">
        <f aca="false">mc_s0*EXP((mc_mu-mc_vol^2/2)*mc_t1+mc_vol*SQRT(mc_t1)*H1387)</f>
        <v>993.481777044226</v>
      </c>
      <c r="K1387" s="59" t="n">
        <f aca="false">J1387*EXP((mc_mu-mc_vol^2/2)*(mc_t2-mc_t1)+mc_vol*SQRT(mc_t2-mc_t1)*I1387)</f>
        <v>1083.9909422252</v>
      </c>
      <c r="L1387" s="31" t="n">
        <f aca="false">(t1_usd*J1387+t2_usd*K1387)/1000</f>
        <v>9013.95522953746</v>
      </c>
    </row>
    <row r="1388" customFormat="false" ht="15" hidden="false" customHeight="false" outlineLevel="0" collapsed="false">
      <c r="E1388" s="54" t="n">
        <v>1384</v>
      </c>
      <c r="F1388" s="61" t="n">
        <v>0.158664</v>
      </c>
      <c r="G1388" s="61" t="n">
        <v>0.507428</v>
      </c>
      <c r="H1388" s="34" t="n">
        <f aca="false">NORMSINV(F1388)</f>
        <v>-0.99996385550152</v>
      </c>
      <c r="I1388" s="34" t="n">
        <f aca="false">NORMSINV(G1388)</f>
        <v>0.0186203107611951</v>
      </c>
      <c r="J1388" s="59" t="n">
        <f aca="false">mc_s0*EXP((mc_mu-mc_vol^2/2)*mc_t1+mc_vol*SQRT(mc_t1)*H1388)</f>
        <v>1041.84299042389</v>
      </c>
      <c r="K1388" s="59" t="n">
        <f aca="false">J1388*EXP((mc_mu-mc_vol^2/2)*(mc_t2-mc_t1)+mc_vol*SQRT(mc_t2-mc_t1)*I1388)</f>
        <v>1064.03936378458</v>
      </c>
      <c r="L1388" s="31" t="n">
        <f aca="false">(t1_usd*J1388+t2_usd*K1388)/1000</f>
        <v>9314.57572415794</v>
      </c>
    </row>
    <row r="1389" customFormat="false" ht="15" hidden="false" customHeight="false" outlineLevel="0" collapsed="false">
      <c r="E1389" s="54" t="n">
        <v>1385</v>
      </c>
      <c r="F1389" s="61" t="n">
        <v>0.538436</v>
      </c>
      <c r="G1389" s="61" t="n">
        <v>0.863786</v>
      </c>
      <c r="H1389" s="34" t="n">
        <f aca="false">NORMSINV(F1389)</f>
        <v>0.0964943009367826</v>
      </c>
      <c r="I1389" s="34" t="n">
        <f aca="false">NORMSINV(G1389)</f>
        <v>1.09748828293554</v>
      </c>
      <c r="J1389" s="59" t="n">
        <f aca="false">mc_s0*EXP((mc_mu-mc_vol^2/2)*mc_t1+mc_vol*SQRT(mc_t1)*H1389)</f>
        <v>1156.88125655885</v>
      </c>
      <c r="K1389" s="59" t="n">
        <f aca="false">J1389*EXP((mc_mu-mc_vol^2/2)*(mc_t2-mc_t1)+mc_vol*SQRT(mc_t2-mc_t1)*I1389)</f>
        <v>1400.50264316935</v>
      </c>
      <c r="L1389" s="31" t="n">
        <f aca="false">(t1_usd*J1389+t2_usd*K1389)/1000</f>
        <v>10759.1238179337</v>
      </c>
    </row>
    <row r="1390" customFormat="false" ht="15" hidden="false" customHeight="false" outlineLevel="0" collapsed="false">
      <c r="E1390" s="54" t="n">
        <v>1386</v>
      </c>
      <c r="F1390" s="61" t="n">
        <v>0.556603</v>
      </c>
      <c r="G1390" s="61" t="n">
        <v>0.285028</v>
      </c>
      <c r="H1390" s="34" t="n">
        <f aca="false">NORMSINV(F1390)</f>
        <v>0.142362096509264</v>
      </c>
      <c r="I1390" s="34" t="n">
        <f aca="false">NORMSINV(G1390)</f>
        <v>-0.567969026171499</v>
      </c>
      <c r="J1390" s="59" t="n">
        <f aca="false">mc_s0*EXP((mc_mu-mc_vol^2/2)*mc_t1+mc_vol*SQRT(mc_t1)*H1390)</f>
        <v>1161.96115068928</v>
      </c>
      <c r="K1390" s="59" t="n">
        <f aca="false">J1390*EXP((mc_mu-mc_vol^2/2)*(mc_t2-mc_t1)+mc_vol*SQRT(mc_t2-mc_t1)*I1390)</f>
        <v>1081.93150003835</v>
      </c>
      <c r="L1390" s="31" t="n">
        <f aca="false">(t1_usd*J1390+t2_usd*K1390)/1000</f>
        <v>10189.3979048979</v>
      </c>
    </row>
    <row r="1391" customFormat="false" ht="15" hidden="false" customHeight="false" outlineLevel="0" collapsed="false">
      <c r="E1391" s="54" t="n">
        <v>1387</v>
      </c>
      <c r="F1391" s="61" t="n">
        <v>0.031198</v>
      </c>
      <c r="G1391" s="61" t="n">
        <v>0.843047</v>
      </c>
      <c r="H1391" s="34" t="n">
        <f aca="false">NORMSINV(F1391)</f>
        <v>-1.86347120591868</v>
      </c>
      <c r="I1391" s="34" t="n">
        <f aca="false">NORMSINV(G1391)</f>
        <v>1.00705987893377</v>
      </c>
      <c r="J1391" s="59" t="n">
        <f aca="false">mc_s0*EXP((mc_mu-mc_vol^2/2)*mc_t1+mc_vol*SQRT(mc_t1)*H1391)</f>
        <v>959.355822525936</v>
      </c>
      <c r="K1391" s="59" t="n">
        <f aca="false">J1391*EXP((mc_mu-mc_vol^2/2)*(mc_t2-mc_t1)+mc_vol*SQRT(mc_t2-mc_t1)*I1391)</f>
        <v>1144.94803430799</v>
      </c>
      <c r="L1391" s="31" t="n">
        <f aca="false">(t1_usd*J1391+t2_usd*K1391)/1000</f>
        <v>8890.89202286673</v>
      </c>
    </row>
    <row r="1392" customFormat="false" ht="15" hidden="false" customHeight="false" outlineLevel="0" collapsed="false">
      <c r="E1392" s="54" t="n">
        <v>1388</v>
      </c>
      <c r="F1392" s="61" t="n">
        <v>0.693273</v>
      </c>
      <c r="G1392" s="61" t="n">
        <v>0.548588</v>
      </c>
      <c r="H1392" s="34" t="n">
        <f aca="false">NORMSINV(F1392)</f>
        <v>0.50514926728499</v>
      </c>
      <c r="I1392" s="34" t="n">
        <f aca="false">NORMSINV(G1392)</f>
        <v>0.122094724324828</v>
      </c>
      <c r="J1392" s="59" t="n">
        <f aca="false">mc_s0*EXP((mc_mu-mc_vol^2/2)*mc_t1+mc_vol*SQRT(mc_t1)*H1392)</f>
        <v>1202.93404211709</v>
      </c>
      <c r="K1392" s="59" t="n">
        <f aca="false">J1392*EXP((mc_mu-mc_vol^2/2)*(mc_t2-mc_t1)+mc_vol*SQRT(mc_t2-mc_t1)*I1392)</f>
        <v>1248.76068412213</v>
      </c>
      <c r="L1392" s="31" t="n">
        <f aca="false">(t1_usd*J1392+t2_usd*K1392)/1000</f>
        <v>10793.1835946517</v>
      </c>
    </row>
    <row r="1393" customFormat="false" ht="15" hidden="false" customHeight="false" outlineLevel="0" collapsed="false">
      <c r="E1393" s="54" t="n">
        <v>1389</v>
      </c>
      <c r="F1393" s="61" t="n">
        <v>0.64895</v>
      </c>
      <c r="G1393" s="61" t="n">
        <v>0.8739</v>
      </c>
      <c r="H1393" s="34" t="n">
        <f aca="false">NORMSINV(F1393)</f>
        <v>0.382487228868082</v>
      </c>
      <c r="I1393" s="34" t="n">
        <f aca="false">NORMSINV(G1393)</f>
        <v>1.14502210659893</v>
      </c>
      <c r="J1393" s="59" t="n">
        <f aca="false">mc_s0*EXP((mc_mu-mc_vol^2/2)*mc_t1+mc_vol*SQRT(mc_t1)*H1393)</f>
        <v>1188.92151673683</v>
      </c>
      <c r="K1393" s="59" t="n">
        <f aca="false">J1393*EXP((mc_mu-mc_vol^2/2)*(mc_t2-mc_t1)+mc_vol*SQRT(mc_t2-mc_t1)*I1393)</f>
        <v>1450.11230566503</v>
      </c>
      <c r="L1393" s="31" t="n">
        <f aca="false">(t1_usd*J1393+t2_usd*K1393)/1000</f>
        <v>11077.6639979214</v>
      </c>
    </row>
    <row r="1394" customFormat="false" ht="15" hidden="false" customHeight="false" outlineLevel="0" collapsed="false">
      <c r="E1394" s="54" t="n">
        <v>1390</v>
      </c>
      <c r="F1394" s="61" t="n">
        <v>0.694474</v>
      </c>
      <c r="G1394" s="61" t="n">
        <v>0.312478</v>
      </c>
      <c r="H1394" s="34" t="n">
        <f aca="false">NORMSINV(F1394)</f>
        <v>0.508572370059747</v>
      </c>
      <c r="I1394" s="34" t="n">
        <f aca="false">NORMSINV(G1394)</f>
        <v>-0.488838554685361</v>
      </c>
      <c r="J1394" s="59" t="n">
        <f aca="false">mc_s0*EXP((mc_mu-mc_vol^2/2)*mc_t1+mc_vol*SQRT(mc_t1)*H1394)</f>
        <v>1203.32744633201</v>
      </c>
      <c r="K1394" s="59" t="n">
        <f aca="false">J1394*EXP((mc_mu-mc_vol^2/2)*(mc_t2-mc_t1)+mc_vol*SQRT(mc_t2-mc_t1)*I1394)</f>
        <v>1134.50866236923</v>
      </c>
      <c r="L1394" s="31" t="n">
        <f aca="false">(t1_usd*J1394+t2_usd*K1394)/1000</f>
        <v>10578.8585828256</v>
      </c>
    </row>
    <row r="1395" customFormat="false" ht="15" hidden="false" customHeight="false" outlineLevel="0" collapsed="false">
      <c r="E1395" s="54" t="n">
        <v>1391</v>
      </c>
      <c r="F1395" s="61" t="n">
        <v>0.411652</v>
      </c>
      <c r="G1395" s="61" t="n">
        <v>0.994045</v>
      </c>
      <c r="H1395" s="34" t="n">
        <f aca="false">NORMSINV(F1395)</f>
        <v>-0.223297465127536</v>
      </c>
      <c r="I1395" s="34" t="n">
        <f aca="false">NORMSINV(G1395)</f>
        <v>2.51479978040889</v>
      </c>
      <c r="J1395" s="59" t="n">
        <f aca="false">mc_s0*EXP((mc_mu-mc_vol^2/2)*mc_t1+mc_vol*SQRT(mc_t1)*H1395)</f>
        <v>1122.07591303249</v>
      </c>
      <c r="K1395" s="59" t="n">
        <f aca="false">J1395*EXP((mc_mu-mc_vol^2/2)*(mc_t2-mc_t1)+mc_vol*SQRT(mc_t2-mc_t1)*I1395)</f>
        <v>1698.32506108275</v>
      </c>
      <c r="L1395" s="31" t="n">
        <f aca="false">(t1_usd*J1395+t2_usd*K1395)/1000</f>
        <v>11081.3490072847</v>
      </c>
    </row>
    <row r="1396" customFormat="false" ht="15" hidden="false" customHeight="false" outlineLevel="0" collapsed="false">
      <c r="E1396" s="54" t="n">
        <v>1392</v>
      </c>
      <c r="F1396" s="61" t="n">
        <v>0.587896</v>
      </c>
      <c r="G1396" s="61" t="n">
        <v>0.828759</v>
      </c>
      <c r="H1396" s="34" t="n">
        <f aca="false">NORMSINV(F1396)</f>
        <v>0.222136017872705</v>
      </c>
      <c r="I1396" s="34" t="n">
        <f aca="false">NORMSINV(G1396)</f>
        <v>0.949272571351731</v>
      </c>
      <c r="J1396" s="59" t="n">
        <f aca="false">mc_s0*EXP((mc_mu-mc_vol^2/2)*mc_t1+mc_vol*SQRT(mc_t1)*H1396)</f>
        <v>1170.84936581076</v>
      </c>
      <c r="K1396" s="59" t="n">
        <f aca="false">J1396*EXP((mc_mu-mc_vol^2/2)*(mc_t2-mc_t1)+mc_vol*SQRT(mc_t2-mc_t1)*I1396)</f>
        <v>1384.68827414853</v>
      </c>
      <c r="L1396" s="31" t="n">
        <f aca="false">(t1_usd*J1396+t2_usd*K1396)/1000</f>
        <v>10826.8532815575</v>
      </c>
    </row>
    <row r="1397" customFormat="false" ht="15" hidden="false" customHeight="false" outlineLevel="0" collapsed="false">
      <c r="E1397" s="54" t="n">
        <v>1393</v>
      </c>
      <c r="F1397" s="61" t="n">
        <v>0.545849</v>
      </c>
      <c r="G1397" s="61" t="n">
        <v>0.45941</v>
      </c>
      <c r="H1397" s="34" t="n">
        <f aca="false">NORMSINV(F1397)</f>
        <v>0.115180568817273</v>
      </c>
      <c r="I1397" s="34" t="n">
        <f aca="false">NORMSINV(G1397)</f>
        <v>-0.101920220375407</v>
      </c>
      <c r="J1397" s="59" t="n">
        <f aca="false">mc_s0*EXP((mc_mu-mc_vol^2/2)*mc_t1+mc_vol*SQRT(mc_t1)*H1397)</f>
        <v>1158.94808896195</v>
      </c>
      <c r="K1397" s="59" t="n">
        <f aca="false">J1397*EXP((mc_mu-mc_vol^2/2)*(mc_t2-mc_t1)+mc_vol*SQRT(mc_t2-mc_t1)*I1397)</f>
        <v>1161.36674637263</v>
      </c>
      <c r="L1397" s="31" t="n">
        <f aca="false">(t1_usd*J1397+t2_usd*K1397)/1000</f>
        <v>10319.2334408416</v>
      </c>
    </row>
    <row r="1398" customFormat="false" ht="15" hidden="false" customHeight="false" outlineLevel="0" collapsed="false">
      <c r="E1398" s="54" t="n">
        <v>1394</v>
      </c>
      <c r="F1398" s="61" t="n">
        <v>0.610987</v>
      </c>
      <c r="G1398" s="61" t="n">
        <v>0.67593</v>
      </c>
      <c r="H1398" s="34" t="n">
        <f aca="false">NORMSINV(F1398)</f>
        <v>0.281892422490219</v>
      </c>
      <c r="I1398" s="34" t="n">
        <f aca="false">NORMSINV(G1398)</f>
        <v>0.456347655627296</v>
      </c>
      <c r="J1398" s="59" t="n">
        <f aca="false">mc_s0*EXP((mc_mu-mc_vol^2/2)*mc_t1+mc_vol*SQRT(mc_t1)*H1398)</f>
        <v>1177.55178858739</v>
      </c>
      <c r="K1398" s="59" t="n">
        <f aca="false">J1398*EXP((mc_mu-mc_vol^2/2)*(mc_t2-mc_t1)+mc_vol*SQRT(mc_t2-mc_t1)*I1398)</f>
        <v>1288.52933249212</v>
      </c>
      <c r="L1398" s="31" t="n">
        <f aca="false">(t1_usd*J1398+t2_usd*K1398)/1000</f>
        <v>10691.0682518467</v>
      </c>
    </row>
    <row r="1399" customFormat="false" ht="15" hidden="false" customHeight="false" outlineLevel="0" collapsed="false">
      <c r="E1399" s="54" t="n">
        <v>1395</v>
      </c>
      <c r="F1399" s="61" t="n">
        <v>0.609511</v>
      </c>
      <c r="G1399" s="61" t="n">
        <v>0.122577</v>
      </c>
      <c r="H1399" s="34" t="n">
        <f aca="false">NORMSINV(F1399)</f>
        <v>0.278044759171605</v>
      </c>
      <c r="I1399" s="34" t="n">
        <f aca="false">NORMSINV(G1399)</f>
        <v>-1.16220057786913</v>
      </c>
      <c r="J1399" s="59" t="n">
        <f aca="false">mc_s0*EXP((mc_mu-mc_vol^2/2)*mc_t1+mc_vol*SQRT(mc_t1)*H1399)</f>
        <v>1177.11907202217</v>
      </c>
      <c r="K1399" s="59" t="n">
        <f aca="false">J1399*EXP((mc_mu-mc_vol^2/2)*(mc_t2-mc_t1)+mc_vol*SQRT(mc_t2-mc_t1)*I1399)</f>
        <v>998.063659719256</v>
      </c>
      <c r="L1399" s="31" t="n">
        <f aca="false">(t1_usd*J1399+t2_usd*K1399)/1000</f>
        <v>10136.1544576218</v>
      </c>
    </row>
    <row r="1400" customFormat="false" ht="15" hidden="false" customHeight="false" outlineLevel="0" collapsed="false">
      <c r="E1400" s="54" t="n">
        <v>1396</v>
      </c>
      <c r="F1400" s="61" t="n">
        <v>0.88705</v>
      </c>
      <c r="G1400" s="61" t="n">
        <v>0.133294</v>
      </c>
      <c r="H1400" s="34" t="n">
        <f aca="false">NORMSINV(F1400)</f>
        <v>1.21098800993104</v>
      </c>
      <c r="I1400" s="34" t="n">
        <f aca="false">NORMSINV(G1400)</f>
        <v>-1.11095434837238</v>
      </c>
      <c r="J1400" s="59" t="n">
        <f aca="false">mc_s0*EXP((mc_mu-mc_vol^2/2)*mc_t1+mc_vol*SQRT(mc_t1)*H1400)</f>
        <v>1286.83688139053</v>
      </c>
      <c r="K1400" s="59" t="n">
        <f aca="false">J1400*EXP((mc_mu-mc_vol^2/2)*(mc_t2-mc_t1)+mc_vol*SQRT(mc_t2-mc_t1)*I1400)</f>
        <v>1099.93933499881</v>
      </c>
      <c r="L1400" s="31" t="n">
        <f aca="false">(t1_usd*J1400+t2_usd*K1400)/1000</f>
        <v>11097.7429062314</v>
      </c>
    </row>
    <row r="1401" customFormat="false" ht="15" hidden="false" customHeight="false" outlineLevel="0" collapsed="false">
      <c r="E1401" s="54" t="n">
        <v>1397</v>
      </c>
      <c r="F1401" s="61" t="n">
        <v>0.861549</v>
      </c>
      <c r="G1401" s="61" t="n">
        <v>0.441701</v>
      </c>
      <c r="H1401" s="34" t="n">
        <f aca="false">NORMSINV(F1401)</f>
        <v>1.08730508968742</v>
      </c>
      <c r="I1401" s="34" t="n">
        <f aca="false">NORMSINV(G1401)</f>
        <v>-0.146657963509881</v>
      </c>
      <c r="J1401" s="59" t="n">
        <f aca="false">mc_s0*EXP((mc_mu-mc_vol^2/2)*mc_t1+mc_vol*SQRT(mc_t1)*H1401)</f>
        <v>1271.72298239698</v>
      </c>
      <c r="K1401" s="59" t="n">
        <f aca="false">J1401*EXP((mc_mu-mc_vol^2/2)*(mc_t2-mc_t1)+mc_vol*SQRT(mc_t2-mc_t1)*I1401)</f>
        <v>1265.42377152526</v>
      </c>
      <c r="L1401" s="31" t="n">
        <f aca="false">(t1_usd*J1401+t2_usd*K1401)/1000</f>
        <v>11306.3660426768</v>
      </c>
    </row>
    <row r="1402" customFormat="false" ht="15" hidden="false" customHeight="false" outlineLevel="0" collapsed="false">
      <c r="E1402" s="54" t="n">
        <v>1398</v>
      </c>
      <c r="F1402" s="61" t="n">
        <v>0.871895</v>
      </c>
      <c r="G1402" s="61" t="n">
        <v>0.422183</v>
      </c>
      <c r="H1402" s="34" t="n">
        <f aca="false">NORMSINV(F1402)</f>
        <v>1.13539465067604</v>
      </c>
      <c r="I1402" s="34" t="n">
        <f aca="false">NORMSINV(G1402)</f>
        <v>-0.19631196102165</v>
      </c>
      <c r="J1402" s="59" t="n">
        <f aca="false">mc_s0*EXP((mc_mu-mc_vol^2/2)*mc_t1+mc_vol*SQRT(mc_t1)*H1402)</f>
        <v>1277.57825959229</v>
      </c>
      <c r="K1402" s="59" t="n">
        <f aca="false">J1402*EXP((mc_mu-mc_vol^2/2)*(mc_t2-mc_t1)+mc_vol*SQRT(mc_t2-mc_t1)*I1402)</f>
        <v>1261.34116573182</v>
      </c>
      <c r="L1402" s="31" t="n">
        <f aca="false">(t1_usd*J1402+t2_usd*K1402)/1000</f>
        <v>11339.5960320365</v>
      </c>
    </row>
    <row r="1403" customFormat="false" ht="15" hidden="false" customHeight="false" outlineLevel="0" collapsed="false">
      <c r="E1403" s="54" t="n">
        <v>1399</v>
      </c>
      <c r="F1403" s="61" t="n">
        <v>0.776578</v>
      </c>
      <c r="G1403" s="61" t="n">
        <v>0.32503</v>
      </c>
      <c r="H1403" s="34" t="n">
        <f aca="false">NORMSINV(F1403)</f>
        <v>0.760687069309512</v>
      </c>
      <c r="I1403" s="34" t="n">
        <f aca="false">NORMSINV(G1403)</f>
        <v>-0.45367883863135</v>
      </c>
      <c r="J1403" s="59" t="n">
        <f aca="false">mc_s0*EXP((mc_mu-mc_vol^2/2)*mc_t1+mc_vol*SQRT(mc_t1)*H1403)</f>
        <v>1232.65853730271</v>
      </c>
      <c r="K1403" s="59" t="n">
        <f aca="false">J1403*EXP((mc_mu-mc_vol^2/2)*(mc_t2-mc_t1)+mc_vol*SQRT(mc_t2-mc_t1)*I1403)</f>
        <v>1168.61963209334</v>
      </c>
      <c r="L1403" s="31" t="n">
        <f aca="false">(t1_usd*J1403+t2_usd*K1403)/1000</f>
        <v>10848.9870620963</v>
      </c>
    </row>
    <row r="1404" customFormat="false" ht="15" hidden="false" customHeight="false" outlineLevel="0" collapsed="false">
      <c r="E1404" s="54" t="n">
        <v>1400</v>
      </c>
      <c r="F1404" s="61" t="n">
        <v>0.667236</v>
      </c>
      <c r="G1404" s="61" t="n">
        <v>0.675635</v>
      </c>
      <c r="H1404" s="34" t="n">
        <f aca="false">NORMSINV(F1404)</f>
        <v>0.432293652422719</v>
      </c>
      <c r="I1404" s="34" t="n">
        <f aca="false">NORMSINV(G1404)</f>
        <v>0.455527205289445</v>
      </c>
      <c r="J1404" s="59" t="n">
        <f aca="false">mc_s0*EXP((mc_mu-mc_vol^2/2)*mc_t1+mc_vol*SQRT(mc_t1)*H1404)</f>
        <v>1194.59145475943</v>
      </c>
      <c r="K1404" s="59" t="n">
        <f aca="false">J1404*EXP((mc_mu-mc_vol^2/2)*(mc_t2-mc_t1)+mc_vol*SQRT(mc_t2-mc_t1)*I1404)</f>
        <v>1307.00588669289</v>
      </c>
      <c r="L1404" s="31" t="n">
        <f aca="false">(t1_usd*J1404+t2_usd*K1404)/1000</f>
        <v>10845.4513680325</v>
      </c>
    </row>
    <row r="1405" customFormat="false" ht="15" hidden="false" customHeight="false" outlineLevel="0" collapsed="false">
      <c r="E1405" s="54" t="n">
        <v>1401</v>
      </c>
      <c r="F1405" s="61" t="n">
        <v>0.118724</v>
      </c>
      <c r="G1405" s="61" t="n">
        <v>0.293859</v>
      </c>
      <c r="H1405" s="34" t="n">
        <f aca="false">NORMSINV(F1405)</f>
        <v>-1.18138956872584</v>
      </c>
      <c r="I1405" s="34" t="n">
        <f aca="false">NORMSINV(G1405)</f>
        <v>-0.542145901124168</v>
      </c>
      <c r="J1405" s="59" t="n">
        <f aca="false">mc_s0*EXP((mc_mu-mc_vol^2/2)*mc_t1+mc_vol*SQRT(mc_t1)*H1405)</f>
        <v>1023.94313270092</v>
      </c>
      <c r="K1405" s="59" t="n">
        <f aca="false">J1405*EXP((mc_mu-mc_vol^2/2)*(mc_t2-mc_t1)+mc_vol*SQRT(mc_t2-mc_t1)*I1405)</f>
        <v>957.307315295414</v>
      </c>
      <c r="L1405" s="31" t="n">
        <f aca="false">(t1_usd*J1405+t2_usd*K1405)/1000</f>
        <v>8986.48582796771</v>
      </c>
    </row>
    <row r="1406" customFormat="false" ht="15" hidden="false" customHeight="false" outlineLevel="0" collapsed="false">
      <c r="E1406" s="54" t="n">
        <v>1402</v>
      </c>
      <c r="F1406" s="61" t="n">
        <v>0.112066</v>
      </c>
      <c r="G1406" s="61" t="n">
        <v>0.05356</v>
      </c>
      <c r="H1406" s="34" t="n">
        <f aca="false">NORMSINV(F1406)</f>
        <v>-1.21561399602537</v>
      </c>
      <c r="I1406" s="34" t="n">
        <f aca="false">NORMSINV(G1406)</f>
        <v>-1.61127406917667</v>
      </c>
      <c r="J1406" s="59" t="n">
        <f aca="false">mc_s0*EXP((mc_mu-mc_vol^2/2)*mc_t1+mc_vol*SQRT(mc_t1)*H1406)</f>
        <v>1020.60111634862</v>
      </c>
      <c r="K1406" s="59" t="n">
        <f aca="false">J1406*EXP((mc_mu-mc_vol^2/2)*(mc_t2-mc_t1)+mc_vol*SQRT(mc_t2-mc_t1)*I1406)</f>
        <v>806.229086058765</v>
      </c>
      <c r="L1406" s="31" t="n">
        <f aca="false">(t1_usd*J1406+t2_usd*K1406)/1000</f>
        <v>8676.04307795201</v>
      </c>
    </row>
    <row r="1407" customFormat="false" ht="15" hidden="false" customHeight="false" outlineLevel="0" collapsed="false">
      <c r="E1407" s="54" t="n">
        <v>1403</v>
      </c>
      <c r="F1407" s="61" t="n">
        <v>0.932977</v>
      </c>
      <c r="G1407" s="61" t="n">
        <v>0.191366</v>
      </c>
      <c r="H1407" s="34" t="n">
        <f aca="false">NORMSINV(F1407)</f>
        <v>1.49833590479044</v>
      </c>
      <c r="I1407" s="34" t="n">
        <f aca="false">NORMSINV(G1407)</f>
        <v>-0.872873558449265</v>
      </c>
      <c r="J1407" s="59" t="n">
        <f aca="false">mc_s0*EXP((mc_mu-mc_vol^2/2)*mc_t1+mc_vol*SQRT(mc_t1)*H1407)</f>
        <v>1322.64749050957</v>
      </c>
      <c r="K1407" s="59" t="n">
        <f aca="false">J1407*EXP((mc_mu-mc_vol^2/2)*(mc_t2-mc_t1)+mc_vol*SQRT(mc_t2-mc_t1)*I1407)</f>
        <v>1173.77278898718</v>
      </c>
      <c r="L1407" s="31" t="n">
        <f aca="false">(t1_usd*J1407+t2_usd*K1407)/1000</f>
        <v>11488.7007326426</v>
      </c>
    </row>
    <row r="1408" customFormat="false" ht="15" hidden="false" customHeight="false" outlineLevel="0" collapsed="false">
      <c r="E1408" s="54" t="n">
        <v>1404</v>
      </c>
      <c r="F1408" s="61" t="n">
        <v>0.454297</v>
      </c>
      <c r="G1408" s="61" t="n">
        <v>0.570657</v>
      </c>
      <c r="H1408" s="34" t="n">
        <f aca="false">NORMSINV(F1408)</f>
        <v>-0.114812173260596</v>
      </c>
      <c r="I1408" s="34" t="n">
        <f aca="false">NORMSINV(G1408)</f>
        <v>0.178047082414756</v>
      </c>
      <c r="J1408" s="59" t="n">
        <f aca="false">mc_s0*EXP((mc_mu-mc_vol^2/2)*mc_t1+mc_vol*SQRT(mc_t1)*H1408)</f>
        <v>1133.76421834514</v>
      </c>
      <c r="K1408" s="59" t="n">
        <f aca="false">J1408*EXP((mc_mu-mc_vol^2/2)*(mc_t2-mc_t1)+mc_vol*SQRT(mc_t2-mc_t1)*I1408)</f>
        <v>1187.37973215509</v>
      </c>
      <c r="L1408" s="31" t="n">
        <f aca="false">(t1_usd*J1408+t2_usd*K1408)/1000</f>
        <v>10192.3710195107</v>
      </c>
    </row>
    <row r="1409" customFormat="false" ht="15" hidden="false" customHeight="false" outlineLevel="0" collapsed="false">
      <c r="E1409" s="54" t="n">
        <v>1405</v>
      </c>
      <c r="F1409" s="61" t="n">
        <v>0.466595</v>
      </c>
      <c r="G1409" s="61" t="n">
        <v>0.273922</v>
      </c>
      <c r="H1409" s="34" t="n">
        <f aca="false">NORMSINV(F1409)</f>
        <v>-0.0838320065927055</v>
      </c>
      <c r="I1409" s="34" t="n">
        <f aca="false">NORMSINV(G1409)</f>
        <v>-0.600993973879069</v>
      </c>
      <c r="J1409" s="59" t="n">
        <f aca="false">mc_s0*EXP((mc_mu-mc_vol^2/2)*mc_t1+mc_vol*SQRT(mc_t1)*H1409)</f>
        <v>1137.12434392972</v>
      </c>
      <c r="K1409" s="59" t="n">
        <f aca="false">J1409*EXP((mc_mu-mc_vol^2/2)*(mc_t2-mc_t1)+mc_vol*SQRT(mc_t2-mc_t1)*I1409)</f>
        <v>1053.30907445049</v>
      </c>
      <c r="L1409" s="31" t="n">
        <f aca="false">(t1_usd*J1409+t2_usd*K1409)/1000</f>
        <v>9961.15764896399</v>
      </c>
    </row>
    <row r="1410" customFormat="false" ht="15" hidden="false" customHeight="false" outlineLevel="0" collapsed="false">
      <c r="E1410" s="54" t="n">
        <v>1406</v>
      </c>
      <c r="F1410" s="61" t="n">
        <v>0.167585</v>
      </c>
      <c r="G1410" s="61" t="n">
        <v>0.782728</v>
      </c>
      <c r="H1410" s="34" t="n">
        <f aca="false">NORMSINV(F1410)</f>
        <v>-0.963752552290999</v>
      </c>
      <c r="I1410" s="34" t="n">
        <f aca="false">NORMSINV(G1410)</f>
        <v>0.78143957957478</v>
      </c>
      <c r="J1410" s="59" t="n">
        <f aca="false">mc_s0*EXP((mc_mu-mc_vol^2/2)*mc_t1+mc_vol*SQRT(mc_t1)*H1410)</f>
        <v>1045.45296386583</v>
      </c>
      <c r="K1410" s="59" t="n">
        <f aca="false">J1410*EXP((mc_mu-mc_vol^2/2)*(mc_t2-mc_t1)+mc_vol*SQRT(mc_t2-mc_t1)*I1410)</f>
        <v>1204.11699490109</v>
      </c>
      <c r="L1410" s="31" t="n">
        <f aca="false">(t1_usd*J1410+t2_usd*K1410)/1000</f>
        <v>9605.99303737292</v>
      </c>
    </row>
    <row r="1411" customFormat="false" ht="15" hidden="false" customHeight="false" outlineLevel="0" collapsed="false">
      <c r="E1411" s="54" t="n">
        <v>1407</v>
      </c>
      <c r="F1411" s="61" t="n">
        <v>0.515802</v>
      </c>
      <c r="G1411" s="61" t="n">
        <v>0.32664</v>
      </c>
      <c r="H1411" s="34" t="n">
        <f aca="false">NORMSINV(F1411)</f>
        <v>0.0396201031819609</v>
      </c>
      <c r="I1411" s="34" t="n">
        <f aca="false">NORMSINV(G1411)</f>
        <v>-0.449210241756591</v>
      </c>
      <c r="J1411" s="59" t="n">
        <f aca="false">mc_s0*EXP((mc_mu-mc_vol^2/2)*mc_t1+mc_vol*SQRT(mc_t1)*H1411)</f>
        <v>1150.61322549241</v>
      </c>
      <c r="K1411" s="59" t="n">
        <f aca="false">J1411*EXP((mc_mu-mc_vol^2/2)*(mc_t2-mc_t1)+mc_vol*SQRT(mc_t2-mc_t1)*I1411)</f>
        <v>1091.6051870441</v>
      </c>
      <c r="L1411" s="31" t="n">
        <f aca="false">(t1_usd*J1411+t2_usd*K1411)/1000</f>
        <v>10128.3424338306</v>
      </c>
    </row>
    <row r="1412" customFormat="false" ht="15" hidden="false" customHeight="false" outlineLevel="0" collapsed="false">
      <c r="E1412" s="54" t="n">
        <v>1408</v>
      </c>
      <c r="F1412" s="61" t="n">
        <v>0.013005</v>
      </c>
      <c r="G1412" s="61" t="n">
        <v>0.573987</v>
      </c>
      <c r="H1412" s="34" t="n">
        <f aca="false">NORMSINV(F1412)</f>
        <v>-2.22606243020577</v>
      </c>
      <c r="I1412" s="34" t="n">
        <f aca="false">NORMSINV(G1412)</f>
        <v>0.186534023689311</v>
      </c>
      <c r="J1412" s="59" t="n">
        <f aca="false">mc_s0*EXP((mc_mu-mc_vol^2/2)*mc_t1+mc_vol*SQRT(mc_t1)*H1412)</f>
        <v>926.696744350212</v>
      </c>
      <c r="K1412" s="59" t="n">
        <f aca="false">J1412*EXP((mc_mu-mc_vol^2/2)*(mc_t2-mc_t1)+mc_vol*SQRT(mc_t2-mc_t1)*I1412)</f>
        <v>971.818996866786</v>
      </c>
      <c r="L1412" s="31" t="n">
        <f aca="false">(t1_usd*J1412+t2_usd*K1412)/1000</f>
        <v>8333.33330449838</v>
      </c>
    </row>
    <row r="1413" customFormat="false" ht="15" hidden="false" customHeight="false" outlineLevel="0" collapsed="false">
      <c r="E1413" s="54" t="n">
        <v>1409</v>
      </c>
      <c r="F1413" s="61" t="n">
        <v>0.716568</v>
      </c>
      <c r="G1413" s="61" t="n">
        <v>0.043767</v>
      </c>
      <c r="H1413" s="34" t="n">
        <f aca="false">NORMSINV(F1413)</f>
        <v>0.572676133564253</v>
      </c>
      <c r="I1413" s="34" t="n">
        <f aca="false">NORMSINV(G1413)</f>
        <v>-1.70855181862886</v>
      </c>
      <c r="J1413" s="59" t="n">
        <f aca="false">mc_s0*EXP((mc_mu-mc_vol^2/2)*mc_t1+mc_vol*SQRT(mc_t1)*H1413)</f>
        <v>1210.71845903104</v>
      </c>
      <c r="K1413" s="59" t="n">
        <f aca="false">J1413*EXP((mc_mu-mc_vol^2/2)*(mc_t2-mc_t1)+mc_vol*SQRT(mc_t2-mc_t1)*I1413)</f>
        <v>941.862957829902</v>
      </c>
      <c r="L1413" s="31" t="n">
        <f aca="false">(t1_usd*J1413+t2_usd*K1413)/1000</f>
        <v>10264.5688330941</v>
      </c>
    </row>
    <row r="1414" customFormat="false" ht="15" hidden="false" customHeight="false" outlineLevel="0" collapsed="false">
      <c r="E1414" s="54" t="n">
        <v>1410</v>
      </c>
      <c r="F1414" s="61" t="n">
        <v>0.775804</v>
      </c>
      <c r="G1414" s="61" t="n">
        <v>0.320577</v>
      </c>
      <c r="H1414" s="34" t="n">
        <f aca="false">NORMSINV(F1414)</f>
        <v>0.758098529444979</v>
      </c>
      <c r="I1414" s="34" t="n">
        <f aca="false">NORMSINV(G1414)</f>
        <v>-0.46608592162618</v>
      </c>
      <c r="J1414" s="59" t="n">
        <f aca="false">mc_s0*EXP((mc_mu-mc_vol^2/2)*mc_t1+mc_vol*SQRT(mc_t1)*H1414)</f>
        <v>1232.35378274927</v>
      </c>
      <c r="K1414" s="59" t="n">
        <f aca="false">J1414*EXP((mc_mu-mc_vol^2/2)*(mc_t2-mc_t1)+mc_vol*SQRT(mc_t2-mc_t1)*I1414)</f>
        <v>1166.04853775718</v>
      </c>
      <c r="L1414" s="31" t="n">
        <f aca="false">(t1_usd*J1414+t2_usd*K1414)/1000</f>
        <v>10841.9687009836</v>
      </c>
    </row>
    <row r="1415" customFormat="false" ht="15" hidden="false" customHeight="false" outlineLevel="0" collapsed="false">
      <c r="E1415" s="54" t="n">
        <v>1411</v>
      </c>
      <c r="F1415" s="61" t="n">
        <v>0.156546</v>
      </c>
      <c r="G1415" s="61" t="n">
        <v>0.093108</v>
      </c>
      <c r="H1415" s="34" t="n">
        <f aca="false">NORMSINV(F1415)</f>
        <v>-1.00875530706846</v>
      </c>
      <c r="I1415" s="34" t="n">
        <f aca="false">NORMSINV(G1415)</f>
        <v>-1.32185631975037</v>
      </c>
      <c r="J1415" s="59" t="n">
        <f aca="false">mc_s0*EXP((mc_mu-mc_vol^2/2)*mc_t1+mc_vol*SQRT(mc_t1)*H1415)</f>
        <v>1040.96843614786</v>
      </c>
      <c r="K1415" s="59" t="n">
        <f aca="false">J1415*EXP((mc_mu-mc_vol^2/2)*(mc_t2-mc_t1)+mc_vol*SQRT(mc_t2-mc_t1)*I1415)</f>
        <v>860.693002876564</v>
      </c>
      <c r="L1415" s="31" t="n">
        <f aca="false">(t1_usd*J1415+t2_usd*K1415)/1000</f>
        <v>8922.09575850051</v>
      </c>
    </row>
    <row r="1416" customFormat="false" ht="15" hidden="false" customHeight="false" outlineLevel="0" collapsed="false">
      <c r="E1416" s="54" t="n">
        <v>1412</v>
      </c>
      <c r="F1416" s="61" t="n">
        <v>0.015974</v>
      </c>
      <c r="G1416" s="61" t="n">
        <v>0.623502</v>
      </c>
      <c r="H1416" s="34" t="n">
        <f aca="false">NORMSINV(F1416)</f>
        <v>-2.14506062617193</v>
      </c>
      <c r="I1416" s="34" t="n">
        <f aca="false">NORMSINV(G1416)</f>
        <v>0.314691366499709</v>
      </c>
      <c r="J1416" s="59" t="n">
        <f aca="false">mc_s0*EXP((mc_mu-mc_vol^2/2)*mc_t1+mc_vol*SQRT(mc_t1)*H1416)</f>
        <v>933.894876890986</v>
      </c>
      <c r="K1416" s="59" t="n">
        <f aca="false">J1416*EXP((mc_mu-mc_vol^2/2)*(mc_t2-mc_t1)+mc_vol*SQRT(mc_t2-mc_t1)*I1416)</f>
        <v>999.34873370885</v>
      </c>
      <c r="L1416" s="31" t="n">
        <f aca="false">(t1_usd*J1416+t2_usd*K1416)/1000</f>
        <v>8436.02673228372</v>
      </c>
    </row>
    <row r="1417" customFormat="false" ht="15" hidden="false" customHeight="false" outlineLevel="0" collapsed="false">
      <c r="E1417" s="54" t="n">
        <v>1413</v>
      </c>
      <c r="F1417" s="61" t="n">
        <v>0.482469</v>
      </c>
      <c r="G1417" s="61" t="n">
        <v>0.521507</v>
      </c>
      <c r="H1417" s="34" t="n">
        <f aca="false">NORMSINV(F1417)</f>
        <v>-0.0439578527541704</v>
      </c>
      <c r="I1417" s="34" t="n">
        <f aca="false">NORMSINV(G1417)</f>
        <v>0.0539361939756685</v>
      </c>
      <c r="J1417" s="59" t="n">
        <f aca="false">mc_s0*EXP((mc_mu-mc_vol^2/2)*mc_t1+mc_vol*SQRT(mc_t1)*H1417)</f>
        <v>1141.4637774325</v>
      </c>
      <c r="K1417" s="59" t="n">
        <f aca="false">J1417*EXP((mc_mu-mc_vol^2/2)*(mc_t2-mc_t1)+mc_vol*SQRT(mc_t2-mc_t1)*I1417)</f>
        <v>1172.28886466747</v>
      </c>
      <c r="L1417" s="31" t="n">
        <f aca="false">(t1_usd*J1417+t2_usd*K1417)/1000</f>
        <v>10217.5952848957</v>
      </c>
    </row>
    <row r="1418" customFormat="false" ht="15" hidden="false" customHeight="false" outlineLevel="0" collapsed="false">
      <c r="E1418" s="54" t="n">
        <v>1414</v>
      </c>
      <c r="F1418" s="61" t="n">
        <v>0.773074</v>
      </c>
      <c r="G1418" s="61" t="n">
        <v>0.123973</v>
      </c>
      <c r="H1418" s="34" t="n">
        <f aca="false">NORMSINV(F1418)</f>
        <v>0.749008636495203</v>
      </c>
      <c r="I1418" s="34" t="n">
        <f aca="false">NORMSINV(G1418)</f>
        <v>-1.15535275652279</v>
      </c>
      <c r="J1418" s="59" t="n">
        <f aca="false">mc_s0*EXP((mc_mu-mc_vol^2/2)*mc_t1+mc_vol*SQRT(mc_t1)*H1418)</f>
        <v>1231.28420616347</v>
      </c>
      <c r="K1418" s="59" t="n">
        <f aca="false">J1418*EXP((mc_mu-mc_vol^2/2)*(mc_t2-mc_t1)+mc_vol*SQRT(mc_t2-mc_t1)*I1418)</f>
        <v>1045.11680948437</v>
      </c>
      <c r="L1418" s="31" t="n">
        <f aca="false">(t1_usd*J1418+t2_usd*K1418)/1000</f>
        <v>10604.7113811646</v>
      </c>
    </row>
    <row r="1419" customFormat="false" ht="15" hidden="false" customHeight="false" outlineLevel="0" collapsed="false">
      <c r="E1419" s="54" t="n">
        <v>1415</v>
      </c>
      <c r="F1419" s="61" t="n">
        <v>0.355211</v>
      </c>
      <c r="G1419" s="61" t="n">
        <v>0.616966</v>
      </c>
      <c r="H1419" s="34" t="n">
        <f aca="false">NORMSINV(F1419)</f>
        <v>-0.371289389518028</v>
      </c>
      <c r="I1419" s="34" t="n">
        <f aca="false">NORMSINV(G1419)</f>
        <v>0.297522018924567</v>
      </c>
      <c r="J1419" s="59" t="n">
        <f aca="false">mc_s0*EXP((mc_mu-mc_vol^2/2)*mc_t1+mc_vol*SQRT(mc_t1)*H1419)</f>
        <v>1106.32519328979</v>
      </c>
      <c r="K1419" s="59" t="n">
        <f aca="false">J1419*EXP((mc_mu-mc_vol^2/2)*(mc_t2-mc_t1)+mc_vol*SQRT(mc_t2-mc_t1)*I1419)</f>
        <v>1180.6652302676</v>
      </c>
      <c r="L1419" s="31" t="n">
        <f aca="false">(t1_usd*J1419+t2_usd*K1419)/1000</f>
        <v>9987.540290537</v>
      </c>
    </row>
    <row r="1420" customFormat="false" ht="15" hidden="false" customHeight="false" outlineLevel="0" collapsed="false">
      <c r="E1420" s="54" t="n">
        <v>1416</v>
      </c>
      <c r="F1420" s="61" t="n">
        <v>0.706022</v>
      </c>
      <c r="G1420" s="61" t="n">
        <v>0.803799</v>
      </c>
      <c r="H1420" s="34" t="n">
        <f aca="false">NORMSINV(F1420)</f>
        <v>0.541800422944981</v>
      </c>
      <c r="I1420" s="34" t="n">
        <f aca="false">NORMSINV(G1420)</f>
        <v>0.855269442893146</v>
      </c>
      <c r="J1420" s="59" t="n">
        <f aca="false">mc_s0*EXP((mc_mu-mc_vol^2/2)*mc_t1+mc_vol*SQRT(mc_t1)*H1420)</f>
        <v>1207.15291262038</v>
      </c>
      <c r="K1420" s="59" t="n">
        <f aca="false">J1420*EXP((mc_mu-mc_vol^2/2)*(mc_t2-mc_t1)+mc_vol*SQRT(mc_t2-mc_t1)*I1420)</f>
        <v>1406.62887215571</v>
      </c>
      <c r="L1420" s="31" t="n">
        <f aca="false">(t1_usd*J1420+t2_usd*K1420)/1000</f>
        <v>11122.6652454385</v>
      </c>
    </row>
    <row r="1421" customFormat="false" ht="15" hidden="false" customHeight="false" outlineLevel="0" collapsed="false">
      <c r="E1421" s="54" t="n">
        <v>1417</v>
      </c>
      <c r="F1421" s="61" t="n">
        <v>0.573988</v>
      </c>
      <c r="G1421" s="61" t="n">
        <v>0.289947</v>
      </c>
      <c r="H1421" s="34" t="n">
        <f aca="false">NORMSINV(F1421)</f>
        <v>0.186536574308738</v>
      </c>
      <c r="I1421" s="34" t="n">
        <f aca="false">NORMSINV(G1421)</f>
        <v>-0.553539559291149</v>
      </c>
      <c r="J1421" s="59" t="n">
        <f aca="false">mc_s0*EXP((mc_mu-mc_vol^2/2)*mc_t1+mc_vol*SQRT(mc_t1)*H1421)</f>
        <v>1166.87459334387</v>
      </c>
      <c r="K1421" s="59" t="n">
        <f aca="false">J1421*EXP((mc_mu-mc_vol^2/2)*(mc_t2-mc_t1)+mc_vol*SQRT(mc_t2-mc_t1)*I1421)</f>
        <v>1088.98004289706</v>
      </c>
      <c r="L1421" s="31" t="n">
        <f aca="false">(t1_usd*J1421+t2_usd*K1421)/1000</f>
        <v>10237.1842349115</v>
      </c>
    </row>
    <row r="1422" customFormat="false" ht="15" hidden="false" customHeight="false" outlineLevel="0" collapsed="false">
      <c r="E1422" s="54" t="n">
        <v>1418</v>
      </c>
      <c r="F1422" s="61" t="n">
        <v>0.433654</v>
      </c>
      <c r="G1422" s="61" t="n">
        <v>0.050706</v>
      </c>
      <c r="H1422" s="34" t="n">
        <f aca="false">NORMSINV(F1422)</f>
        <v>-0.16707885932914</v>
      </c>
      <c r="I1422" s="34" t="n">
        <f aca="false">NORMSINV(G1422)</f>
        <v>-1.63804647135625</v>
      </c>
      <c r="J1422" s="59" t="n">
        <f aca="false">mc_s0*EXP((mc_mu-mc_vol^2/2)*mc_t1+mc_vol*SQRT(mc_t1)*H1422)</f>
        <v>1128.11783615338</v>
      </c>
      <c r="K1422" s="59" t="n">
        <f aca="false">J1422*EXP((mc_mu-mc_vol^2/2)*(mc_t2-mc_t1)+mc_vol*SQRT(mc_t2-mc_t1)*I1422)</f>
        <v>887.410444207668</v>
      </c>
      <c r="L1422" s="31" t="n">
        <f aca="false">(t1_usd*J1422+t2_usd*K1422)/1000</f>
        <v>9582.90469706823</v>
      </c>
    </row>
    <row r="1423" customFormat="false" ht="15" hidden="false" customHeight="false" outlineLevel="0" collapsed="false">
      <c r="E1423" s="54" t="n">
        <v>1419</v>
      </c>
      <c r="F1423" s="61" t="n">
        <v>0.134892</v>
      </c>
      <c r="G1423" s="61" t="n">
        <v>0.399469</v>
      </c>
      <c r="H1423" s="34" t="n">
        <f aca="false">NORMSINV(F1423)</f>
        <v>-1.10356011697503</v>
      </c>
      <c r="I1423" s="34" t="n">
        <f aca="false">NORMSINV(G1423)</f>
        <v>-0.25472177092864</v>
      </c>
      <c r="J1423" s="59" t="n">
        <f aca="false">mc_s0*EXP((mc_mu-mc_vol^2/2)*mc_t1+mc_vol*SQRT(mc_t1)*H1423)</f>
        <v>1031.5839784733</v>
      </c>
      <c r="K1423" s="59" t="n">
        <f aca="false">J1423*EXP((mc_mu-mc_vol^2/2)*(mc_t2-mc_t1)+mc_vol*SQRT(mc_t2-mc_t1)*I1423)</f>
        <v>1009.14127484929</v>
      </c>
      <c r="L1423" s="31" t="n">
        <f aca="false">(t1_usd*J1423+t2_usd*K1423)/1000</f>
        <v>9138.45627152676</v>
      </c>
    </row>
    <row r="1424" customFormat="false" ht="15" hidden="false" customHeight="false" outlineLevel="0" collapsed="false">
      <c r="E1424" s="54" t="n">
        <v>1420</v>
      </c>
      <c r="F1424" s="61" t="n">
        <v>0.078007</v>
      </c>
      <c r="G1424" s="61" t="n">
        <v>0.417759</v>
      </c>
      <c r="H1424" s="34" t="n">
        <f aca="false">NORMSINV(F1424)</f>
        <v>-1.41860571083829</v>
      </c>
      <c r="I1424" s="34" t="n">
        <f aca="false">NORMSINV(G1424)</f>
        <v>-0.207629844005176</v>
      </c>
      <c r="J1424" s="59" t="n">
        <f aca="false">mc_s0*EXP((mc_mu-mc_vol^2/2)*mc_t1+mc_vol*SQRT(mc_t1)*H1424)</f>
        <v>1001.00198362864</v>
      </c>
      <c r="K1424" s="59" t="n">
        <f aca="false">J1424*EXP((mc_mu-mc_vol^2/2)*(mc_t2-mc_t1)+mc_vol*SQRT(mc_t2-mc_t1)*I1424)</f>
        <v>986.518827587544</v>
      </c>
      <c r="L1424" s="31" t="n">
        <f aca="false">(t1_usd*J1424+t2_usd*K1424)/1000</f>
        <v>8881.39965781683</v>
      </c>
    </row>
    <row r="1425" customFormat="false" ht="15" hidden="false" customHeight="false" outlineLevel="0" collapsed="false">
      <c r="E1425" s="54" t="n">
        <v>1421</v>
      </c>
      <c r="F1425" s="61" t="n">
        <v>0.900356</v>
      </c>
      <c r="G1425" s="61" t="n">
        <v>0.45041</v>
      </c>
      <c r="H1425" s="34" t="n">
        <f aca="false">NORMSINV(F1425)</f>
        <v>1.28358271752571</v>
      </c>
      <c r="I1425" s="34" t="n">
        <f aca="false">NORMSINV(G1425)</f>
        <v>-0.124625550144493</v>
      </c>
      <c r="J1425" s="59" t="n">
        <f aca="false">mc_s0*EXP((mc_mu-mc_vol^2/2)*mc_t1+mc_vol*SQRT(mc_t1)*H1425)</f>
        <v>1295.79138205633</v>
      </c>
      <c r="K1425" s="59" t="n">
        <f aca="false">J1425*EXP((mc_mu-mc_vol^2/2)*(mc_t2-mc_t1)+mc_vol*SQRT(mc_t2-mc_t1)*I1425)</f>
        <v>1293.85764199679</v>
      </c>
      <c r="L1425" s="31" t="n">
        <f aca="false">(t1_usd*J1425+t2_usd*K1425)/1000</f>
        <v>11528.8691941882</v>
      </c>
    </row>
    <row r="1426" customFormat="false" ht="15" hidden="false" customHeight="false" outlineLevel="0" collapsed="false">
      <c r="E1426" s="54" t="n">
        <v>1422</v>
      </c>
      <c r="F1426" s="61" t="n">
        <v>0.814603</v>
      </c>
      <c r="G1426" s="61" t="n">
        <v>0.992942</v>
      </c>
      <c r="H1426" s="34" t="n">
        <f aca="false">NORMSINV(F1426)</f>
        <v>0.894987069867296</v>
      </c>
      <c r="I1426" s="34" t="n">
        <f aca="false">NORMSINV(G1426)</f>
        <v>2.45429786643322</v>
      </c>
      <c r="J1426" s="59" t="n">
        <f aca="false">mc_s0*EXP((mc_mu-mc_vol^2/2)*mc_t1+mc_vol*SQRT(mc_t1)*H1426)</f>
        <v>1248.57379753126</v>
      </c>
      <c r="K1426" s="59" t="n">
        <f aca="false">J1426*EXP((mc_mu-mc_vol^2/2)*(mc_t2-mc_t1)+mc_vol*SQRT(mc_t2-mc_t1)*I1426)</f>
        <v>1871.85382761603</v>
      </c>
      <c r="L1426" s="31" t="n">
        <f aca="false">(t1_usd*J1426+t2_usd*K1426)/1000</f>
        <v>12296.5388551893</v>
      </c>
    </row>
    <row r="1427" customFormat="false" ht="15" hidden="false" customHeight="false" outlineLevel="0" collapsed="false">
      <c r="E1427" s="54" t="n">
        <v>1423</v>
      </c>
      <c r="F1427" s="61" t="n">
        <v>0.553554</v>
      </c>
      <c r="G1427" s="61" t="n">
        <v>0.698242</v>
      </c>
      <c r="H1427" s="34" t="n">
        <f aca="false">NORMSINV(F1427)</f>
        <v>0.134645709117277</v>
      </c>
      <c r="I1427" s="34" t="n">
        <f aca="false">NORMSINV(G1427)</f>
        <v>0.519350992370736</v>
      </c>
      <c r="J1427" s="59" t="n">
        <f aca="false">mc_s0*EXP((mc_mu-mc_vol^2/2)*mc_t1+mc_vol*SQRT(mc_t1)*H1427)</f>
        <v>1161.10499680204</v>
      </c>
      <c r="K1427" s="59" t="n">
        <f aca="false">J1427*EXP((mc_mu-mc_vol^2/2)*(mc_t2-mc_t1)+mc_vol*SQRT(mc_t2-mc_t1)*I1427)</f>
        <v>1283.21034564726</v>
      </c>
      <c r="L1427" s="31" t="n">
        <f aca="false">(t1_usd*J1427+t2_usd*K1427)/1000</f>
        <v>10565.8346343441</v>
      </c>
    </row>
    <row r="1428" customFormat="false" ht="15" hidden="false" customHeight="false" outlineLevel="0" collapsed="false">
      <c r="E1428" s="54" t="n">
        <v>1424</v>
      </c>
      <c r="F1428" s="61" t="n">
        <v>0.521988</v>
      </c>
      <c r="G1428" s="61" t="n">
        <v>0.429381</v>
      </c>
      <c r="H1428" s="34" t="n">
        <f aca="false">NORMSINV(F1428)</f>
        <v>0.0551436768059009</v>
      </c>
      <c r="I1428" s="34" t="n">
        <f aca="false">NORMSINV(G1428)</f>
        <v>-0.177950309566551</v>
      </c>
      <c r="J1428" s="59" t="n">
        <f aca="false">mc_s0*EXP((mc_mu-mc_vol^2/2)*mc_t1+mc_vol*SQRT(mc_t1)*H1428)</f>
        <v>1152.32068083483</v>
      </c>
      <c r="K1428" s="59" t="n">
        <f aca="false">J1428*EXP((mc_mu-mc_vol^2/2)*(mc_t2-mc_t1)+mc_vol*SQRT(mc_t2-mc_t1)*I1428)</f>
        <v>1140.97234680638</v>
      </c>
      <c r="L1428" s="31" t="n">
        <f aca="false">(t1_usd*J1428+t2_usd*K1428)/1000</f>
        <v>10234.0922247759</v>
      </c>
    </row>
    <row r="1429" customFormat="false" ht="15" hidden="false" customHeight="false" outlineLevel="0" collapsed="false">
      <c r="E1429" s="54" t="n">
        <v>1425</v>
      </c>
      <c r="F1429" s="61" t="n">
        <v>0.003384</v>
      </c>
      <c r="G1429" s="61" t="n">
        <v>0.545564</v>
      </c>
      <c r="H1429" s="34" t="n">
        <f aca="false">NORMSINV(F1429)</f>
        <v>-2.70804914269933</v>
      </c>
      <c r="I1429" s="34" t="n">
        <f aca="false">NORMSINV(G1429)</f>
        <v>0.114461454983802</v>
      </c>
      <c r="J1429" s="59" t="n">
        <f aca="false">mc_s0*EXP((mc_mu-mc_vol^2/2)*mc_t1+mc_vol*SQRT(mc_t1)*H1429)</f>
        <v>884.998313495403</v>
      </c>
      <c r="K1429" s="59" t="n">
        <f aca="false">J1429*EXP((mc_mu-mc_vol^2/2)*(mc_t2-mc_t1)+mc_vol*SQRT(mc_t2-mc_t1)*I1429)</f>
        <v>917.608461541619</v>
      </c>
      <c r="L1429" s="31" t="n">
        <f aca="false">(t1_usd*J1429+t2_usd*K1429)/1000</f>
        <v>7938.4442713969</v>
      </c>
    </row>
    <row r="1430" customFormat="false" ht="15" hidden="false" customHeight="false" outlineLevel="0" collapsed="false">
      <c r="E1430" s="54" t="n">
        <v>1426</v>
      </c>
      <c r="F1430" s="61" t="n">
        <v>0.453509</v>
      </c>
      <c r="G1430" s="61" t="n">
        <v>0.661373</v>
      </c>
      <c r="H1430" s="34" t="n">
        <f aca="false">NORMSINV(F1430)</f>
        <v>-0.116800686157142</v>
      </c>
      <c r="I1430" s="34" t="n">
        <f aca="false">NORMSINV(G1430)</f>
        <v>0.416213202053997</v>
      </c>
      <c r="J1430" s="59" t="n">
        <f aca="false">mc_s0*EXP((mc_mu-mc_vol^2/2)*mc_t1+mc_vol*SQRT(mc_t1)*H1430)</f>
        <v>1133.54888258303</v>
      </c>
      <c r="K1430" s="59" t="n">
        <f aca="false">J1430*EXP((mc_mu-mc_vol^2/2)*(mc_t2-mc_t1)+mc_vol*SQRT(mc_t2-mc_t1)*I1430)</f>
        <v>1232.55886492034</v>
      </c>
      <c r="L1430" s="31" t="n">
        <f aca="false">(t1_usd*J1430+t2_usd*K1430)/1000</f>
        <v>10276.7040214299</v>
      </c>
    </row>
    <row r="1431" customFormat="false" ht="15" hidden="false" customHeight="false" outlineLevel="0" collapsed="false">
      <c r="E1431" s="54" t="n">
        <v>1427</v>
      </c>
      <c r="F1431" s="61" t="n">
        <v>0.995389</v>
      </c>
      <c r="G1431" s="61" t="n">
        <v>0.173337</v>
      </c>
      <c r="H1431" s="34" t="n">
        <f aca="false">NORMSINV(F1431)</f>
        <v>2.60371279411046</v>
      </c>
      <c r="I1431" s="34" t="n">
        <f aca="false">NORMSINV(G1431)</f>
        <v>-0.941060219396667</v>
      </c>
      <c r="J1431" s="59" t="n">
        <f aca="false">mc_s0*EXP((mc_mu-mc_vol^2/2)*mc_t1+mc_vol*SQRT(mc_t1)*H1431)</f>
        <v>1469.94341199449</v>
      </c>
      <c r="K1431" s="59" t="n">
        <f aca="false">J1431*EXP((mc_mu-mc_vol^2/2)*(mc_t2-mc_t1)+mc_vol*SQRT(mc_t2-mc_t1)*I1431)</f>
        <v>1290.54668459355</v>
      </c>
      <c r="L1431" s="31" t="n">
        <f aca="false">(t1_usd*J1431+t2_usd*K1431)/1000</f>
        <v>12741.6425846892</v>
      </c>
    </row>
    <row r="1432" customFormat="false" ht="15" hidden="false" customHeight="false" outlineLevel="0" collapsed="false">
      <c r="E1432" s="54" t="n">
        <v>1428</v>
      </c>
      <c r="F1432" s="61" t="n">
        <v>0.14037</v>
      </c>
      <c r="G1432" s="61" t="n">
        <v>0.239038</v>
      </c>
      <c r="H1432" s="34" t="n">
        <f aca="false">NORMSINV(F1432)</f>
        <v>-1.07865848271553</v>
      </c>
      <c r="I1432" s="34" t="n">
        <f aca="false">NORMSINV(G1432)</f>
        <v>-0.709400463844708</v>
      </c>
      <c r="J1432" s="59" t="n">
        <f aca="false">mc_s0*EXP((mc_mu-mc_vol^2/2)*mc_t1+mc_vol*SQRT(mc_t1)*H1432)</f>
        <v>1034.04069649582</v>
      </c>
      <c r="K1432" s="59" t="n">
        <f aca="false">J1432*EXP((mc_mu-mc_vol^2/2)*(mc_t2-mc_t1)+mc_vol*SQRT(mc_t2-mc_t1)*I1432)</f>
        <v>941.598935020541</v>
      </c>
      <c r="L1432" s="31" t="n">
        <f aca="false">(t1_usd*J1432+t2_usd*K1432)/1000</f>
        <v>9027.32285200977</v>
      </c>
    </row>
    <row r="1433" customFormat="false" ht="15" hidden="false" customHeight="false" outlineLevel="0" collapsed="false">
      <c r="E1433" s="54" t="n">
        <v>1429</v>
      </c>
      <c r="F1433" s="61" t="n">
        <v>0.704534</v>
      </c>
      <c r="G1433" s="61" t="n">
        <v>0.338826</v>
      </c>
      <c r="H1433" s="34" t="n">
        <f aca="false">NORMSINV(F1433)</f>
        <v>0.537485931764549</v>
      </c>
      <c r="I1433" s="34" t="n">
        <f aca="false">NORMSINV(G1433)</f>
        <v>-0.415669312101715</v>
      </c>
      <c r="J1433" s="59" t="n">
        <f aca="false">mc_s0*EXP((mc_mu-mc_vol^2/2)*mc_t1+mc_vol*SQRT(mc_t1)*H1433)</f>
        <v>1206.65550935588</v>
      </c>
      <c r="K1433" s="59" t="n">
        <f aca="false">J1433*EXP((mc_mu-mc_vol^2/2)*(mc_t2-mc_t1)+mc_vol*SQRT(mc_t2-mc_t1)*I1433)</f>
        <v>1150.84048845698</v>
      </c>
      <c r="L1433" s="31" t="n">
        <f aca="false">(t1_usd*J1433+t2_usd*K1433)/1000</f>
        <v>10633.1854935594</v>
      </c>
    </row>
    <row r="1434" customFormat="false" ht="15" hidden="false" customHeight="false" outlineLevel="0" collapsed="false">
      <c r="E1434" s="54" t="n">
        <v>1430</v>
      </c>
      <c r="F1434" s="61" t="n">
        <v>0.457406</v>
      </c>
      <c r="G1434" s="61" t="n">
        <v>0.198443</v>
      </c>
      <c r="H1434" s="34" t="n">
        <f aca="false">NORMSINV(F1434)</f>
        <v>-0.10697098281285</v>
      </c>
      <c r="I1434" s="34" t="n">
        <f aca="false">NORMSINV(G1434)</f>
        <v>-0.847195789527801</v>
      </c>
      <c r="J1434" s="59" t="n">
        <f aca="false">mc_s0*EXP((mc_mu-mc_vol^2/2)*mc_t1+mc_vol*SQRT(mc_t1)*H1434)</f>
        <v>1134.61373843516</v>
      </c>
      <c r="K1434" s="59" t="n">
        <f aca="false">J1434*EXP((mc_mu-mc_vol^2/2)*(mc_t2-mc_t1)+mc_vol*SQRT(mc_t2-mc_t1)*I1434)</f>
        <v>1010.9865947443</v>
      </c>
      <c r="L1434" s="31" t="n">
        <f aca="false">(t1_usd*J1434+t2_usd*K1434)/1000</f>
        <v>9863.1706990603</v>
      </c>
    </row>
    <row r="1435" customFormat="false" ht="15" hidden="false" customHeight="false" outlineLevel="0" collapsed="false">
      <c r="E1435" s="54" t="n">
        <v>1431</v>
      </c>
      <c r="F1435" s="61" t="n">
        <v>0.94238</v>
      </c>
      <c r="G1435" s="61" t="n">
        <v>0.326871</v>
      </c>
      <c r="H1435" s="34" t="n">
        <f aca="false">NORMSINV(F1435)</f>
        <v>1.57507124710706</v>
      </c>
      <c r="I1435" s="34" t="n">
        <f aca="false">NORMSINV(G1435)</f>
        <v>-0.448569832529019</v>
      </c>
      <c r="J1435" s="59" t="n">
        <f aca="false">mc_s0*EXP((mc_mu-mc_vol^2/2)*mc_t1+mc_vol*SQRT(mc_t1)*H1435)</f>
        <v>1332.37806428</v>
      </c>
      <c r="K1435" s="59" t="n">
        <f aca="false">J1435*EXP((mc_mu-mc_vol^2/2)*(mc_t2-mc_t1)+mc_vol*SQRT(mc_t2-mc_t1)*I1435)</f>
        <v>1264.17597888602</v>
      </c>
      <c r="L1435" s="31" t="n">
        <f aca="false">(t1_usd*J1435+t2_usd*K1435)/1000</f>
        <v>11728.5808098435</v>
      </c>
    </row>
    <row r="1436" customFormat="false" ht="15" hidden="false" customHeight="false" outlineLevel="0" collapsed="false">
      <c r="E1436" s="54" t="n">
        <v>1432</v>
      </c>
      <c r="F1436" s="61" t="n">
        <v>0.202591</v>
      </c>
      <c r="G1436" s="61" t="n">
        <v>0.19848</v>
      </c>
      <c r="H1436" s="34" t="n">
        <f aca="false">NORMSINV(F1436)</f>
        <v>-0.832402130309042</v>
      </c>
      <c r="I1436" s="34" t="n">
        <f aca="false">NORMSINV(G1436)</f>
        <v>-0.847063012590491</v>
      </c>
      <c r="J1436" s="59" t="n">
        <f aca="false">mc_s0*EXP((mc_mu-mc_vol^2/2)*mc_t1+mc_vol*SQRT(mc_t1)*H1436)</f>
        <v>1058.65283226278</v>
      </c>
      <c r="K1436" s="59" t="n">
        <f aca="false">J1436*EXP((mc_mu-mc_vol^2/2)*(mc_t2-mc_t1)+mc_vol*SQRT(mc_t2-mc_t1)*I1436)</f>
        <v>943.322102753144</v>
      </c>
      <c r="L1436" s="31" t="n">
        <f aca="false">(t1_usd*J1436+t2_usd*K1436)/1000</f>
        <v>9202.88182107042</v>
      </c>
    </row>
    <row r="1437" customFormat="false" ht="15" hidden="false" customHeight="false" outlineLevel="0" collapsed="false">
      <c r="E1437" s="54" t="n">
        <v>1433</v>
      </c>
      <c r="F1437" s="61" t="n">
        <v>0.907485</v>
      </c>
      <c r="G1437" s="61" t="n">
        <v>0.556315</v>
      </c>
      <c r="H1437" s="34" t="n">
        <f aca="false">NORMSINV(F1437)</f>
        <v>1.32542569296721</v>
      </c>
      <c r="I1437" s="34" t="n">
        <f aca="false">NORMSINV(G1437)</f>
        <v>0.141632872711387</v>
      </c>
      <c r="J1437" s="59" t="n">
        <f aca="false">mc_s0*EXP((mc_mu-mc_vol^2/2)*mc_t1+mc_vol*SQRT(mc_t1)*H1437)</f>
        <v>1300.98096087047</v>
      </c>
      <c r="K1437" s="59" t="n">
        <f aca="false">J1437*EXP((mc_mu-mc_vol^2/2)*(mc_t2-mc_t1)+mc_vol*SQRT(mc_t2-mc_t1)*I1437)</f>
        <v>1354.7076080755</v>
      </c>
      <c r="L1437" s="31" t="n">
        <f aca="false">(t1_usd*J1437+t2_usd*K1437)/1000</f>
        <v>11680.8111814367</v>
      </c>
    </row>
    <row r="1438" customFormat="false" ht="15" hidden="false" customHeight="false" outlineLevel="0" collapsed="false">
      <c r="E1438" s="54" t="n">
        <v>1434</v>
      </c>
      <c r="F1438" s="61" t="n">
        <v>0.32392</v>
      </c>
      <c r="G1438" s="61" t="n">
        <v>0.757947</v>
      </c>
      <c r="H1438" s="34" t="n">
        <f aca="false">NORMSINV(F1438)</f>
        <v>-0.456764951568916</v>
      </c>
      <c r="I1438" s="34" t="n">
        <f aca="false">NORMSINV(G1438)</f>
        <v>0.699713890453378</v>
      </c>
      <c r="J1438" s="59" t="n">
        <f aca="false">mc_s0*EXP((mc_mu-mc_vol^2/2)*mc_t1+mc_vol*SQRT(mc_t1)*H1438)</f>
        <v>1097.32899025512</v>
      </c>
      <c r="K1438" s="59" t="n">
        <f aca="false">J1438*EXP((mc_mu-mc_vol^2/2)*(mc_t2-mc_t1)+mc_vol*SQRT(mc_t2-mc_t1)*I1438)</f>
        <v>1247.69255289342</v>
      </c>
      <c r="L1438" s="31" t="n">
        <f aca="false">(t1_usd*J1438+t2_usd*K1438)/1000</f>
        <v>10051.9187822833</v>
      </c>
    </row>
    <row r="1439" customFormat="false" ht="15" hidden="false" customHeight="false" outlineLevel="0" collapsed="false">
      <c r="E1439" s="54" t="n">
        <v>1435</v>
      </c>
      <c r="F1439" s="61" t="n">
        <v>0.131194</v>
      </c>
      <c r="G1439" s="61" t="n">
        <v>0.680066</v>
      </c>
      <c r="H1439" s="34" t="n">
        <f aca="false">NORMSINV(F1439)</f>
        <v>-1.12076477908287</v>
      </c>
      <c r="I1439" s="34" t="n">
        <f aca="false">NORMSINV(G1439)</f>
        <v>0.467883365188615</v>
      </c>
      <c r="J1439" s="59" t="n">
        <f aca="false">mc_s0*EXP((mc_mu-mc_vol^2/2)*mc_t1+mc_vol*SQRT(mc_t1)*H1439)</f>
        <v>1029.89003011204</v>
      </c>
      <c r="K1439" s="59" t="n">
        <f aca="false">J1439*EXP((mc_mu-mc_vol^2/2)*(mc_t2-mc_t1)+mc_vol*SQRT(mc_t2-mc_t1)*I1439)</f>
        <v>1129.00189875258</v>
      </c>
      <c r="L1439" s="31" t="n">
        <f aca="false">(t1_usd*J1439+t2_usd*K1439)/1000</f>
        <v>9354.33381841418</v>
      </c>
    </row>
    <row r="1440" customFormat="false" ht="15" hidden="false" customHeight="false" outlineLevel="0" collapsed="false">
      <c r="E1440" s="54" t="n">
        <v>1436</v>
      </c>
      <c r="F1440" s="61" t="n">
        <v>0.847139</v>
      </c>
      <c r="G1440" s="61" t="n">
        <v>0.174803</v>
      </c>
      <c r="H1440" s="34" t="n">
        <f aca="false">NORMSINV(F1440)</f>
        <v>1.02423985146709</v>
      </c>
      <c r="I1440" s="34" t="n">
        <f aca="false">NORMSINV(G1440)</f>
        <v>-0.935353795762279</v>
      </c>
      <c r="J1440" s="59" t="n">
        <f aca="false">mc_s0*EXP((mc_mu-mc_vol^2/2)*mc_t1+mc_vol*SQRT(mc_t1)*H1440)</f>
        <v>1264.08495279315</v>
      </c>
      <c r="K1440" s="59" t="n">
        <f aca="false">J1440*EXP((mc_mu-mc_vol^2/2)*(mc_t2-mc_t1)+mc_vol*SQRT(mc_t2-mc_t1)*I1440)</f>
        <v>1110.81036421312</v>
      </c>
      <c r="L1440" s="31" t="n">
        <f aca="false">(t1_usd*J1440+t2_usd*K1440)/1000</f>
        <v>10959.134361557</v>
      </c>
    </row>
    <row r="1441" customFormat="false" ht="15" hidden="false" customHeight="false" outlineLevel="0" collapsed="false">
      <c r="E1441" s="54" t="n">
        <v>1437</v>
      </c>
      <c r="F1441" s="61" t="n">
        <v>0.984483</v>
      </c>
      <c r="G1441" s="61" t="n">
        <v>0.594252</v>
      </c>
      <c r="H1441" s="34" t="n">
        <f aca="false">NORMSINV(F1441)</f>
        <v>2.15663647749577</v>
      </c>
      <c r="I1441" s="34" t="n">
        <f aca="false">NORMSINV(G1441)</f>
        <v>0.23849653822383</v>
      </c>
      <c r="J1441" s="59" t="n">
        <f aca="false">mc_s0*EXP((mc_mu-mc_vol^2/2)*mc_t1+mc_vol*SQRT(mc_t1)*H1441)</f>
        <v>1408.4897082166</v>
      </c>
      <c r="K1441" s="59" t="n">
        <f aca="false">J1441*EXP((mc_mu-mc_vol^2/2)*(mc_t2-mc_t1)+mc_vol*SQRT(mc_t2-mc_t1)*I1441)</f>
        <v>1489.21648816861</v>
      </c>
      <c r="L1441" s="31" t="n">
        <f aca="false">(t1_usd*J1441+t2_usd*K1441)/1000</f>
        <v>12688.9392850366</v>
      </c>
    </row>
    <row r="1442" customFormat="false" ht="15" hidden="false" customHeight="false" outlineLevel="0" collapsed="false">
      <c r="E1442" s="54" t="n">
        <v>1438</v>
      </c>
      <c r="F1442" s="61" t="n">
        <v>0.615652</v>
      </c>
      <c r="G1442" s="61" t="n">
        <v>0.635156</v>
      </c>
      <c r="H1442" s="34" t="n">
        <f aca="false">NORMSINV(F1442)</f>
        <v>0.294081011888067</v>
      </c>
      <c r="I1442" s="34" t="n">
        <f aca="false">NORMSINV(G1442)</f>
        <v>0.345540591022323</v>
      </c>
      <c r="J1442" s="59" t="n">
        <f aca="false">mc_s0*EXP((mc_mu-mc_vol^2/2)*mc_t1+mc_vol*SQRT(mc_t1)*H1442)</f>
        <v>1178.92359414749</v>
      </c>
      <c r="K1442" s="59" t="n">
        <f aca="false">J1442*EXP((mc_mu-mc_vol^2/2)*(mc_t2-mc_t1)+mc_vol*SQRT(mc_t2-mc_t1)*I1442)</f>
        <v>1267.69889326681</v>
      </c>
      <c r="L1442" s="31" t="n">
        <f aca="false">(t1_usd*J1442+t2_usd*K1442)/1000</f>
        <v>10661.0930562394</v>
      </c>
    </row>
    <row r="1443" customFormat="false" ht="15" hidden="false" customHeight="false" outlineLevel="0" collapsed="false">
      <c r="E1443" s="54" t="n">
        <v>1439</v>
      </c>
      <c r="F1443" s="61" t="n">
        <v>0.010432</v>
      </c>
      <c r="G1443" s="61" t="n">
        <v>0.802776</v>
      </c>
      <c r="H1443" s="34" t="n">
        <f aca="false">NORMSINV(F1443)</f>
        <v>-2.31043650535063</v>
      </c>
      <c r="I1443" s="34" t="n">
        <f aca="false">NORMSINV(G1443)</f>
        <v>0.851578638337971</v>
      </c>
      <c r="J1443" s="59" t="n">
        <f aca="false">mc_s0*EXP((mc_mu-mc_vol^2/2)*mc_t1+mc_vol*SQRT(mc_t1)*H1443)</f>
        <v>919.257925887542</v>
      </c>
      <c r="K1443" s="59" t="n">
        <f aca="false">J1443*EXP((mc_mu-mc_vol^2/2)*(mc_t2-mc_t1)+mc_vol*SQRT(mc_t2-mc_t1)*I1443)</f>
        <v>1070.53782910208</v>
      </c>
      <c r="L1443" s="31" t="n">
        <f aca="false">(t1_usd*J1443+t2_usd*K1443)/1000</f>
        <v>8468.82735650674</v>
      </c>
    </row>
    <row r="1444" customFormat="false" ht="15" hidden="false" customHeight="false" outlineLevel="0" collapsed="false">
      <c r="E1444" s="54" t="n">
        <v>1440</v>
      </c>
      <c r="F1444" s="61" t="n">
        <v>0.21383</v>
      </c>
      <c r="G1444" s="61" t="n">
        <v>0.192017</v>
      </c>
      <c r="H1444" s="34" t="n">
        <f aca="false">NORMSINV(F1444)</f>
        <v>-0.793202244566287</v>
      </c>
      <c r="I1444" s="34" t="n">
        <f aca="false">NORMSINV(G1444)</f>
        <v>-0.870487586746944</v>
      </c>
      <c r="J1444" s="59" t="n">
        <f aca="false">mc_s0*EXP((mc_mu-mc_vol^2/2)*mc_t1+mc_vol*SQRT(mc_t1)*H1444)</f>
        <v>1062.62436338829</v>
      </c>
      <c r="K1444" s="59" t="n">
        <f aca="false">J1444*EXP((mc_mu-mc_vol^2/2)*(mc_t2-mc_t1)+mc_vol*SQRT(mc_t2-mc_t1)*I1444)</f>
        <v>943.372026953895</v>
      </c>
      <c r="L1444" s="31" t="n">
        <f aca="false">(t1_usd*J1444+t2_usd*K1444)/1000</f>
        <v>9230.77739493045</v>
      </c>
    </row>
    <row r="1445" customFormat="false" ht="15" hidden="false" customHeight="false" outlineLevel="0" collapsed="false">
      <c r="E1445" s="54" t="n">
        <v>1441</v>
      </c>
      <c r="F1445" s="61" t="n">
        <v>0.514171</v>
      </c>
      <c r="G1445" s="61" t="n">
        <v>0.839248</v>
      </c>
      <c r="H1445" s="34" t="n">
        <f aca="false">NORMSINV(F1445)</f>
        <v>0.035528902570938</v>
      </c>
      <c r="I1445" s="34" t="n">
        <f aca="false">NORMSINV(G1445)</f>
        <v>0.991371933087608</v>
      </c>
      <c r="J1445" s="59" t="n">
        <f aca="false">mc_s0*EXP((mc_mu-mc_vol^2/2)*mc_t1+mc_vol*SQRT(mc_t1)*H1445)</f>
        <v>1150.16365113978</v>
      </c>
      <c r="K1445" s="59" t="n">
        <f aca="false">J1445*EXP((mc_mu-mc_vol^2/2)*(mc_t2-mc_t1)+mc_vol*SQRT(mc_t2-mc_t1)*I1445)</f>
        <v>1369.27912204076</v>
      </c>
      <c r="L1445" s="31" t="n">
        <f aca="false">(t1_usd*J1445+t2_usd*K1445)/1000</f>
        <v>10652.7758898559</v>
      </c>
    </row>
    <row r="1446" customFormat="false" ht="15" hidden="false" customHeight="false" outlineLevel="0" collapsed="false">
      <c r="E1446" s="54" t="n">
        <v>1442</v>
      </c>
      <c r="F1446" s="61" t="n">
        <v>0.087992</v>
      </c>
      <c r="G1446" s="61" t="n">
        <v>0.156143</v>
      </c>
      <c r="H1446" s="34" t="n">
        <f aca="false">NORMSINV(F1446)</f>
        <v>-1.35322425119683</v>
      </c>
      <c r="I1446" s="34" t="n">
        <f aca="false">NORMSINV(G1446)</f>
        <v>-1.01043693440521</v>
      </c>
      <c r="J1446" s="59" t="n">
        <f aca="false">mc_s0*EXP((mc_mu-mc_vol^2/2)*mc_t1+mc_vol*SQRT(mc_t1)*H1446)</f>
        <v>1007.27321289838</v>
      </c>
      <c r="K1446" s="59" t="n">
        <f aca="false">J1446*EXP((mc_mu-mc_vol^2/2)*(mc_t2-mc_t1)+mc_vol*SQRT(mc_t2-mc_t1)*I1446)</f>
        <v>874.726163566969</v>
      </c>
      <c r="L1446" s="31" t="n">
        <f aca="false">(t1_usd*J1446+t2_usd*K1446)/1000</f>
        <v>8712.8922010659</v>
      </c>
    </row>
    <row r="1447" customFormat="false" ht="15" hidden="false" customHeight="false" outlineLevel="0" collapsed="false">
      <c r="E1447" s="54" t="n">
        <v>1443</v>
      </c>
      <c r="F1447" s="61" t="n">
        <v>0.357376</v>
      </c>
      <c r="G1447" s="61" t="n">
        <v>0.482253</v>
      </c>
      <c r="H1447" s="34" t="n">
        <f aca="false">NORMSINV(F1447)</f>
        <v>-0.36548151872554</v>
      </c>
      <c r="I1447" s="34" t="n">
        <f aca="false">NORMSINV(G1447)</f>
        <v>-0.0444998142987492</v>
      </c>
      <c r="J1447" s="59" t="n">
        <f aca="false">mc_s0*EXP((mc_mu-mc_vol^2/2)*mc_t1+mc_vol*SQRT(mc_t1)*H1447)</f>
        <v>1106.9391340573</v>
      </c>
      <c r="K1447" s="59" t="n">
        <f aca="false">J1447*EXP((mc_mu-mc_vol^2/2)*(mc_t2-mc_t1)+mc_vol*SQRT(mc_t2-mc_t1)*I1447)</f>
        <v>1119.33247398868</v>
      </c>
      <c r="L1447" s="31" t="n">
        <f aca="false">(t1_usd*J1447+t2_usd*K1447)/1000</f>
        <v>9875.30563897963</v>
      </c>
    </row>
    <row r="1448" customFormat="false" ht="15" hidden="false" customHeight="false" outlineLevel="0" collapsed="false">
      <c r="E1448" s="54" t="n">
        <v>1444</v>
      </c>
      <c r="F1448" s="61" t="n">
        <v>0.649727</v>
      </c>
      <c r="G1448" s="61" t="n">
        <v>0.076373</v>
      </c>
      <c r="H1448" s="34" t="n">
        <f aca="false">NORMSINV(F1448)</f>
        <v>0.384583527962521</v>
      </c>
      <c r="I1448" s="34" t="n">
        <f aca="false">NORMSINV(G1448)</f>
        <v>-1.42989903165331</v>
      </c>
      <c r="J1448" s="59" t="n">
        <f aca="false">mc_s0*EXP((mc_mu-mc_vol^2/2)*mc_t1+mc_vol*SQRT(mc_t1)*H1448)</f>
        <v>1189.15961496634</v>
      </c>
      <c r="K1448" s="59" t="n">
        <f aca="false">J1448*EXP((mc_mu-mc_vol^2/2)*(mc_t2-mc_t1)+mc_vol*SQRT(mc_t2-mc_t1)*I1448)</f>
        <v>966.620984417877</v>
      </c>
      <c r="L1448" s="31" t="n">
        <f aca="false">(t1_usd*J1448+t2_usd*K1448)/1000</f>
        <v>10160.6971751583</v>
      </c>
    </row>
    <row r="1449" customFormat="false" ht="15" hidden="false" customHeight="false" outlineLevel="0" collapsed="false">
      <c r="E1449" s="54" t="n">
        <v>1445</v>
      </c>
      <c r="F1449" s="61" t="n">
        <v>0.273966</v>
      </c>
      <c r="G1449" s="61" t="n">
        <v>0.284506</v>
      </c>
      <c r="H1449" s="34" t="n">
        <f aca="false">NORMSINV(F1449)</f>
        <v>-0.600861857215465</v>
      </c>
      <c r="I1449" s="34" t="n">
        <f aca="false">NORMSINV(G1449)</f>
        <v>-0.56950717929081</v>
      </c>
      <c r="J1449" s="59" t="n">
        <f aca="false">mc_s0*EXP((mc_mu-mc_vol^2/2)*mc_t1+mc_vol*SQRT(mc_t1)*H1449)</f>
        <v>1082.32826492272</v>
      </c>
      <c r="K1449" s="59" t="n">
        <f aca="false">J1449*EXP((mc_mu-mc_vol^2/2)*(mc_t2-mc_t1)+mc_vol*SQRT(mc_t2-mc_t1)*I1449)</f>
        <v>1007.53904069171</v>
      </c>
      <c r="L1449" s="31" t="n">
        <f aca="false">(t1_usd*J1449+t2_usd*K1449)/1000</f>
        <v>9490.62203177327</v>
      </c>
    </row>
    <row r="1450" customFormat="false" ht="15" hidden="false" customHeight="false" outlineLevel="0" collapsed="false">
      <c r="E1450" s="54" t="n">
        <v>1446</v>
      </c>
      <c r="F1450" s="61" t="n">
        <v>0.206051</v>
      </c>
      <c r="G1450" s="61" t="n">
        <v>0.396389</v>
      </c>
      <c r="H1450" s="34" t="n">
        <f aca="false">NORMSINV(F1450)</f>
        <v>-0.820200178914732</v>
      </c>
      <c r="I1450" s="34" t="n">
        <f aca="false">NORMSINV(G1450)</f>
        <v>-0.262704951577175</v>
      </c>
      <c r="J1450" s="59" t="n">
        <f aca="false">mc_s0*EXP((mc_mu-mc_vol^2/2)*mc_t1+mc_vol*SQRT(mc_t1)*H1450)</f>
        <v>1059.88747761806</v>
      </c>
      <c r="K1450" s="59" t="n">
        <f aca="false">J1450*EXP((mc_mu-mc_vol^2/2)*(mc_t2-mc_t1)+mc_vol*SQRT(mc_t2-mc_t1)*I1450)</f>
        <v>1035.5254058947</v>
      </c>
      <c r="L1450" s="31" t="n">
        <f aca="false">(t1_usd*J1450+t2_usd*K1450)/1000</f>
        <v>9386.71061452634</v>
      </c>
    </row>
    <row r="1451" customFormat="false" ht="15" hidden="false" customHeight="false" outlineLevel="0" collapsed="false">
      <c r="E1451" s="54" t="n">
        <v>1447</v>
      </c>
      <c r="F1451" s="61" t="n">
        <v>0.295783</v>
      </c>
      <c r="G1451" s="61" t="n">
        <v>0.199577</v>
      </c>
      <c r="H1451" s="34" t="n">
        <f aca="false">NORMSINV(F1451)</f>
        <v>-0.536568076849301</v>
      </c>
      <c r="I1451" s="34" t="n">
        <f aca="false">NORMSINV(G1451)</f>
        <v>-0.843133115392377</v>
      </c>
      <c r="J1451" s="59" t="n">
        <f aca="false">mc_s0*EXP((mc_mu-mc_vol^2/2)*mc_t1+mc_vol*SQRT(mc_t1)*H1451)</f>
        <v>1088.99584908562</v>
      </c>
      <c r="K1451" s="59" t="n">
        <f aca="false">J1451*EXP((mc_mu-mc_vol^2/2)*(mc_t2-mc_t1)+mc_vol*SQRT(mc_t2-mc_t1)*I1451)</f>
        <v>970.960674198243</v>
      </c>
      <c r="L1451" s="31" t="n">
        <f aca="false">(t1_usd*J1451+t2_usd*K1451)/1000</f>
        <v>9467.79622457599</v>
      </c>
    </row>
    <row r="1452" customFormat="false" ht="15" hidden="false" customHeight="false" outlineLevel="0" collapsed="false">
      <c r="E1452" s="54" t="n">
        <v>1448</v>
      </c>
      <c r="F1452" s="61" t="n">
        <v>0.069827</v>
      </c>
      <c r="G1452" s="61" t="n">
        <v>0.81843</v>
      </c>
      <c r="H1452" s="34" t="n">
        <f aca="false">NORMSINV(F1452)</f>
        <v>-1.47708072377059</v>
      </c>
      <c r="I1452" s="34" t="n">
        <f aca="false">NORMSINV(G1452)</f>
        <v>0.909398146198939</v>
      </c>
      <c r="J1452" s="59" t="n">
        <f aca="false">mc_s0*EXP((mc_mu-mc_vol^2/2)*mc_t1+mc_vol*SQRT(mc_t1)*H1452)</f>
        <v>995.426286665366</v>
      </c>
      <c r="K1452" s="59" t="n">
        <f aca="false">J1452*EXP((mc_mu-mc_vol^2/2)*(mc_t2-mc_t1)+mc_vol*SQRT(mc_t2-mc_t1)*I1452)</f>
        <v>1169.85225069981</v>
      </c>
      <c r="L1452" s="31" t="n">
        <f aca="false">(t1_usd*J1452+t2_usd*K1452)/1000</f>
        <v>9190.7032829872</v>
      </c>
    </row>
    <row r="1453" customFormat="false" ht="15" hidden="false" customHeight="false" outlineLevel="0" collapsed="false">
      <c r="E1453" s="54" t="n">
        <v>1449</v>
      </c>
      <c r="F1453" s="61" t="n">
        <v>0.406028</v>
      </c>
      <c r="G1453" s="61" t="n">
        <v>0.686041</v>
      </c>
      <c r="H1453" s="34" t="n">
        <f aca="false">NORMSINV(F1453)</f>
        <v>-0.237774496866247</v>
      </c>
      <c r="I1453" s="34" t="n">
        <f aca="false">NORMSINV(G1453)</f>
        <v>0.484659358628219</v>
      </c>
      <c r="J1453" s="59" t="n">
        <f aca="false">mc_s0*EXP((mc_mu-mc_vol^2/2)*mc_t1+mc_vol*SQRT(mc_t1)*H1453)</f>
        <v>1120.52528453688</v>
      </c>
      <c r="K1453" s="59" t="n">
        <f aca="false">J1453*EXP((mc_mu-mc_vol^2/2)*(mc_t2-mc_t1)+mc_vol*SQRT(mc_t2-mc_t1)*I1453)</f>
        <v>1231.61128412372</v>
      </c>
      <c r="L1453" s="31" t="n">
        <f aca="false">(t1_usd*J1453+t2_usd*K1453)/1000</f>
        <v>10183.7384315932</v>
      </c>
    </row>
    <row r="1454" customFormat="false" ht="15" hidden="false" customHeight="false" outlineLevel="0" collapsed="false">
      <c r="E1454" s="54" t="n">
        <v>1450</v>
      </c>
      <c r="F1454" s="61" t="n">
        <v>0.941185</v>
      </c>
      <c r="G1454" s="61" t="n">
        <v>0.60149</v>
      </c>
      <c r="H1454" s="34" t="n">
        <f aca="false">NORMSINV(F1454)</f>
        <v>1.56479919745929</v>
      </c>
      <c r="I1454" s="34" t="n">
        <f aca="false">NORMSINV(G1454)</f>
        <v>0.257205679319308</v>
      </c>
      <c r="J1454" s="59" t="n">
        <f aca="false">mc_s0*EXP((mc_mu-mc_vol^2/2)*mc_t1+mc_vol*SQRT(mc_t1)*H1454)</f>
        <v>1331.07135858827</v>
      </c>
      <c r="K1454" s="59" t="n">
        <f aca="false">J1454*EXP((mc_mu-mc_vol^2/2)*(mc_t2-mc_t1)+mc_vol*SQRT(mc_t2-mc_t1)*I1454)</f>
        <v>1411.51658355029</v>
      </c>
      <c r="L1454" s="31" t="n">
        <f aca="false">(t1_usd*J1454+t2_usd*K1454)/1000</f>
        <v>11999.3810188634</v>
      </c>
    </row>
    <row r="1455" customFormat="false" ht="15" hidden="false" customHeight="false" outlineLevel="0" collapsed="false">
      <c r="E1455" s="54" t="n">
        <v>1451</v>
      </c>
      <c r="F1455" s="61" t="n">
        <v>0.658755</v>
      </c>
      <c r="G1455" s="61" t="n">
        <v>0.636845</v>
      </c>
      <c r="H1455" s="34" t="n">
        <f aca="false">NORMSINV(F1455)</f>
        <v>0.409067671735365</v>
      </c>
      <c r="I1455" s="34" t="n">
        <f aca="false">NORMSINV(G1455)</f>
        <v>0.350038239279233</v>
      </c>
      <c r="J1455" s="59" t="n">
        <f aca="false">mc_s0*EXP((mc_mu-mc_vol^2/2)*mc_t1+mc_vol*SQRT(mc_t1)*H1455)</f>
        <v>1191.94406406242</v>
      </c>
      <c r="K1455" s="59" t="n">
        <f aca="false">J1455*EXP((mc_mu-mc_vol^2/2)*(mc_t2-mc_t1)+mc_vol*SQRT(mc_t2-mc_t1)*I1455)</f>
        <v>1282.60861985765</v>
      </c>
      <c r="L1455" s="31" t="n">
        <f aca="false">(t1_usd*J1455+t2_usd*K1455)/1000</f>
        <v>10780.5648261665</v>
      </c>
    </row>
    <row r="1456" customFormat="false" ht="15" hidden="false" customHeight="false" outlineLevel="0" collapsed="false">
      <c r="E1456" s="54" t="n">
        <v>1452</v>
      </c>
      <c r="F1456" s="61" t="n">
        <v>0.464887</v>
      </c>
      <c r="G1456" s="61" t="n">
        <v>0.330411</v>
      </c>
      <c r="H1456" s="34" t="n">
        <f aca="false">NORMSINV(F1456)</f>
        <v>-0.0881291854330184</v>
      </c>
      <c r="I1456" s="34" t="n">
        <f aca="false">NORMSINV(G1456)</f>
        <v>-0.438778555758196</v>
      </c>
      <c r="J1456" s="59" t="n">
        <f aca="false">mc_s0*EXP((mc_mu-mc_vol^2/2)*mc_t1+mc_vol*SQRT(mc_t1)*H1456)</f>
        <v>1136.65767541168</v>
      </c>
      <c r="K1456" s="59" t="n">
        <f aca="false">J1456*EXP((mc_mu-mc_vol^2/2)*(mc_t2-mc_t1)+mc_vol*SQRT(mc_t2-mc_t1)*I1456)</f>
        <v>1080.13958373116</v>
      </c>
      <c r="L1456" s="31" t="n">
        <f aca="false">(t1_usd*J1456+t2_usd*K1456)/1000</f>
        <v>10008.8689369709</v>
      </c>
    </row>
    <row r="1457" customFormat="false" ht="15" hidden="false" customHeight="false" outlineLevel="0" collapsed="false">
      <c r="E1457" s="54" t="n">
        <v>1453</v>
      </c>
      <c r="F1457" s="61" t="n">
        <v>0.807128</v>
      </c>
      <c r="G1457" s="61" t="n">
        <v>0.119879</v>
      </c>
      <c r="H1457" s="34" t="n">
        <f aca="false">NORMSINV(F1457)</f>
        <v>0.867361444517445</v>
      </c>
      <c r="I1457" s="34" t="n">
        <f aca="false">NORMSINV(G1457)</f>
        <v>-1.17559188471648</v>
      </c>
      <c r="J1457" s="59" t="n">
        <f aca="false">mc_s0*EXP((mc_mu-mc_vol^2/2)*mc_t1+mc_vol*SQRT(mc_t1)*H1457)</f>
        <v>1245.28331427041</v>
      </c>
      <c r="K1457" s="59" t="n">
        <f aca="false">J1457*EXP((mc_mu-mc_vol^2/2)*(mc_t2-mc_t1)+mc_vol*SQRT(mc_t2-mc_t1)*I1457)</f>
        <v>1053.63330386367</v>
      </c>
      <c r="L1457" s="31" t="n">
        <f aca="false">(t1_usd*J1457+t2_usd*K1457)/1000</f>
        <v>10718.8864772339</v>
      </c>
    </row>
    <row r="1458" customFormat="false" ht="15" hidden="false" customHeight="false" outlineLevel="0" collapsed="false">
      <c r="E1458" s="54" t="n">
        <v>1454</v>
      </c>
      <c r="F1458" s="61" t="n">
        <v>0.339988</v>
      </c>
      <c r="G1458" s="61" t="n">
        <v>0.62002</v>
      </c>
      <c r="H1458" s="34" t="n">
        <f aca="false">NORMSINV(F1458)</f>
        <v>-0.412495879830864</v>
      </c>
      <c r="I1458" s="34" t="n">
        <f aca="false">NORMSINV(G1458)</f>
        <v>0.305533315664755</v>
      </c>
      <c r="J1458" s="59" t="n">
        <f aca="false">mc_s0*EXP((mc_mu-mc_vol^2/2)*mc_t1+mc_vol*SQRT(mc_t1)*H1458)</f>
        <v>1101.97908810242</v>
      </c>
      <c r="K1458" s="59" t="n">
        <f aca="false">J1458*EXP((mc_mu-mc_vol^2/2)*(mc_t2-mc_t1)+mc_vol*SQRT(mc_t2-mc_t1)*I1458)</f>
        <v>1177.51278882407</v>
      </c>
      <c r="L1458" s="31" t="n">
        <f aca="false">(t1_usd*J1458+t2_usd*K1458)/1000</f>
        <v>9951.12791548265</v>
      </c>
    </row>
    <row r="1459" customFormat="false" ht="15" hidden="false" customHeight="false" outlineLevel="0" collapsed="false">
      <c r="E1459" s="54" t="n">
        <v>1455</v>
      </c>
      <c r="F1459" s="61" t="n">
        <v>0.385311</v>
      </c>
      <c r="G1459" s="61" t="n">
        <v>0.194334</v>
      </c>
      <c r="H1459" s="34" t="n">
        <f aca="false">NORMSINV(F1459)</f>
        <v>-0.291561389521767</v>
      </c>
      <c r="I1459" s="34" t="n">
        <f aca="false">NORMSINV(G1459)</f>
        <v>-0.862035468932488</v>
      </c>
      <c r="J1459" s="59" t="n">
        <f aca="false">mc_s0*EXP((mc_mu-mc_vol^2/2)*mc_t1+mc_vol*SQRT(mc_t1)*H1459)</f>
        <v>1114.78294101316</v>
      </c>
      <c r="K1459" s="59" t="n">
        <f aca="false">J1459*EXP((mc_mu-mc_vol^2/2)*(mc_t2-mc_t1)+mc_vol*SQRT(mc_t2-mc_t1)*I1459)</f>
        <v>990.996266334349</v>
      </c>
      <c r="L1459" s="31" t="n">
        <f aca="false">(t1_usd*J1459+t2_usd*K1459)/1000</f>
        <v>9686.37349312742</v>
      </c>
    </row>
    <row r="1460" customFormat="false" ht="15" hidden="false" customHeight="false" outlineLevel="0" collapsed="false">
      <c r="E1460" s="54" t="n">
        <v>1456</v>
      </c>
      <c r="F1460" s="61" t="n">
        <v>0.785015</v>
      </c>
      <c r="G1460" s="61" t="n">
        <v>0.576661</v>
      </c>
      <c r="H1460" s="34" t="n">
        <f aca="false">NORMSINV(F1460)</f>
        <v>0.789242990119476</v>
      </c>
      <c r="I1460" s="34" t="n">
        <f aca="false">NORMSINV(G1460)</f>
        <v>0.193358773616948</v>
      </c>
      <c r="J1460" s="59" t="n">
        <f aca="false">mc_s0*EXP((mc_mu-mc_vol^2/2)*mc_t1+mc_vol*SQRT(mc_t1)*H1460)</f>
        <v>1236.02549501029</v>
      </c>
      <c r="K1460" s="59" t="n">
        <f aca="false">J1460*EXP((mc_mu-mc_vol^2/2)*(mc_t2-mc_t1)+mc_vol*SQRT(mc_t2-mc_t1)*I1460)</f>
        <v>1297.60429523514</v>
      </c>
      <c r="L1460" s="31" t="n">
        <f aca="false">(t1_usd*J1460+t2_usd*K1460)/1000</f>
        <v>11117.6266260188</v>
      </c>
    </row>
    <row r="1461" customFormat="false" ht="15" hidden="false" customHeight="false" outlineLevel="0" collapsed="false">
      <c r="E1461" s="54" t="n">
        <v>1457</v>
      </c>
      <c r="F1461" s="61" t="n">
        <v>0.372542</v>
      </c>
      <c r="G1461" s="61" t="n">
        <v>0.078288</v>
      </c>
      <c r="H1461" s="34" t="n">
        <f aca="false">NORMSINV(F1461)</f>
        <v>-0.325128261931251</v>
      </c>
      <c r="I1461" s="34" t="n">
        <f aca="false">NORMSINV(G1461)</f>
        <v>-1.41668173339321</v>
      </c>
      <c r="J1461" s="59" t="n">
        <f aca="false">mc_s0*EXP((mc_mu-mc_vol^2/2)*mc_t1+mc_vol*SQRT(mc_t1)*H1461)</f>
        <v>1111.21423011274</v>
      </c>
      <c r="K1461" s="59" t="n">
        <f aca="false">J1461*EXP((mc_mu-mc_vol^2/2)*(mc_t2-mc_t1)+mc_vol*SQRT(mc_t2-mc_t1)*I1461)</f>
        <v>905.145669689391</v>
      </c>
      <c r="L1461" s="31" t="n">
        <f aca="false">(t1_usd*J1461+t2_usd*K1461)/1000</f>
        <v>9498.27638319904</v>
      </c>
    </row>
    <row r="1462" customFormat="false" ht="15" hidden="false" customHeight="false" outlineLevel="0" collapsed="false">
      <c r="E1462" s="54" t="n">
        <v>1458</v>
      </c>
      <c r="F1462" s="61" t="n">
        <v>0.102842</v>
      </c>
      <c r="G1462" s="61" t="n">
        <v>0.322858</v>
      </c>
      <c r="H1462" s="34" t="n">
        <f aca="false">NORMSINV(F1462)</f>
        <v>-1.26552274559381</v>
      </c>
      <c r="I1462" s="34" t="n">
        <f aca="false">NORMSINV(G1462)</f>
        <v>-0.459721688327986</v>
      </c>
      <c r="J1462" s="59" t="n">
        <f aca="false">mc_s0*EXP((mc_mu-mc_vol^2/2)*mc_t1+mc_vol*SQRT(mc_t1)*H1462)</f>
        <v>1015.74706733096</v>
      </c>
      <c r="K1462" s="59" t="n">
        <f aca="false">J1462*EXP((mc_mu-mc_vol^2/2)*(mc_t2-mc_t1)+mc_vol*SQRT(mc_t2-mc_t1)*I1462)</f>
        <v>962.060498540491</v>
      </c>
      <c r="L1462" s="31" t="n">
        <f aca="false">(t1_usd*J1462+t2_usd*K1462)/1000</f>
        <v>8938.14441854368</v>
      </c>
    </row>
    <row r="1463" customFormat="false" ht="15" hidden="false" customHeight="false" outlineLevel="0" collapsed="false">
      <c r="E1463" s="54" t="n">
        <v>1459</v>
      </c>
      <c r="F1463" s="61" t="n">
        <v>0.576043</v>
      </c>
      <c r="G1463" s="61" t="n">
        <v>0.762731</v>
      </c>
      <c r="H1463" s="34" t="n">
        <f aca="false">NORMSINV(F1463)</f>
        <v>0.19178068660418</v>
      </c>
      <c r="I1463" s="34" t="n">
        <f aca="false">NORMSINV(G1463)</f>
        <v>0.715114977243184</v>
      </c>
      <c r="J1463" s="59" t="n">
        <f aca="false">mc_s0*EXP((mc_mu-mc_vol^2/2)*mc_t1+mc_vol*SQRT(mc_t1)*H1463)</f>
        <v>1167.45926386383</v>
      </c>
      <c r="K1463" s="59" t="n">
        <f aca="false">J1463*EXP((mc_mu-mc_vol^2/2)*(mc_t2-mc_t1)+mc_vol*SQRT(mc_t2-mc_t1)*I1463)</f>
        <v>1330.65829201252</v>
      </c>
      <c r="L1463" s="31" t="n">
        <f aca="false">(t1_usd*J1463+t2_usd*K1463)/1000</f>
        <v>10700.4656018706</v>
      </c>
    </row>
    <row r="1464" customFormat="false" ht="15" hidden="false" customHeight="false" outlineLevel="0" collapsed="false">
      <c r="E1464" s="54" t="n">
        <v>1460</v>
      </c>
      <c r="F1464" s="61" t="n">
        <v>0.443242</v>
      </c>
      <c r="G1464" s="61" t="n">
        <v>0.581598</v>
      </c>
      <c r="H1464" s="34" t="n">
        <f aca="false">NORMSINV(F1464)</f>
        <v>-0.14275459201907</v>
      </c>
      <c r="I1464" s="34" t="n">
        <f aca="false">NORMSINV(G1464)</f>
        <v>0.205983243998528</v>
      </c>
      <c r="J1464" s="59" t="n">
        <f aca="false">mc_s0*EXP((mc_mu-mc_vol^2/2)*mc_t1+mc_vol*SQRT(mc_t1)*H1464)</f>
        <v>1130.74208566825</v>
      </c>
      <c r="K1464" s="59" t="n">
        <f aca="false">J1464*EXP((mc_mu-mc_vol^2/2)*(mc_t2-mc_t1)+mc_vol*SQRT(mc_t2-mc_t1)*I1464)</f>
        <v>1189.43973995311</v>
      </c>
      <c r="L1464" s="31" t="n">
        <f aca="false">(t1_usd*J1464+t2_usd*K1464)/1000</f>
        <v>10175.1301055886</v>
      </c>
    </row>
    <row r="1465" customFormat="false" ht="15" hidden="false" customHeight="false" outlineLevel="0" collapsed="false">
      <c r="E1465" s="54" t="n">
        <v>1461</v>
      </c>
      <c r="F1465" s="61" t="n">
        <v>0.547117</v>
      </c>
      <c r="G1465" s="61" t="n">
        <v>0.373158</v>
      </c>
      <c r="H1465" s="34" t="n">
        <f aca="false">NORMSINV(F1465)</f>
        <v>0.118380721972526</v>
      </c>
      <c r="I1465" s="34" t="n">
        <f aca="false">NORMSINV(G1465)</f>
        <v>-0.323500802326468</v>
      </c>
      <c r="J1465" s="59" t="n">
        <f aca="false">mc_s0*EXP((mc_mu-mc_vol^2/2)*mc_t1+mc_vol*SQRT(mc_t1)*H1465)</f>
        <v>1159.30241851576</v>
      </c>
      <c r="K1465" s="59" t="n">
        <f aca="false">J1465*EXP((mc_mu-mc_vol^2/2)*(mc_t2-mc_t1)+mc_vol*SQRT(mc_t2-mc_t1)*I1465)</f>
        <v>1121.85507873352</v>
      </c>
      <c r="L1465" s="31" t="n">
        <f aca="false">(t1_usd*J1465+t2_usd*K1465)/1000</f>
        <v>10246.641579204</v>
      </c>
    </row>
    <row r="1466" customFormat="false" ht="15" hidden="false" customHeight="false" outlineLevel="0" collapsed="false">
      <c r="E1466" s="54" t="n">
        <v>1462</v>
      </c>
      <c r="F1466" s="61" t="n">
        <v>0.794952</v>
      </c>
      <c r="G1466" s="61" t="n">
        <v>0.996459</v>
      </c>
      <c r="H1466" s="34" t="n">
        <f aca="false">NORMSINV(F1466)</f>
        <v>0.823724702722482</v>
      </c>
      <c r="I1466" s="34" t="n">
        <f aca="false">NORMSINV(G1466)</f>
        <v>2.69296360185326</v>
      </c>
      <c r="J1466" s="59" t="n">
        <f aca="false">mc_s0*EXP((mc_mu-mc_vol^2/2)*mc_t1+mc_vol*SQRT(mc_t1)*H1466)</f>
        <v>1240.10340784298</v>
      </c>
      <c r="K1466" s="59" t="n">
        <f aca="false">J1466*EXP((mc_mu-mc_vol^2/2)*(mc_t2-mc_t1)+mc_vol*SQRT(mc_t2-mc_t1)*I1466)</f>
        <v>1930.41348300729</v>
      </c>
      <c r="L1466" s="31" t="n">
        <f aca="false">(t1_usd*J1466+t2_usd*K1466)/1000</f>
        <v>12348.5094726147</v>
      </c>
    </row>
    <row r="1467" customFormat="false" ht="15" hidden="false" customHeight="false" outlineLevel="0" collapsed="false">
      <c r="E1467" s="54" t="n">
        <v>1463</v>
      </c>
      <c r="F1467" s="61" t="n">
        <v>0.69219</v>
      </c>
      <c r="G1467" s="61" t="n">
        <v>0.285724</v>
      </c>
      <c r="H1467" s="34" t="n">
        <f aca="false">NORMSINV(F1467)</f>
        <v>0.502067557668966</v>
      </c>
      <c r="I1467" s="34" t="n">
        <f aca="false">NORMSINV(G1467)</f>
        <v>-0.565920242794128</v>
      </c>
      <c r="J1467" s="59" t="n">
        <f aca="false">mc_s0*EXP((mc_mu-mc_vol^2/2)*mc_t1+mc_vol*SQRT(mc_t1)*H1467)</f>
        <v>1202.57998293861</v>
      </c>
      <c r="K1467" s="59" t="n">
        <f aca="false">J1467*EXP((mc_mu-mc_vol^2/2)*(mc_t2-mc_t1)+mc_vol*SQRT(mc_t2-mc_t1)*I1467)</f>
        <v>1120.11432280405</v>
      </c>
      <c r="L1467" s="31" t="n">
        <f aca="false">(t1_usd*J1467+t2_usd*K1467)/1000</f>
        <v>10546.277093898</v>
      </c>
    </row>
    <row r="1468" customFormat="false" ht="15" hidden="false" customHeight="false" outlineLevel="0" collapsed="false">
      <c r="E1468" s="54" t="n">
        <v>1464</v>
      </c>
      <c r="F1468" s="61" t="n">
        <v>0.173626</v>
      </c>
      <c r="G1468" s="61" t="n">
        <v>0.532787</v>
      </c>
      <c r="H1468" s="34" t="n">
        <f aca="false">NORMSINV(F1468)</f>
        <v>-0.939932861421923</v>
      </c>
      <c r="I1468" s="34" t="n">
        <f aca="false">NORMSINV(G1468)</f>
        <v>0.0822775580309106</v>
      </c>
      <c r="J1468" s="59" t="n">
        <f aca="false">mc_s0*EXP((mc_mu-mc_vol^2/2)*mc_t1+mc_vol*SQRT(mc_t1)*H1468)</f>
        <v>1047.8344115284</v>
      </c>
      <c r="K1468" s="59" t="n">
        <f aca="false">J1468*EXP((mc_mu-mc_vol^2/2)*(mc_t2-mc_t1)+mc_vol*SQRT(mc_t2-mc_t1)*I1468)</f>
        <v>1080.94823756741</v>
      </c>
      <c r="L1468" s="31" t="n">
        <f aca="false">(t1_usd*J1468+t2_usd*K1468)/1000</f>
        <v>9388.64253207685</v>
      </c>
    </row>
    <row r="1469" customFormat="false" ht="15" hidden="false" customHeight="false" outlineLevel="0" collapsed="false">
      <c r="E1469" s="54" t="n">
        <v>1465</v>
      </c>
      <c r="F1469" s="61" t="n">
        <v>0.206004</v>
      </c>
      <c r="G1469" s="61" t="n">
        <v>0.533435</v>
      </c>
      <c r="H1469" s="34" t="n">
        <f aca="false">NORMSINV(F1469)</f>
        <v>-0.820365108387215</v>
      </c>
      <c r="I1469" s="34" t="n">
        <f aca="false">NORMSINV(G1469)</f>
        <v>0.0839074703859549</v>
      </c>
      <c r="J1469" s="59" t="n">
        <f aca="false">mc_s0*EXP((mc_mu-mc_vol^2/2)*mc_t1+mc_vol*SQRT(mc_t1)*H1469)</f>
        <v>1059.87077975638</v>
      </c>
      <c r="K1469" s="59" t="n">
        <f aca="false">J1469*EXP((mc_mu-mc_vol^2/2)*(mc_t2-mc_t1)+mc_vol*SQRT(mc_t2-mc_t1)*I1469)</f>
        <v>1093.64586216972</v>
      </c>
      <c r="L1469" s="31" t="n">
        <f aca="false">(t1_usd*J1469+t2_usd*K1469)/1000</f>
        <v>9497.02259641711</v>
      </c>
    </row>
    <row r="1470" customFormat="false" ht="15" hidden="false" customHeight="false" outlineLevel="0" collapsed="false">
      <c r="E1470" s="54" t="n">
        <v>1466</v>
      </c>
      <c r="F1470" s="61" t="n">
        <v>0.778718</v>
      </c>
      <c r="G1470" s="61" t="n">
        <v>0.174737</v>
      </c>
      <c r="H1470" s="34" t="n">
        <f aca="false">NORMSINV(F1470)</f>
        <v>0.767870710378457</v>
      </c>
      <c r="I1470" s="34" t="n">
        <f aca="false">NORMSINV(G1470)</f>
        <v>-0.935610046520142</v>
      </c>
      <c r="J1470" s="59" t="n">
        <f aca="false">mc_s0*EXP((mc_mu-mc_vol^2/2)*mc_t1+mc_vol*SQRT(mc_t1)*H1470)</f>
        <v>1233.50467818087</v>
      </c>
      <c r="K1470" s="59" t="n">
        <f aca="false">J1470*EXP((mc_mu-mc_vol^2/2)*(mc_t2-mc_t1)+mc_vol*SQRT(mc_t2-mc_t1)*I1470)</f>
        <v>1083.89427943774</v>
      </c>
      <c r="L1470" s="31" t="n">
        <f aca="false">(t1_usd*J1470+t2_usd*K1470)/1000</f>
        <v>10693.9318781978</v>
      </c>
    </row>
    <row r="1471" customFormat="false" ht="15" hidden="false" customHeight="false" outlineLevel="0" collapsed="false">
      <c r="E1471" s="54" t="n">
        <v>1467</v>
      </c>
      <c r="F1471" s="61" t="n">
        <v>0.131723</v>
      </c>
      <c r="G1471" s="61" t="n">
        <v>0.062302</v>
      </c>
      <c r="H1471" s="34" t="n">
        <f aca="false">NORMSINV(F1471)</f>
        <v>-1.11828333996581</v>
      </c>
      <c r="I1471" s="34" t="n">
        <f aca="false">NORMSINV(G1471)</f>
        <v>-1.53573250278024</v>
      </c>
      <c r="J1471" s="59" t="n">
        <f aca="false">mc_s0*EXP((mc_mu-mc_vol^2/2)*mc_t1+mc_vol*SQRT(mc_t1)*H1471)</f>
        <v>1030.13417756591</v>
      </c>
      <c r="K1471" s="59" t="n">
        <f aca="false">J1471*EXP((mc_mu-mc_vol^2/2)*(mc_t2-mc_t1)+mc_vol*SQRT(mc_t2-mc_t1)*I1471)</f>
        <v>823.505348881538</v>
      </c>
      <c r="L1471" s="31" t="n">
        <f aca="false">(t1_usd*J1471+t2_usd*K1471)/1000</f>
        <v>8775.59940583631</v>
      </c>
    </row>
    <row r="1472" customFormat="false" ht="15" hidden="false" customHeight="false" outlineLevel="0" collapsed="false">
      <c r="E1472" s="54" t="n">
        <v>1468</v>
      </c>
      <c r="F1472" s="61" t="n">
        <v>0.136444</v>
      </c>
      <c r="G1472" s="61" t="n">
        <v>0.418706</v>
      </c>
      <c r="H1472" s="34" t="n">
        <f aca="false">NORMSINV(F1472)</f>
        <v>-1.09643603839032</v>
      </c>
      <c r="I1472" s="34" t="n">
        <f aca="false">NORMSINV(G1472)</f>
        <v>-0.205204952815474</v>
      </c>
      <c r="J1472" s="59" t="n">
        <f aca="false">mc_s0*EXP((mc_mu-mc_vol^2/2)*mc_t1+mc_vol*SQRT(mc_t1)*H1472)</f>
        <v>1032.28622131128</v>
      </c>
      <c r="K1472" s="59" t="n">
        <f aca="false">J1472*EXP((mc_mu-mc_vol^2/2)*(mc_t2-mc_t1)+mc_vol*SQRT(mc_t2-mc_t1)*I1472)</f>
        <v>1017.73927536913</v>
      </c>
      <c r="L1472" s="31" t="n">
        <f aca="false">(t1_usd*J1472+t2_usd*K1472)/1000</f>
        <v>9159.7081723803</v>
      </c>
    </row>
    <row r="1473" customFormat="false" ht="15" hidden="false" customHeight="false" outlineLevel="0" collapsed="false">
      <c r="E1473" s="54" t="n">
        <v>1469</v>
      </c>
      <c r="F1473" s="61" t="n">
        <v>0.298101</v>
      </c>
      <c r="G1473" s="61" t="n">
        <v>0.716738</v>
      </c>
      <c r="H1473" s="34" t="n">
        <f aca="false">NORMSINV(F1473)</f>
        <v>-0.529870097351971</v>
      </c>
      <c r="I1473" s="34" t="n">
        <f aca="false">NORMSINV(G1473)</f>
        <v>0.573178263923041</v>
      </c>
      <c r="J1473" s="59" t="n">
        <f aca="false">mc_s0*EXP((mc_mu-mc_vol^2/2)*mc_t1+mc_vol*SQRT(mc_t1)*H1473)</f>
        <v>1089.69282091925</v>
      </c>
      <c r="K1473" s="59" t="n">
        <f aca="false">J1473*EXP((mc_mu-mc_vol^2/2)*(mc_t2-mc_t1)+mc_vol*SQRT(mc_t2-mc_t1)*I1473)</f>
        <v>1214.5474498046</v>
      </c>
      <c r="L1473" s="31" t="n">
        <f aca="false">(t1_usd*J1473+t2_usd*K1473)/1000</f>
        <v>9935.48990106351</v>
      </c>
    </row>
    <row r="1474" customFormat="false" ht="15" hidden="false" customHeight="false" outlineLevel="0" collapsed="false">
      <c r="E1474" s="54" t="n">
        <v>1470</v>
      </c>
      <c r="F1474" s="61" t="n">
        <v>0.988521</v>
      </c>
      <c r="G1474" s="61" t="n">
        <v>0.739627</v>
      </c>
      <c r="H1474" s="34" t="n">
        <f aca="false">NORMSINV(F1474)</f>
        <v>2.27413285203603</v>
      </c>
      <c r="I1474" s="34" t="n">
        <f aca="false">NORMSINV(G1474)</f>
        <v>0.64219589195018</v>
      </c>
      <c r="J1474" s="59" t="n">
        <f aca="false">mc_s0*EXP((mc_mu-mc_vol^2/2)*mc_t1+mc_vol*SQRT(mc_t1)*H1474)</f>
        <v>1424.3870253686</v>
      </c>
      <c r="K1474" s="59" t="n">
        <f aca="false">J1474*EXP((mc_mu-mc_vol^2/2)*(mc_t2-mc_t1)+mc_vol*SQRT(mc_t2-mc_t1)*I1474)</f>
        <v>1604.9521926091</v>
      </c>
      <c r="L1474" s="31" t="n">
        <f aca="false">(t1_usd*J1474+t2_usd*K1474)/1000</f>
        <v>13020.1183435375</v>
      </c>
    </row>
    <row r="1475" customFormat="false" ht="15" hidden="false" customHeight="false" outlineLevel="0" collapsed="false">
      <c r="E1475" s="54" t="n">
        <v>1471</v>
      </c>
      <c r="F1475" s="61" t="n">
        <v>0.23616</v>
      </c>
      <c r="G1475" s="61" t="n">
        <v>0.572513</v>
      </c>
      <c r="H1475" s="34" t="n">
        <f aca="false">NORMSINV(F1475)</f>
        <v>-0.718709384295086</v>
      </c>
      <c r="I1475" s="34" t="n">
        <f aca="false">NORMSINV(G1475)</f>
        <v>0.182775720386436</v>
      </c>
      <c r="J1475" s="59" t="n">
        <f aca="false">mc_s0*EXP((mc_mu-mc_vol^2/2)*mc_t1+mc_vol*SQRT(mc_t1)*H1475)</f>
        <v>1070.21270285237</v>
      </c>
      <c r="K1475" s="59" t="n">
        <f aca="false">J1475*EXP((mc_mu-mc_vol^2/2)*(mc_t2-mc_t1)+mc_vol*SQRT(mc_t2-mc_t1)*I1475)</f>
        <v>1121.6584263098</v>
      </c>
      <c r="L1475" s="31" t="n">
        <f aca="false">(t1_usd*J1475+t2_usd*K1475)/1000</f>
        <v>9622.63992995518</v>
      </c>
    </row>
    <row r="1476" customFormat="false" ht="15" hidden="false" customHeight="false" outlineLevel="0" collapsed="false">
      <c r="E1476" s="54" t="n">
        <v>1472</v>
      </c>
      <c r="F1476" s="61" t="n">
        <v>0.896448</v>
      </c>
      <c r="G1476" s="61" t="n">
        <v>0.870381</v>
      </c>
      <c r="H1476" s="34" t="n">
        <f aca="false">NORMSINV(F1476)</f>
        <v>1.2615687691146</v>
      </c>
      <c r="I1476" s="34" t="n">
        <f aca="false">NORMSINV(G1476)</f>
        <v>1.12819399365281</v>
      </c>
      <c r="J1476" s="59" t="n">
        <f aca="false">mc_s0*EXP((mc_mu-mc_vol^2/2)*mc_t1+mc_vol*SQRT(mc_t1)*H1476)</f>
        <v>1293.06941579924</v>
      </c>
      <c r="K1476" s="59" t="n">
        <f aca="false">J1476*EXP((mc_mu-mc_vol^2/2)*(mc_t2-mc_t1)+mc_vol*SQRT(mc_t2-mc_t1)*I1476)</f>
        <v>1572.96313220576</v>
      </c>
      <c r="L1476" s="31" t="n">
        <f aca="false">(t1_usd*J1476+t2_usd*K1476)/1000</f>
        <v>12040.1158617856</v>
      </c>
    </row>
    <row r="1477" customFormat="false" ht="15" hidden="false" customHeight="false" outlineLevel="0" collapsed="false">
      <c r="E1477" s="54" t="n">
        <v>1473</v>
      </c>
      <c r="F1477" s="61" t="n">
        <v>0.059841</v>
      </c>
      <c r="G1477" s="61" t="n">
        <v>0.380758</v>
      </c>
      <c r="H1477" s="34" t="n">
        <f aca="false">NORMSINV(F1477)</f>
        <v>-1.55610973710713</v>
      </c>
      <c r="I1477" s="34" t="n">
        <f aca="false">NORMSINV(G1477)</f>
        <v>-0.303490613127323</v>
      </c>
      <c r="J1477" s="59" t="n">
        <f aca="false">mc_s0*EXP((mc_mu-mc_vol^2/2)*mc_t1+mc_vol*SQRT(mc_t1)*H1477)</f>
        <v>987.940047660073</v>
      </c>
      <c r="K1477" s="59" t="n">
        <f aca="false">J1477*EXP((mc_mu-mc_vol^2/2)*(mc_t2-mc_t1)+mc_vol*SQRT(mc_t2-mc_t1)*I1477)</f>
        <v>959.047552993341</v>
      </c>
      <c r="L1477" s="31" t="n">
        <f aca="false">(t1_usd*J1477+t2_usd*K1477)/1000</f>
        <v>8737.77068430785</v>
      </c>
    </row>
    <row r="1478" customFormat="false" ht="15" hidden="false" customHeight="false" outlineLevel="0" collapsed="false">
      <c r="E1478" s="54" t="n">
        <v>1474</v>
      </c>
      <c r="F1478" s="61" t="n">
        <v>0.496254</v>
      </c>
      <c r="G1478" s="61" t="n">
        <v>0.401211</v>
      </c>
      <c r="H1478" s="34" t="n">
        <f aca="false">NORMSINV(F1478)</f>
        <v>-0.00938996750284666</v>
      </c>
      <c r="I1478" s="34" t="n">
        <f aca="false">NORMSINV(G1478)</f>
        <v>-0.250213817803404</v>
      </c>
      <c r="J1478" s="59" t="n">
        <f aca="false">mc_s0*EXP((mc_mu-mc_vol^2/2)*mc_t1+mc_vol*SQRT(mc_t1)*H1478)</f>
        <v>1145.2391378319</v>
      </c>
      <c r="K1478" s="59" t="n">
        <f aca="false">J1478*EXP((mc_mu-mc_vol^2/2)*(mc_t2-mc_t1)+mc_vol*SQRT(mc_t2-mc_t1)*I1478)</f>
        <v>1121.11998705475</v>
      </c>
      <c r="L1478" s="31" t="n">
        <f aca="false">(t1_usd*J1478+t2_usd*K1478)/1000</f>
        <v>10146.8019402273</v>
      </c>
    </row>
    <row r="1479" customFormat="false" ht="15" hidden="false" customHeight="false" outlineLevel="0" collapsed="false">
      <c r="E1479" s="54" t="n">
        <v>1475</v>
      </c>
      <c r="F1479" s="61" t="n">
        <v>0.054175</v>
      </c>
      <c r="G1479" s="61" t="n">
        <v>0.304435</v>
      </c>
      <c r="H1479" s="34" t="n">
        <f aca="false">NORMSINV(F1479)</f>
        <v>-1.60565378887395</v>
      </c>
      <c r="I1479" s="34" t="n">
        <f aca="false">NORMSINV(G1479)</f>
        <v>-0.511687122632387</v>
      </c>
      <c r="J1479" s="59" t="n">
        <f aca="false">mc_s0*EXP((mc_mu-mc_vol^2/2)*mc_t1+mc_vol*SQRT(mc_t1)*H1479)</f>
        <v>983.275590597005</v>
      </c>
      <c r="K1479" s="59" t="n">
        <f aca="false">J1479*EXP((mc_mu-mc_vol^2/2)*(mc_t2-mc_t1)+mc_vol*SQRT(mc_t2-mc_t1)*I1479)</f>
        <v>923.70959192775</v>
      </c>
      <c r="L1479" s="31" t="n">
        <f aca="false">(t1_usd*J1479+t2_usd*K1479)/1000</f>
        <v>8637.97735884176</v>
      </c>
    </row>
    <row r="1480" customFormat="false" ht="15" hidden="false" customHeight="false" outlineLevel="0" collapsed="false">
      <c r="E1480" s="54" t="n">
        <v>1476</v>
      </c>
      <c r="F1480" s="61" t="n">
        <v>0.332513</v>
      </c>
      <c r="G1480" s="61" t="n">
        <v>0.689296</v>
      </c>
      <c r="H1480" s="34" t="n">
        <f aca="false">NORMSINV(F1480)</f>
        <v>-0.432984541843181</v>
      </c>
      <c r="I1480" s="34" t="n">
        <f aca="false">NORMSINV(G1480)</f>
        <v>0.49385583112583</v>
      </c>
      <c r="J1480" s="59" t="n">
        <f aca="false">mc_s0*EXP((mc_mu-mc_vol^2/2)*mc_t1+mc_vol*SQRT(mc_t1)*H1480)</f>
        <v>1099.8244800212</v>
      </c>
      <c r="K1480" s="59" t="n">
        <f aca="false">J1480*EXP((mc_mu-mc_vol^2/2)*(mc_t2-mc_t1)+mc_vol*SQRT(mc_t2-mc_t1)*I1480)</f>
        <v>1210.61152531197</v>
      </c>
      <c r="L1480" s="31" t="n">
        <f aca="false">(t1_usd*J1480+t2_usd*K1480)/1000</f>
        <v>9998.93325824113</v>
      </c>
    </row>
    <row r="1481" customFormat="false" ht="15" hidden="false" customHeight="false" outlineLevel="0" collapsed="false">
      <c r="E1481" s="54" t="n">
        <v>1477</v>
      </c>
      <c r="F1481" s="61" t="n">
        <v>0.732894</v>
      </c>
      <c r="G1481" s="61" t="n">
        <v>0.664835</v>
      </c>
      <c r="H1481" s="34" t="n">
        <f aca="false">NORMSINV(F1481)</f>
        <v>0.621589237035559</v>
      </c>
      <c r="I1481" s="34" t="n">
        <f aca="false">NORMSINV(G1481)</f>
        <v>0.425695145313473</v>
      </c>
      <c r="J1481" s="59" t="n">
        <f aca="false">mc_s0*EXP((mc_mu-mc_vol^2/2)*mc_t1+mc_vol*SQRT(mc_t1)*H1481)</f>
        <v>1216.38854450946</v>
      </c>
      <c r="K1481" s="59" t="n">
        <f aca="false">J1481*EXP((mc_mu-mc_vol^2/2)*(mc_t2-mc_t1)+mc_vol*SQRT(mc_t2-mc_t1)*I1481)</f>
        <v>1324.61204456223</v>
      </c>
      <c r="L1481" s="31" t="n">
        <f aca="false">(t1_usd*J1481+t2_usd*K1481)/1000</f>
        <v>11031.4826962345</v>
      </c>
    </row>
    <row r="1482" customFormat="false" ht="15" hidden="false" customHeight="false" outlineLevel="0" collapsed="false">
      <c r="E1482" s="54" t="n">
        <v>1478</v>
      </c>
      <c r="F1482" s="61" t="n">
        <v>0.174916</v>
      </c>
      <c r="G1482" s="61" t="n">
        <v>0.649509</v>
      </c>
      <c r="H1482" s="34" t="n">
        <f aca="false">NORMSINV(F1482)</f>
        <v>-0.934915205944575</v>
      </c>
      <c r="I1482" s="34" t="n">
        <f aca="false">NORMSINV(G1482)</f>
        <v>0.383995206933137</v>
      </c>
      <c r="J1482" s="59" t="n">
        <f aca="false">mc_s0*EXP((mc_mu-mc_vol^2/2)*mc_t1+mc_vol*SQRT(mc_t1)*H1482)</f>
        <v>1048.33675854493</v>
      </c>
      <c r="K1482" s="59" t="n">
        <f aca="false">J1482*EXP((mc_mu-mc_vol^2/2)*(mc_t2-mc_t1)+mc_vol*SQRT(mc_t2-mc_t1)*I1482)</f>
        <v>1134.13086835736</v>
      </c>
      <c r="L1482" s="31" t="n">
        <f aca="false">(t1_usd*J1482+t2_usd*K1482)/1000</f>
        <v>9493.20595969349</v>
      </c>
    </row>
    <row r="1483" customFormat="false" ht="15" hidden="false" customHeight="false" outlineLevel="0" collapsed="false">
      <c r="E1483" s="54" t="n">
        <v>1479</v>
      </c>
      <c r="F1483" s="61" t="n">
        <v>0.456018</v>
      </c>
      <c r="G1483" s="61" t="n">
        <v>0.112418</v>
      </c>
      <c r="H1483" s="34" t="n">
        <f aca="false">NORMSINV(F1483)</f>
        <v>-0.110470807984079</v>
      </c>
      <c r="I1483" s="34" t="n">
        <f aca="false">NORMSINV(G1483)</f>
        <v>-1.21376886185459</v>
      </c>
      <c r="J1483" s="59" t="n">
        <f aca="false">mc_s0*EXP((mc_mu-mc_vol^2/2)*mc_t1+mc_vol*SQRT(mc_t1)*H1483)</f>
        <v>1134.23448629128</v>
      </c>
      <c r="K1483" s="59" t="n">
        <f aca="false">J1483*EXP((mc_mu-mc_vol^2/2)*(mc_t2-mc_t1)+mc_vol*SQRT(mc_t2-mc_t1)*I1483)</f>
        <v>953.918486453643</v>
      </c>
      <c r="L1483" s="31" t="n">
        <f aca="false">(t1_usd*J1483+t2_usd*K1483)/1000</f>
        <v>9752.08652830091</v>
      </c>
    </row>
    <row r="1484" customFormat="false" ht="15" hidden="false" customHeight="false" outlineLevel="0" collapsed="false">
      <c r="E1484" s="54" t="n">
        <v>1480</v>
      </c>
      <c r="F1484" s="61" t="n">
        <v>0.22011</v>
      </c>
      <c r="G1484" s="61" t="n">
        <v>0.271825</v>
      </c>
      <c r="H1484" s="34" t="n">
        <f aca="false">NORMSINV(F1484)</f>
        <v>-0.771821763290868</v>
      </c>
      <c r="I1484" s="34" t="n">
        <f aca="false">NORMSINV(G1484)</f>
        <v>-0.607302770610479</v>
      </c>
      <c r="J1484" s="59" t="n">
        <f aca="false">mc_s0*EXP((mc_mu-mc_vol^2/2)*mc_t1+mc_vol*SQRT(mc_t1)*H1484)</f>
        <v>1064.79679970754</v>
      </c>
      <c r="K1484" s="59" t="n">
        <f aca="false">J1484*EXP((mc_mu-mc_vol^2/2)*(mc_t2-mc_t1)+mc_vol*SQRT(mc_t2-mc_t1)*I1484)</f>
        <v>985.332527881133</v>
      </c>
      <c r="L1484" s="31" t="n">
        <f aca="false">(t1_usd*J1484+t2_usd*K1484)/1000</f>
        <v>9325.70940092691</v>
      </c>
    </row>
    <row r="1485" customFormat="false" ht="15" hidden="false" customHeight="false" outlineLevel="0" collapsed="false">
      <c r="E1485" s="54" t="n">
        <v>1481</v>
      </c>
      <c r="F1485" s="61" t="n">
        <v>0.00503</v>
      </c>
      <c r="G1485" s="61" t="n">
        <v>0.888611</v>
      </c>
      <c r="H1485" s="34" t="n">
        <f aca="false">NORMSINV(F1485)</f>
        <v>-2.57376010054593</v>
      </c>
      <c r="I1485" s="34" t="n">
        <f aca="false">NORMSINV(G1485)</f>
        <v>1.21917441632339</v>
      </c>
      <c r="J1485" s="59" t="n">
        <f aca="false">mc_s0*EXP((mc_mu-mc_vol^2/2)*mc_t1+mc_vol*SQRT(mc_t1)*H1485)</f>
        <v>896.423879751979</v>
      </c>
      <c r="K1485" s="59" t="n">
        <f aca="false">J1485*EXP((mc_mu-mc_vol^2/2)*(mc_t2-mc_t1)+mc_vol*SQRT(mc_t2-mc_t1)*I1485)</f>
        <v>1106.20849700132</v>
      </c>
      <c r="L1485" s="31" t="n">
        <f aca="false">(t1_usd*J1485+t2_usd*K1485)/1000</f>
        <v>8376.76330256635</v>
      </c>
    </row>
    <row r="1486" customFormat="false" ht="15" hidden="false" customHeight="false" outlineLevel="0" collapsed="false">
      <c r="E1486" s="54" t="n">
        <v>1482</v>
      </c>
      <c r="F1486" s="61" t="n">
        <v>0.828092</v>
      </c>
      <c r="G1486" s="61" t="n">
        <v>0.219258</v>
      </c>
      <c r="H1486" s="34" t="n">
        <f aca="false">NORMSINV(F1486)</f>
        <v>0.946652269021901</v>
      </c>
      <c r="I1486" s="34" t="n">
        <f aca="false">NORMSINV(G1486)</f>
        <v>-0.77470160905226</v>
      </c>
      <c r="J1486" s="59" t="n">
        <f aca="false">mc_s0*EXP((mc_mu-mc_vol^2/2)*mc_t1+mc_vol*SQRT(mc_t1)*H1486)</f>
        <v>1254.7509835317</v>
      </c>
      <c r="K1486" s="59" t="n">
        <f aca="false">J1486*EXP((mc_mu-mc_vol^2/2)*(mc_t2-mc_t1)+mc_vol*SQRT(mc_t2-mc_t1)*I1486)</f>
        <v>1130.88004366477</v>
      </c>
      <c r="L1486" s="31" t="n">
        <f aca="false">(t1_usd*J1486+t2_usd*K1486)/1000</f>
        <v>10931.9289676849</v>
      </c>
    </row>
    <row r="1487" customFormat="false" ht="15" hidden="false" customHeight="false" outlineLevel="0" collapsed="false">
      <c r="E1487" s="54" t="n">
        <v>1483</v>
      </c>
      <c r="F1487" s="61" t="n">
        <v>0.344025</v>
      </c>
      <c r="G1487" s="61" t="n">
        <v>0.796781</v>
      </c>
      <c r="H1487" s="34" t="n">
        <f aca="false">NORMSINV(F1487)</f>
        <v>-0.401502768858873</v>
      </c>
      <c r="I1487" s="34" t="n">
        <f aca="false">NORMSINV(G1487)</f>
        <v>0.830178268624569</v>
      </c>
      <c r="J1487" s="59" t="n">
        <f aca="false">mc_s0*EXP((mc_mu-mc_vol^2/2)*mc_t1+mc_vol*SQRT(mc_t1)*H1487)</f>
        <v>1103.13687400906</v>
      </c>
      <c r="K1487" s="59" t="n">
        <f aca="false">J1487*EXP((mc_mu-mc_vol^2/2)*(mc_t2-mc_t1)+mc_vol*SQRT(mc_t2-mc_t1)*I1487)</f>
        <v>1280.35191694036</v>
      </c>
      <c r="L1487" s="31" t="n">
        <f aca="false">(t1_usd*J1487+t2_usd*K1487)/1000</f>
        <v>10154.6267602501</v>
      </c>
    </row>
    <row r="1488" customFormat="false" ht="15" hidden="false" customHeight="false" outlineLevel="0" collapsed="false">
      <c r="E1488" s="54" t="n">
        <v>1484</v>
      </c>
      <c r="F1488" s="61" t="n">
        <v>0.904585</v>
      </c>
      <c r="G1488" s="61" t="n">
        <v>0.027727</v>
      </c>
      <c r="H1488" s="34" t="n">
        <f aca="false">NORMSINV(F1488)</f>
        <v>1.30812769874463</v>
      </c>
      <c r="I1488" s="34" t="n">
        <f aca="false">NORMSINV(G1488)</f>
        <v>-1.91530200544386</v>
      </c>
      <c r="J1488" s="59" t="n">
        <f aca="false">mc_s0*EXP((mc_mu-mc_vol^2/2)*mc_t1+mc_vol*SQRT(mc_t1)*H1488)</f>
        <v>1298.83306024662</v>
      </c>
      <c r="K1488" s="59" t="n">
        <f aca="false">J1488*EXP((mc_mu-mc_vol^2/2)*(mc_t2-mc_t1)+mc_vol*SQRT(mc_t2-mc_t1)*I1488)</f>
        <v>978.019515944932</v>
      </c>
      <c r="L1488" s="31" t="n">
        <f aca="false">(t1_usd*J1488+t2_usd*K1488)/1000</f>
        <v>10950.0685020217</v>
      </c>
    </row>
    <row r="1489" customFormat="false" ht="15" hidden="false" customHeight="false" outlineLevel="0" collapsed="false">
      <c r="E1489" s="54" t="n">
        <v>1485</v>
      </c>
      <c r="F1489" s="61" t="n">
        <v>0.368619</v>
      </c>
      <c r="G1489" s="61" t="n">
        <v>0.542676</v>
      </c>
      <c r="H1489" s="34" t="n">
        <f aca="false">NORMSINV(F1489)</f>
        <v>-0.335513185463182</v>
      </c>
      <c r="I1489" s="34" t="n">
        <f aca="false">NORMSINV(G1489)</f>
        <v>0.107177707984916</v>
      </c>
      <c r="J1489" s="59" t="n">
        <f aca="false">mc_s0*EXP((mc_mu-mc_vol^2/2)*mc_t1+mc_vol*SQRT(mc_t1)*H1489)</f>
        <v>1110.11245754399</v>
      </c>
      <c r="K1489" s="59" t="n">
        <f aca="false">J1489*EXP((mc_mu-mc_vol^2/2)*(mc_t2-mc_t1)+mc_vol*SQRT(mc_t2-mc_t1)*I1489)</f>
        <v>1149.69708359513</v>
      </c>
      <c r="L1489" s="31" t="n">
        <f aca="false">(t1_usd*J1489+t2_usd*K1489)/1000</f>
        <v>9955.21166163864</v>
      </c>
    </row>
    <row r="1490" customFormat="false" ht="15" hidden="false" customHeight="false" outlineLevel="0" collapsed="false">
      <c r="E1490" s="54" t="n">
        <v>1486</v>
      </c>
      <c r="F1490" s="61" t="n">
        <v>0.978755</v>
      </c>
      <c r="G1490" s="61" t="n">
        <v>0.593862</v>
      </c>
      <c r="H1490" s="34" t="n">
        <f aca="false">NORMSINV(F1490)</f>
        <v>2.02868877431994</v>
      </c>
      <c r="I1490" s="34" t="n">
        <f aca="false">NORMSINV(G1490)</f>
        <v>0.237490871694546</v>
      </c>
      <c r="J1490" s="59" t="n">
        <f aca="false">mc_s0*EXP((mc_mu-mc_vol^2/2)*mc_t1+mc_vol*SQRT(mc_t1)*H1490)</f>
        <v>1391.38005637042</v>
      </c>
      <c r="K1490" s="59" t="n">
        <f aca="false">J1490*EXP((mc_mu-mc_vol^2/2)*(mc_t2-mc_t1)+mc_vol*SQRT(mc_t2-mc_t1)*I1490)</f>
        <v>1470.89307170235</v>
      </c>
      <c r="L1490" s="31" t="n">
        <f aca="false">(t1_usd*J1490+t2_usd*K1490)/1000</f>
        <v>12534.3572308274</v>
      </c>
    </row>
    <row r="1491" customFormat="false" ht="15" hidden="false" customHeight="false" outlineLevel="0" collapsed="false">
      <c r="E1491" s="54" t="n">
        <v>1487</v>
      </c>
      <c r="F1491" s="61" t="n">
        <v>0.536589</v>
      </c>
      <c r="G1491" s="61" t="n">
        <v>0.789208</v>
      </c>
      <c r="H1491" s="34" t="n">
        <f aca="false">NORMSINV(F1491)</f>
        <v>0.0918439809060547</v>
      </c>
      <c r="I1491" s="34" t="n">
        <f aca="false">NORMSINV(G1491)</f>
        <v>0.803676204725496</v>
      </c>
      <c r="J1491" s="59" t="n">
        <f aca="false">mc_s0*EXP((mc_mu-mc_vol^2/2)*mc_t1+mc_vol*SQRT(mc_t1)*H1491)</f>
        <v>1156.36747155963</v>
      </c>
      <c r="K1491" s="59" t="n">
        <f aca="false">J1491*EXP((mc_mu-mc_vol^2/2)*(mc_t2-mc_t1)+mc_vol*SQRT(mc_t2-mc_t1)*I1491)</f>
        <v>1336.54002914011</v>
      </c>
      <c r="L1491" s="31" t="n">
        <f aca="false">(t1_usd*J1491+t2_usd*K1491)/1000</f>
        <v>10633.9983562836</v>
      </c>
    </row>
    <row r="1492" customFormat="false" ht="15" hidden="false" customHeight="false" outlineLevel="0" collapsed="false">
      <c r="E1492" s="54" t="n">
        <v>1488</v>
      </c>
      <c r="F1492" s="61" t="n">
        <v>0.710576</v>
      </c>
      <c r="G1492" s="61" t="n">
        <v>0.763481</v>
      </c>
      <c r="H1492" s="34" t="n">
        <f aca="false">NORMSINV(F1492)</f>
        <v>0.555068218758828</v>
      </c>
      <c r="I1492" s="34" t="n">
        <f aca="false">NORMSINV(G1492)</f>
        <v>0.71754480612869</v>
      </c>
      <c r="J1492" s="59" t="n">
        <f aca="false">mc_s0*EXP((mc_mu-mc_vol^2/2)*mc_t1+mc_vol*SQRT(mc_t1)*H1492)</f>
        <v>1208.68379756177</v>
      </c>
      <c r="K1492" s="59" t="n">
        <f aca="false">J1492*EXP((mc_mu-mc_vol^2/2)*(mc_t2-mc_t1)+mc_vol*SQRT(mc_t2-mc_t1)*I1492)</f>
        <v>1378.17323494078</v>
      </c>
      <c r="L1492" s="31" t="n">
        <f aca="false">(t1_usd*J1492+t2_usd*K1492)/1000</f>
        <v>11079.3157293198</v>
      </c>
    </row>
    <row r="1493" customFormat="false" ht="15" hidden="false" customHeight="false" outlineLevel="0" collapsed="false">
      <c r="E1493" s="54" t="n">
        <v>1489</v>
      </c>
      <c r="F1493" s="61" t="n">
        <v>0.7465</v>
      </c>
      <c r="G1493" s="61" t="n">
        <v>0.545381</v>
      </c>
      <c r="H1493" s="34" t="n">
        <f aca="false">NORMSINV(F1493)</f>
        <v>0.663516211871457</v>
      </c>
      <c r="I1493" s="34" t="n">
        <f aca="false">NORMSINV(G1493)</f>
        <v>0.113999739433499</v>
      </c>
      <c r="J1493" s="59" t="n">
        <f aca="false">mc_s0*EXP((mc_mu-mc_vol^2/2)*mc_t1+mc_vol*SQRT(mc_t1)*H1493)</f>
        <v>1221.26991822174</v>
      </c>
      <c r="K1493" s="59" t="n">
        <f aca="false">J1493*EXP((mc_mu-mc_vol^2/2)*(mc_t2-mc_t1)+mc_vol*SQRT(mc_t2-mc_t1)*I1493)</f>
        <v>1266.17876523021</v>
      </c>
      <c r="L1493" s="31" t="n">
        <f aca="false">(t1_usd*J1493+t2_usd*K1493)/1000</f>
        <v>10954.6290814896</v>
      </c>
    </row>
    <row r="1494" customFormat="false" ht="15" hidden="false" customHeight="false" outlineLevel="0" collapsed="false">
      <c r="E1494" s="54" t="n">
        <v>1490</v>
      </c>
      <c r="F1494" s="61" t="n">
        <v>0.772393</v>
      </c>
      <c r="G1494" s="61" t="n">
        <v>0.758117</v>
      </c>
      <c r="H1494" s="34" t="n">
        <f aca="false">NORMSINV(F1494)</f>
        <v>0.746750798559159</v>
      </c>
      <c r="I1494" s="34" t="n">
        <f aca="false">NORMSINV(G1494)</f>
        <v>0.700258313850767</v>
      </c>
      <c r="J1494" s="59" t="n">
        <f aca="false">mc_s0*EXP((mc_mu-mc_vol^2/2)*mc_t1+mc_vol*SQRT(mc_t1)*H1494)</f>
        <v>1231.01867806126</v>
      </c>
      <c r="K1494" s="59" t="n">
        <f aca="false">J1494*EXP((mc_mu-mc_vol^2/2)*(mc_t2-mc_t1)+mc_vol*SQRT(mc_t2-mc_t1)*I1494)</f>
        <v>1399.82141679151</v>
      </c>
      <c r="L1494" s="31" t="n">
        <f aca="false">(t1_usd*J1494+t2_usd*K1494)/1000</f>
        <v>11276.7914383327</v>
      </c>
    </row>
    <row r="1495" customFormat="false" ht="15" hidden="false" customHeight="false" outlineLevel="0" collapsed="false">
      <c r="E1495" s="54" t="n">
        <v>1491</v>
      </c>
      <c r="F1495" s="61" t="n">
        <v>0.335842</v>
      </c>
      <c r="G1495" s="61" t="n">
        <v>0.951126</v>
      </c>
      <c r="H1495" s="34" t="n">
        <f aca="false">NORMSINV(F1495)</f>
        <v>-0.423837949069539</v>
      </c>
      <c r="I1495" s="34" t="n">
        <f aca="false">NORMSINV(G1495)</f>
        <v>1.65587073131002</v>
      </c>
      <c r="J1495" s="59" t="n">
        <f aca="false">mc_s0*EXP((mc_mu-mc_vol^2/2)*mc_t1+mc_vol*SQRT(mc_t1)*H1495)</f>
        <v>1100.78582378159</v>
      </c>
      <c r="K1495" s="59" t="n">
        <f aca="false">J1495*EXP((mc_mu-mc_vol^2/2)*(mc_t2-mc_t1)+mc_vol*SQRT(mc_t2-mc_t1)*I1495)</f>
        <v>1455.17326639615</v>
      </c>
      <c r="L1495" s="31" t="n">
        <f aca="false">(t1_usd*J1495+t2_usd*K1495)/1000</f>
        <v>10470.3299726238</v>
      </c>
    </row>
    <row r="1496" customFormat="false" ht="15" hidden="false" customHeight="false" outlineLevel="0" collapsed="false">
      <c r="E1496" s="54" t="n">
        <v>1492</v>
      </c>
      <c r="F1496" s="61" t="n">
        <v>0.10188</v>
      </c>
      <c r="G1496" s="61" t="n">
        <v>0.289299</v>
      </c>
      <c r="H1496" s="34" t="n">
        <f aca="false">NORMSINV(F1496)</f>
        <v>-1.27091187873161</v>
      </c>
      <c r="I1496" s="34" t="n">
        <f aca="false">NORMSINV(G1496)</f>
        <v>-0.555433769138547</v>
      </c>
      <c r="J1496" s="59" t="n">
        <f aca="false">mc_s0*EXP((mc_mu-mc_vol^2/2)*mc_t1+mc_vol*SQRT(mc_t1)*H1496)</f>
        <v>1015.22431141048</v>
      </c>
      <c r="K1496" s="59" t="n">
        <f aca="false">J1496*EXP((mc_mu-mc_vol^2/2)*(mc_t2-mc_t1)+mc_vol*SQRT(mc_t2-mc_t1)*I1496)</f>
        <v>947.170367966328</v>
      </c>
      <c r="L1496" s="31" t="n">
        <f aca="false">(t1_usd*J1496+t2_usd*K1496)/1000</f>
        <v>8906.19387900939</v>
      </c>
    </row>
    <row r="1497" customFormat="false" ht="15" hidden="false" customHeight="false" outlineLevel="0" collapsed="false">
      <c r="E1497" s="54" t="n">
        <v>1493</v>
      </c>
      <c r="F1497" s="61" t="n">
        <v>0.627458</v>
      </c>
      <c r="G1497" s="61" t="n">
        <v>0.05408</v>
      </c>
      <c r="H1497" s="34" t="n">
        <f aca="false">NORMSINV(F1497)</f>
        <v>0.325128261931251</v>
      </c>
      <c r="I1497" s="34" t="n">
        <f aca="false">NORMSINV(G1497)</f>
        <v>-1.60651865251122</v>
      </c>
      <c r="J1497" s="59" t="n">
        <f aca="false">mc_s0*EXP((mc_mu-mc_vol^2/2)*mc_t1+mc_vol*SQRT(mc_t1)*H1497)</f>
        <v>1182.42513505136</v>
      </c>
      <c r="K1497" s="59" t="n">
        <f aca="false">J1497*EXP((mc_mu-mc_vol^2/2)*(mc_t2-mc_t1)+mc_vol*SQRT(mc_t2-mc_t1)*I1497)</f>
        <v>934.763068502008</v>
      </c>
      <c r="L1497" s="31" t="n">
        <f aca="false">(t1_usd*J1497+t2_usd*K1497)/1000</f>
        <v>10053.0257755134</v>
      </c>
    </row>
    <row r="1498" customFormat="false" ht="15" hidden="false" customHeight="false" outlineLevel="0" collapsed="false">
      <c r="E1498" s="54" t="n">
        <v>1494</v>
      </c>
      <c r="F1498" s="61" t="n">
        <v>0.933118</v>
      </c>
      <c r="G1498" s="61" t="n">
        <v>0.040555</v>
      </c>
      <c r="H1498" s="34" t="n">
        <f aca="false">NORMSINV(F1498)</f>
        <v>1.4994227320589</v>
      </c>
      <c r="I1498" s="34" t="n">
        <f aca="false">NORMSINV(G1498)</f>
        <v>-1.74428159136136</v>
      </c>
      <c r="J1498" s="59" t="n">
        <f aca="false">mc_s0*EXP((mc_mu-mc_vol^2/2)*mc_t1+mc_vol*SQRT(mc_t1)*H1498)</f>
        <v>1322.78481039472</v>
      </c>
      <c r="K1498" s="59" t="n">
        <f aca="false">J1498*EXP((mc_mu-mc_vol^2/2)*(mc_t2-mc_t1)+mc_vol*SQRT(mc_t2-mc_t1)*I1498)</f>
        <v>1023.26552012476</v>
      </c>
      <c r="L1498" s="31" t="n">
        <f aca="false">(t1_usd*J1498+t2_usd*K1498)/1000</f>
        <v>11203.6981610001</v>
      </c>
    </row>
    <row r="1499" customFormat="false" ht="15" hidden="false" customHeight="false" outlineLevel="0" collapsed="false">
      <c r="E1499" s="54" t="n">
        <v>1495</v>
      </c>
      <c r="F1499" s="61" t="n">
        <v>0.937055</v>
      </c>
      <c r="G1499" s="61" t="n">
        <v>0.716182</v>
      </c>
      <c r="H1499" s="34" t="n">
        <f aca="false">NORMSINV(F1499)</f>
        <v>1.53051218381341</v>
      </c>
      <c r="I1499" s="34" t="n">
        <f aca="false">NORMSINV(G1499)</f>
        <v>0.571536537933302</v>
      </c>
      <c r="J1499" s="59" t="n">
        <f aca="false">mc_s0*EXP((mc_mu-mc_vol^2/2)*mc_t1+mc_vol*SQRT(mc_t1)*H1499)</f>
        <v>1326.71898421283</v>
      </c>
      <c r="K1499" s="59" t="n">
        <f aca="false">J1499*EXP((mc_mu-mc_vol^2/2)*(mc_t2-mc_t1)+mc_vol*SQRT(mc_t2-mc_t1)*I1499)</f>
        <v>1478.3490192745</v>
      </c>
      <c r="L1499" s="31" t="n">
        <f aca="false">(t1_usd*J1499+t2_usd*K1499)/1000</f>
        <v>12095.8960261113</v>
      </c>
    </row>
    <row r="1500" customFormat="false" ht="15" hidden="false" customHeight="false" outlineLevel="0" collapsed="false">
      <c r="E1500" s="54" t="n">
        <v>1496</v>
      </c>
      <c r="F1500" s="61" t="n">
        <v>0.12175</v>
      </c>
      <c r="G1500" s="61" t="n">
        <v>0.338827</v>
      </c>
      <c r="H1500" s="34" t="n">
        <f aca="false">NORMSINV(F1500)</f>
        <v>-1.16628310927058</v>
      </c>
      <c r="I1500" s="34" t="n">
        <f aca="false">NORMSINV(G1500)</f>
        <v>-0.41566657929699</v>
      </c>
      <c r="J1500" s="59" t="n">
        <f aca="false">mc_s0*EXP((mc_mu-mc_vol^2/2)*mc_t1+mc_vol*SQRT(mc_t1)*H1500)</f>
        <v>1025.42175809097</v>
      </c>
      <c r="K1500" s="59" t="n">
        <f aca="false">J1500*EXP((mc_mu-mc_vol^2/2)*(mc_t2-mc_t1)+mc_vol*SQRT(mc_t2-mc_t1)*I1500)</f>
        <v>977.990301324613</v>
      </c>
      <c r="L1500" s="31" t="n">
        <f aca="false">(t1_usd*J1500+t2_usd*K1500)/1000</f>
        <v>9036.13387915353</v>
      </c>
    </row>
    <row r="1501" customFormat="false" ht="15" hidden="false" customHeight="false" outlineLevel="0" collapsed="false">
      <c r="E1501" s="54" t="n">
        <v>1497</v>
      </c>
      <c r="F1501" s="61" t="n">
        <v>0.083518</v>
      </c>
      <c r="G1501" s="61" t="n">
        <v>0.321389</v>
      </c>
      <c r="H1501" s="34" t="n">
        <f aca="false">NORMSINV(F1501)</f>
        <v>-1.38179061993226</v>
      </c>
      <c r="I1501" s="34" t="n">
        <f aca="false">NORMSINV(G1501)</f>
        <v>-0.463818203777821</v>
      </c>
      <c r="J1501" s="59" t="n">
        <f aca="false">mc_s0*EXP((mc_mu-mc_vol^2/2)*mc_t1+mc_vol*SQRT(mc_t1)*H1501)</f>
        <v>1004.52837836379</v>
      </c>
      <c r="K1501" s="59" t="n">
        <f aca="false">J1501*EXP((mc_mu-mc_vol^2/2)*(mc_t2-mc_t1)+mc_vol*SQRT(mc_t2-mc_t1)*I1501)</f>
        <v>950.820733317465</v>
      </c>
      <c r="L1501" s="31" t="n">
        <f aca="false">(t1_usd*J1501+t2_usd*K1501)/1000</f>
        <v>8838.2580418497</v>
      </c>
    </row>
    <row r="1502" customFormat="false" ht="15" hidden="false" customHeight="false" outlineLevel="0" collapsed="false">
      <c r="E1502" s="54" t="n">
        <v>1498</v>
      </c>
      <c r="F1502" s="61" t="n">
        <v>0.487499</v>
      </c>
      <c r="G1502" s="61" t="n">
        <v>0.04817</v>
      </c>
      <c r="H1502" s="34" t="n">
        <f aca="false">NORMSINV(F1502)</f>
        <v>-0.0313404898809431</v>
      </c>
      <c r="I1502" s="34" t="n">
        <f aca="false">NORMSINV(G1502)</f>
        <v>-1.66286231199263</v>
      </c>
      <c r="J1502" s="59" t="n">
        <f aca="false">mc_s0*EXP((mc_mu-mc_vol^2/2)*mc_t1+mc_vol*SQRT(mc_t1)*H1502)</f>
        <v>1142.84034875785</v>
      </c>
      <c r="K1502" s="59" t="n">
        <f aca="false">J1502*EXP((mc_mu-mc_vol^2/2)*(mc_t2-mc_t1)+mc_vol*SQRT(mc_t2-mc_t1)*I1502)</f>
        <v>895.482685218239</v>
      </c>
      <c r="L1502" s="31" t="n">
        <f aca="false">(t1_usd*J1502+t2_usd*K1502)/1000</f>
        <v>9701.29954321962</v>
      </c>
    </row>
    <row r="1503" customFormat="false" ht="15" hidden="false" customHeight="false" outlineLevel="0" collapsed="false">
      <c r="E1503" s="54" t="n">
        <v>1499</v>
      </c>
      <c r="F1503" s="61" t="n">
        <v>0.12751</v>
      </c>
      <c r="G1503" s="61" t="n">
        <v>0.022461</v>
      </c>
      <c r="H1503" s="34" t="n">
        <f aca="false">NORMSINV(F1503)</f>
        <v>-1.13824067133414</v>
      </c>
      <c r="I1503" s="34" t="n">
        <f aca="false">NORMSINV(G1503)</f>
        <v>-2.00538410177287</v>
      </c>
      <c r="J1503" s="59" t="n">
        <f aca="false">mc_s0*EXP((mc_mu-mc_vol^2/2)*mc_t1+mc_vol*SQRT(mc_t1)*H1503)</f>
        <v>1028.17222449388</v>
      </c>
      <c r="K1503" s="59" t="n">
        <f aca="false">J1503*EXP((mc_mu-mc_vol^2/2)*(mc_t2-mc_t1)+mc_vol*SQRT(mc_t2-mc_t1)*I1503)</f>
        <v>763.298955356015</v>
      </c>
      <c r="L1503" s="31" t="n">
        <f aca="false">(t1_usd*J1503+t2_usd*K1503)/1000</f>
        <v>8647.47358663359</v>
      </c>
    </row>
    <row r="1504" customFormat="false" ht="15" hidden="false" customHeight="false" outlineLevel="0" collapsed="false">
      <c r="E1504" s="54" t="n">
        <v>1500</v>
      </c>
      <c r="F1504" s="61" t="n">
        <v>0.933136</v>
      </c>
      <c r="G1504" s="61" t="n">
        <v>0.511382</v>
      </c>
      <c r="H1504" s="34" t="n">
        <f aca="false">NORMSINV(F1504)</f>
        <v>1.4995616035069</v>
      </c>
      <c r="I1504" s="34" t="n">
        <f aca="false">NORMSINV(G1504)</f>
        <v>0.0285343146893265</v>
      </c>
      <c r="J1504" s="59" t="n">
        <f aca="false">mc_s0*EXP((mc_mu-mc_vol^2/2)*mc_t1+mc_vol*SQRT(mc_t1)*H1504)</f>
        <v>1322.8023577348</v>
      </c>
      <c r="K1504" s="59" t="n">
        <f aca="false">J1504*EXP((mc_mu-mc_vol^2/2)*(mc_t2-mc_t1)+mc_vol*SQRT(mc_t2-mc_t1)*I1504)</f>
        <v>1353.09694617198</v>
      </c>
      <c r="L1504" s="31" t="n">
        <f aca="false">(t1_usd*J1504+t2_usd*K1504)/1000</f>
        <v>11830.5007018703</v>
      </c>
    </row>
    <row r="1505" customFormat="false" ht="15" hidden="false" customHeight="false" outlineLevel="0" collapsed="false">
      <c r="E1505" s="54" t="n">
        <v>1501</v>
      </c>
      <c r="F1505" s="61" t="n">
        <v>0.225897</v>
      </c>
      <c r="G1505" s="61" t="n">
        <v>0.782455</v>
      </c>
      <c r="H1505" s="34" t="n">
        <f aca="false">NORMSINV(F1505)</f>
        <v>-0.752427523361397</v>
      </c>
      <c r="I1505" s="34" t="n">
        <f aca="false">NORMSINV(G1505)</f>
        <v>0.780511264080637</v>
      </c>
      <c r="J1505" s="59" t="n">
        <f aca="false">mc_s0*EXP((mc_mu-mc_vol^2/2)*mc_t1+mc_vol*SQRT(mc_t1)*H1505)</f>
        <v>1066.77125860369</v>
      </c>
      <c r="K1505" s="59" t="n">
        <f aca="false">J1505*EXP((mc_mu-mc_vol^2/2)*(mc_t2-mc_t1)+mc_vol*SQRT(mc_t2-mc_t1)*I1505)</f>
        <v>1228.49094150262</v>
      </c>
      <c r="L1505" s="31" t="n">
        <f aca="false">(t1_usd*J1505+t2_usd*K1505)/1000</f>
        <v>9801.53159908081</v>
      </c>
    </row>
    <row r="1506" customFormat="false" ht="15" hidden="false" customHeight="false" outlineLevel="0" collapsed="false">
      <c r="E1506" s="54" t="n">
        <v>1502</v>
      </c>
      <c r="F1506" s="61" t="n">
        <v>0.683751</v>
      </c>
      <c r="G1506" s="61" t="n">
        <v>0.451343</v>
      </c>
      <c r="H1506" s="34" t="n">
        <f aca="false">NORMSINV(F1506)</f>
        <v>0.478213858166568</v>
      </c>
      <c r="I1506" s="34" t="n">
        <f aca="false">NORMSINV(G1506)</f>
        <v>-0.12226897749477</v>
      </c>
      <c r="J1506" s="59" t="n">
        <f aca="false">mc_s0*EXP((mc_mu-mc_vol^2/2)*mc_t1+mc_vol*SQRT(mc_t1)*H1506)</f>
        <v>1199.8429421275</v>
      </c>
      <c r="K1506" s="59" t="n">
        <f aca="false">J1506*EXP((mc_mu-mc_vol^2/2)*(mc_t2-mc_t1)+mc_vol*SQRT(mc_t2-mc_t1)*I1506)</f>
        <v>1198.49740330283</v>
      </c>
      <c r="L1506" s="31" t="n">
        <f aca="false">(t1_usd*J1506+t2_usd*K1506)/1000</f>
        <v>10676.0456611679</v>
      </c>
    </row>
    <row r="1507" customFormat="false" ht="15" hidden="false" customHeight="false" outlineLevel="0" collapsed="false">
      <c r="E1507" s="54" t="n">
        <v>1503</v>
      </c>
      <c r="F1507" s="61" t="n">
        <v>0.762335</v>
      </c>
      <c r="G1507" s="61" t="n">
        <v>0.69447</v>
      </c>
      <c r="H1507" s="34" t="n">
        <f aca="false">NORMSINV(F1507)</f>
        <v>0.713833729631539</v>
      </c>
      <c r="I1507" s="34" t="n">
        <f aca="false">NORMSINV(G1507)</f>
        <v>0.508560959343671</v>
      </c>
      <c r="J1507" s="59" t="n">
        <f aca="false">mc_s0*EXP((mc_mu-mc_vol^2/2)*mc_t1+mc_vol*SQRT(mc_t1)*H1507)</f>
        <v>1227.15403448897</v>
      </c>
      <c r="K1507" s="59" t="n">
        <f aca="false">J1507*EXP((mc_mu-mc_vol^2/2)*(mc_t2-mc_t1)+mc_vol*SQRT(mc_t2-mc_t1)*I1507)</f>
        <v>1353.901121459</v>
      </c>
      <c r="L1507" s="31" t="n">
        <f aca="false">(t1_usd*J1507+t2_usd*K1507)/1000</f>
        <v>11162.4903721949</v>
      </c>
    </row>
    <row r="1508" customFormat="false" ht="15" hidden="false" customHeight="false" outlineLevel="0" collapsed="false">
      <c r="E1508" s="54" t="n">
        <v>1504</v>
      </c>
      <c r="F1508" s="61" t="n">
        <v>0.036226</v>
      </c>
      <c r="G1508" s="61" t="n">
        <v>0.904736</v>
      </c>
      <c r="H1508" s="34" t="n">
        <f aca="false">NORMSINV(F1508)</f>
        <v>-1.79626739960526</v>
      </c>
      <c r="I1508" s="34" t="n">
        <f aca="false">NORMSINV(G1508)</f>
        <v>1.30901874851708</v>
      </c>
      <c r="J1508" s="59" t="n">
        <f aca="false">mc_s0*EXP((mc_mu-mc_vol^2/2)*mc_t1+mc_vol*SQRT(mc_t1)*H1508)</f>
        <v>965.534201664436</v>
      </c>
      <c r="K1508" s="59" t="n">
        <f aca="false">J1508*EXP((mc_mu-mc_vol^2/2)*(mc_t2-mc_t1)+mc_vol*SQRT(mc_t2-mc_t1)*I1508)</f>
        <v>1208.48245055567</v>
      </c>
      <c r="L1508" s="31" t="n">
        <f aca="false">(t1_usd*J1508+t2_usd*K1508)/1000</f>
        <v>9054.85606770683</v>
      </c>
    </row>
    <row r="1509" customFormat="false" ht="15" hidden="false" customHeight="false" outlineLevel="0" collapsed="false">
      <c r="E1509" s="54" t="n">
        <v>1505</v>
      </c>
      <c r="F1509" s="61" t="n">
        <v>0.381862</v>
      </c>
      <c r="G1509" s="61" t="n">
        <v>0.08675</v>
      </c>
      <c r="H1509" s="34" t="n">
        <f aca="false">NORMSINV(F1509)</f>
        <v>-0.300594140684775</v>
      </c>
      <c r="I1509" s="34" t="n">
        <f aca="false">NORMSINV(G1509)</f>
        <v>-1.36104331968325</v>
      </c>
      <c r="J1509" s="59" t="n">
        <f aca="false">mc_s0*EXP((mc_mu-mc_vol^2/2)*mc_t1+mc_vol*SQRT(mc_t1)*H1509)</f>
        <v>1113.82148535025</v>
      </c>
      <c r="K1509" s="59" t="n">
        <f aca="false">J1509*EXP((mc_mu-mc_vol^2/2)*(mc_t2-mc_t1)+mc_vol*SQRT(mc_t2-mc_t1)*I1509)</f>
        <v>915.259554356265</v>
      </c>
      <c r="L1509" s="31" t="n">
        <f aca="false">(t1_usd*J1509+t2_usd*K1509)/1000</f>
        <v>9535.74355072867</v>
      </c>
    </row>
    <row r="1510" customFormat="false" ht="15" hidden="false" customHeight="false" outlineLevel="0" collapsed="false">
      <c r="E1510" s="54" t="n">
        <v>1506</v>
      </c>
      <c r="F1510" s="61" t="n">
        <v>0.527332</v>
      </c>
      <c r="G1510" s="61" t="n">
        <v>0.516987</v>
      </c>
      <c r="H1510" s="34" t="n">
        <f aca="false">NORMSINV(F1510)</f>
        <v>0.0685648482805397</v>
      </c>
      <c r="I1510" s="34" t="n">
        <f aca="false">NORMSINV(G1510)</f>
        <v>0.0425929694150255</v>
      </c>
      <c r="J1510" s="59" t="n">
        <f aca="false">mc_s0*EXP((mc_mu-mc_vol^2/2)*mc_t1+mc_vol*SQRT(mc_t1)*H1510)</f>
        <v>1153.79893274459</v>
      </c>
      <c r="K1510" s="59" t="n">
        <f aca="false">J1510*EXP((mc_mu-mc_vol^2/2)*(mc_t2-mc_t1)+mc_vol*SQRT(mc_t2-mc_t1)*I1510)</f>
        <v>1182.84077429558</v>
      </c>
      <c r="L1510" s="31" t="n">
        <f aca="false">(t1_usd*J1510+t2_usd*K1510)/1000</f>
        <v>10323.9900003738</v>
      </c>
    </row>
    <row r="1511" customFormat="false" ht="15" hidden="false" customHeight="false" outlineLevel="0" collapsed="false">
      <c r="E1511" s="54" t="n">
        <v>1507</v>
      </c>
      <c r="F1511" s="61" t="n">
        <v>0.413665</v>
      </c>
      <c r="G1511" s="61" t="n">
        <v>0.388359</v>
      </c>
      <c r="H1511" s="34" t="n">
        <f aca="false">NORMSINV(F1511)</f>
        <v>-0.218127206525466</v>
      </c>
      <c r="I1511" s="34" t="n">
        <f aca="false">NORMSINV(G1511)</f>
        <v>-0.283598613201208</v>
      </c>
      <c r="J1511" s="59" t="n">
        <f aca="false">mc_s0*EXP((mc_mu-mc_vol^2/2)*mc_t1+mc_vol*SQRT(mc_t1)*H1511)</f>
        <v>1122.63021702052</v>
      </c>
      <c r="K1511" s="59" t="n">
        <f aca="false">J1511*EXP((mc_mu-mc_vol^2/2)*(mc_t2-mc_t1)+mc_vol*SQRT(mc_t2-mc_t1)*I1511)</f>
        <v>1093.22039194418</v>
      </c>
      <c r="L1511" s="31" t="n">
        <f aca="false">(t1_usd*J1511+t2_usd*K1511)/1000</f>
        <v>9935.53026383759</v>
      </c>
    </row>
    <row r="1512" customFormat="false" ht="15" hidden="false" customHeight="false" outlineLevel="0" collapsed="false">
      <c r="E1512" s="54" t="n">
        <v>1508</v>
      </c>
      <c r="F1512" s="61" t="n">
        <v>0.194379</v>
      </c>
      <c r="G1512" s="61" t="n">
        <v>0.862584</v>
      </c>
      <c r="H1512" s="34" t="n">
        <f aca="false">NORMSINV(F1512)</f>
        <v>-0.861871924761791</v>
      </c>
      <c r="I1512" s="34" t="n">
        <f aca="false">NORMSINV(G1512)</f>
        <v>1.09200250529555</v>
      </c>
      <c r="J1512" s="59" t="n">
        <f aca="false">mc_s0*EXP((mc_mu-mc_vol^2/2)*mc_t1+mc_vol*SQRT(mc_t1)*H1512)</f>
        <v>1055.67688119055</v>
      </c>
      <c r="K1512" s="59" t="n">
        <f aca="false">J1512*EXP((mc_mu-mc_vol^2/2)*(mc_t2-mc_t1)+mc_vol*SQRT(mc_t2-mc_t1)*I1512)</f>
        <v>1276.88181525798</v>
      </c>
      <c r="L1512" s="31" t="n">
        <f aca="false">(t1_usd*J1512+t2_usd*K1512)/1000</f>
        <v>9815.81361732401</v>
      </c>
    </row>
    <row r="1513" customFormat="false" ht="15" hidden="false" customHeight="false" outlineLevel="0" collapsed="false">
      <c r="E1513" s="54" t="n">
        <v>1509</v>
      </c>
      <c r="F1513" s="61" t="n">
        <v>0.971374</v>
      </c>
      <c r="G1513" s="61" t="n">
        <v>0.569943</v>
      </c>
      <c r="H1513" s="34" t="n">
        <f aca="false">NORMSINV(F1513)</f>
        <v>1.90138196546365</v>
      </c>
      <c r="I1513" s="34" t="n">
        <f aca="false">NORMSINV(G1513)</f>
        <v>0.176229049142547</v>
      </c>
      <c r="J1513" s="59" t="n">
        <f aca="false">mc_s0*EXP((mc_mu-mc_vol^2/2)*mc_t1+mc_vol*SQRT(mc_t1)*H1513)</f>
        <v>1374.56239230803</v>
      </c>
      <c r="K1513" s="59" t="n">
        <f aca="false">J1513*EXP((mc_mu-mc_vol^2/2)*(mc_t2-mc_t1)+mc_vol*SQRT(mc_t2-mc_t1)*I1513)</f>
        <v>1439.15281983308</v>
      </c>
      <c r="L1513" s="31" t="n">
        <f aca="false">(t1_usd*J1513+t2_usd*K1513)/1000</f>
        <v>12356.3271038391</v>
      </c>
    </row>
    <row r="1514" customFormat="false" ht="15" hidden="false" customHeight="false" outlineLevel="0" collapsed="false">
      <c r="E1514" s="54" t="n">
        <v>1510</v>
      </c>
      <c r="F1514" s="61" t="n">
        <v>0.446423</v>
      </c>
      <c r="G1514" s="61" t="n">
        <v>0.921392</v>
      </c>
      <c r="H1514" s="34" t="n">
        <f aca="false">NORMSINV(F1514)</f>
        <v>-0.134703886775393</v>
      </c>
      <c r="I1514" s="34" t="n">
        <f aca="false">NORMSINV(G1514)</f>
        <v>1.41449709407204</v>
      </c>
      <c r="J1514" s="59" t="n">
        <f aca="false">mc_s0*EXP((mc_mu-mc_vol^2/2)*mc_t1+mc_vol*SQRT(mc_t1)*H1514)</f>
        <v>1131.61198847991</v>
      </c>
      <c r="K1514" s="59" t="n">
        <f aca="false">J1514*EXP((mc_mu-mc_vol^2/2)*(mc_t2-mc_t1)+mc_vol*SQRT(mc_t2-mc_t1)*I1514)</f>
        <v>1440.08908739855</v>
      </c>
      <c r="L1514" s="31" t="n">
        <f aca="false">(t1_usd*J1514+t2_usd*K1514)/1000</f>
        <v>10657.4531854166</v>
      </c>
    </row>
    <row r="1515" customFormat="false" ht="15" hidden="false" customHeight="false" outlineLevel="0" collapsed="false">
      <c r="E1515" s="54" t="n">
        <v>1511</v>
      </c>
      <c r="F1515" s="61" t="n">
        <v>0.284888</v>
      </c>
      <c r="G1515" s="61" t="n">
        <v>0.153008</v>
      </c>
      <c r="H1515" s="34" t="n">
        <f aca="false">NORMSINV(F1515)</f>
        <v>-0.568381425656883</v>
      </c>
      <c r="I1515" s="34" t="n">
        <f aca="false">NORMSINV(G1515)</f>
        <v>-1.02361744954574</v>
      </c>
      <c r="J1515" s="59" t="n">
        <f aca="false">mc_s0*EXP((mc_mu-mc_vol^2/2)*mc_t1+mc_vol*SQRT(mc_t1)*H1515)</f>
        <v>1085.6915287712</v>
      </c>
      <c r="K1515" s="59" t="n">
        <f aca="false">J1515*EXP((mc_mu-mc_vol^2/2)*(mc_t2-mc_t1)+mc_vol*SQRT(mc_t2-mc_t1)*I1515)</f>
        <v>940.869049535097</v>
      </c>
      <c r="L1515" s="31" t="n">
        <f aca="false">(t1_usd*J1515+t2_usd*K1515)/1000</f>
        <v>9387.4918955151</v>
      </c>
    </row>
    <row r="1516" customFormat="false" ht="15" hidden="false" customHeight="false" outlineLevel="0" collapsed="false">
      <c r="E1516" s="54" t="n">
        <v>1512</v>
      </c>
      <c r="F1516" s="61" t="n">
        <v>0.784931</v>
      </c>
      <c r="G1516" s="61" t="n">
        <v>0.541602</v>
      </c>
      <c r="H1516" s="34" t="n">
        <f aca="false">NORMSINV(F1516)</f>
        <v>0.788955527120332</v>
      </c>
      <c r="I1516" s="34" t="n">
        <f aca="false">NORMSINV(G1516)</f>
        <v>0.104470471952303</v>
      </c>
      <c r="J1516" s="59" t="n">
        <f aca="false">mc_s0*EXP((mc_mu-mc_vol^2/2)*mc_t1+mc_vol*SQRT(mc_t1)*H1516)</f>
        <v>1235.99155517989</v>
      </c>
      <c r="K1516" s="59" t="n">
        <f aca="false">J1516*EXP((mc_mu-mc_vol^2/2)*(mc_t2-mc_t1)+mc_vol*SQRT(mc_t2-mc_t1)*I1516)</f>
        <v>1279.51879195179</v>
      </c>
      <c r="L1516" s="31" t="n">
        <f aca="false">(t1_usd*J1516+t2_usd*K1516)/1000</f>
        <v>11083.0265909677</v>
      </c>
    </row>
    <row r="1517" customFormat="false" ht="15" hidden="false" customHeight="false" outlineLevel="0" collapsed="false">
      <c r="E1517" s="54" t="n">
        <v>1513</v>
      </c>
      <c r="F1517" s="61" t="n">
        <v>0.845621</v>
      </c>
      <c r="G1517" s="61" t="n">
        <v>0.730282</v>
      </c>
      <c r="H1517" s="34" t="n">
        <f aca="false">NORMSINV(F1517)</f>
        <v>1.01783158298169</v>
      </c>
      <c r="I1517" s="34" t="n">
        <f aca="false">NORMSINV(G1517)</f>
        <v>0.613666091201356</v>
      </c>
      <c r="J1517" s="59" t="n">
        <f aca="false">mc_s0*EXP((mc_mu-mc_vol^2/2)*mc_t1+mc_vol*SQRT(mc_t1)*H1517)</f>
        <v>1263.31139940379</v>
      </c>
      <c r="K1517" s="59" t="n">
        <f aca="false">J1517*EXP((mc_mu-mc_vol^2/2)*(mc_t2-mc_t1)+mc_vol*SQRT(mc_t2-mc_t1)*I1517)</f>
        <v>1417.07185945961</v>
      </c>
      <c r="L1517" s="31" t="n">
        <f aca="false">(t1_usd*J1517+t2_usd*K1517)/1000</f>
        <v>11535.6163287998</v>
      </c>
    </row>
    <row r="1518" customFormat="false" ht="15" hidden="false" customHeight="false" outlineLevel="0" collapsed="false">
      <c r="E1518" s="54" t="n">
        <v>1514</v>
      </c>
      <c r="F1518" s="61" t="n">
        <v>0.918319</v>
      </c>
      <c r="G1518" s="61" t="n">
        <v>0.638229</v>
      </c>
      <c r="H1518" s="34" t="n">
        <f aca="false">NORMSINV(F1518)</f>
        <v>1.39385299865414</v>
      </c>
      <c r="I1518" s="34" t="n">
        <f aca="false">NORMSINV(G1518)</f>
        <v>0.353728982769164</v>
      </c>
      <c r="J1518" s="59" t="n">
        <f aca="false">mc_s0*EXP((mc_mu-mc_vol^2/2)*mc_t1+mc_vol*SQRT(mc_t1)*H1518)</f>
        <v>1309.51248758572</v>
      </c>
      <c r="K1518" s="59" t="n">
        <f aca="false">J1518*EXP((mc_mu-mc_vol^2/2)*(mc_t2-mc_t1)+mc_vol*SQRT(mc_t2-mc_t1)*I1518)</f>
        <v>1409.93965280458</v>
      </c>
      <c r="L1518" s="31" t="n">
        <f aca="false">(t1_usd*J1518+t2_usd*K1518)/1000</f>
        <v>11845.4727534287</v>
      </c>
    </row>
    <row r="1519" customFormat="false" ht="15" hidden="false" customHeight="false" outlineLevel="0" collapsed="false">
      <c r="E1519" s="54" t="n">
        <v>1515</v>
      </c>
      <c r="F1519" s="61" t="n">
        <v>0.037508</v>
      </c>
      <c r="G1519" s="61" t="n">
        <v>0.47602</v>
      </c>
      <c r="H1519" s="34" t="n">
        <f aca="false">NORMSINV(F1519)</f>
        <v>-1.78036650304996</v>
      </c>
      <c r="I1519" s="34" t="n">
        <f aca="false">NORMSINV(G1519)</f>
        <v>-0.0601451883296689</v>
      </c>
      <c r="J1519" s="59" t="n">
        <f aca="false">mc_s0*EXP((mc_mu-mc_vol^2/2)*mc_t1+mc_vol*SQRT(mc_t1)*H1519)</f>
        <v>967.001861432576</v>
      </c>
      <c r="K1519" s="59" t="n">
        <f aca="false">J1519*EXP((mc_mu-mc_vol^2/2)*(mc_t2-mc_t1)+mc_vol*SQRT(mc_t2-mc_t1)*I1519)</f>
        <v>975.420488895012</v>
      </c>
      <c r="L1519" s="31" t="n">
        <f aca="false">(t1_usd*J1519+t2_usd*K1519)/1000</f>
        <v>8622.31195892855</v>
      </c>
    </row>
    <row r="1520" customFormat="false" ht="15" hidden="false" customHeight="false" outlineLevel="0" collapsed="false">
      <c r="E1520" s="54" t="n">
        <v>1516</v>
      </c>
      <c r="F1520" s="61" t="n">
        <v>0.537307</v>
      </c>
      <c r="G1520" s="61" t="n">
        <v>0.508633</v>
      </c>
      <c r="H1520" s="34" t="n">
        <f aca="false">NORMSINV(F1520)</f>
        <v>0.0936514978148572</v>
      </c>
      <c r="I1520" s="34" t="n">
        <f aca="false">NORMSINV(G1520)</f>
        <v>0.0216414110711259</v>
      </c>
      <c r="J1520" s="59" t="n">
        <f aca="false">mc_s0*EXP((mc_mu-mc_vol^2/2)*mc_t1+mc_vol*SQRT(mc_t1)*H1520)</f>
        <v>1156.56714577081</v>
      </c>
      <c r="K1520" s="59" t="n">
        <f aca="false">J1520*EXP((mc_mu-mc_vol^2/2)*(mc_t2-mc_t1)+mc_vol*SQRT(mc_t2-mc_t1)*I1520)</f>
        <v>1181.77021981042</v>
      </c>
      <c r="L1520" s="31" t="n">
        <f aca="false">(t1_usd*J1520+t2_usd*K1520)/1000</f>
        <v>10341.3334380355</v>
      </c>
    </row>
    <row r="1521" customFormat="false" ht="15" hidden="false" customHeight="false" outlineLevel="0" collapsed="false">
      <c r="E1521" s="54" t="n">
        <v>1517</v>
      </c>
      <c r="F1521" s="61" t="n">
        <v>0.666202</v>
      </c>
      <c r="G1521" s="61" t="n">
        <v>0.00076</v>
      </c>
      <c r="H1521" s="34" t="n">
        <f aca="false">NORMSINV(F1521)</f>
        <v>0.42944968862655</v>
      </c>
      <c r="I1521" s="34" t="n">
        <f aca="false">NORMSINV(G1521)</f>
        <v>-3.17083778052613</v>
      </c>
      <c r="J1521" s="59" t="n">
        <f aca="false">mc_s0*EXP((mc_mu-mc_vol^2/2)*mc_t1+mc_vol*SQRT(mc_t1)*H1521)</f>
        <v>1194.26697267211</v>
      </c>
      <c r="K1521" s="59" t="n">
        <f aca="false">J1521*EXP((mc_mu-mc_vol^2/2)*(mc_t2-mc_t1)+mc_vol*SQRT(mc_t2-mc_t1)*I1521)</f>
        <v>737.843760146597</v>
      </c>
      <c r="L1521" s="31" t="n">
        <f aca="false">(t1_usd*J1521+t2_usd*K1521)/1000</f>
        <v>9761.77195298329</v>
      </c>
    </row>
    <row r="1522" customFormat="false" ht="15" hidden="false" customHeight="false" outlineLevel="0" collapsed="false">
      <c r="E1522" s="54" t="n">
        <v>1518</v>
      </c>
      <c r="F1522" s="61" t="n">
        <v>0.930296</v>
      </c>
      <c r="G1522" s="61" t="n">
        <v>0.057044</v>
      </c>
      <c r="H1522" s="34" t="n">
        <f aca="false">NORMSINV(F1522)</f>
        <v>1.47799917150095</v>
      </c>
      <c r="I1522" s="34" t="n">
        <f aca="false">NORMSINV(G1522)</f>
        <v>-1.58008238826438</v>
      </c>
      <c r="J1522" s="59" t="n">
        <f aca="false">mc_s0*EXP((mc_mu-mc_vol^2/2)*mc_t1+mc_vol*SQRT(mc_t1)*H1522)</f>
        <v>1320.08058555241</v>
      </c>
      <c r="K1522" s="59" t="n">
        <f aca="false">J1522*EXP((mc_mu-mc_vol^2/2)*(mc_t2-mc_t1)+mc_vol*SQRT(mc_t2-mc_t1)*I1522)</f>
        <v>1047.94305410427</v>
      </c>
      <c r="L1522" s="31" t="n">
        <f aca="false">(t1_usd*J1522+t2_usd*K1522)/1000</f>
        <v>11231.655901665</v>
      </c>
    </row>
    <row r="1523" customFormat="false" ht="15" hidden="false" customHeight="false" outlineLevel="0" collapsed="false">
      <c r="E1523" s="54" t="n">
        <v>1519</v>
      </c>
      <c r="F1523" s="61" t="n">
        <v>0.68297</v>
      </c>
      <c r="G1523" s="61" t="n">
        <v>0.115282</v>
      </c>
      <c r="H1523" s="34" t="n">
        <f aca="false">NORMSINV(F1523)</f>
        <v>0.476020181708495</v>
      </c>
      <c r="I1523" s="34" t="n">
        <f aca="false">NORMSINV(G1523)</f>
        <v>-1.19890728177673</v>
      </c>
      <c r="J1523" s="59" t="n">
        <f aca="false">mc_s0*EXP((mc_mu-mc_vol^2/2)*mc_t1+mc_vol*SQRT(mc_t1)*H1523)</f>
        <v>1199.59154649783</v>
      </c>
      <c r="K1523" s="59" t="n">
        <f aca="false">J1523*EXP((mc_mu-mc_vol^2/2)*(mc_t2-mc_t1)+mc_vol*SQRT(mc_t2-mc_t1)*I1523)</f>
        <v>1011.25100960737</v>
      </c>
      <c r="L1523" s="31" t="n">
        <f aca="false">(t1_usd*J1523+t2_usd*K1523)/1000</f>
        <v>10318.5177437388</v>
      </c>
    </row>
    <row r="1524" customFormat="false" ht="15" hidden="false" customHeight="false" outlineLevel="0" collapsed="false">
      <c r="E1524" s="54" t="n">
        <v>1520</v>
      </c>
      <c r="F1524" s="61" t="n">
        <v>0.413713</v>
      </c>
      <c r="G1524" s="61" t="n">
        <v>0.571908</v>
      </c>
      <c r="H1524" s="34" t="n">
        <f aca="false">NORMSINV(F1524)</f>
        <v>-0.218003993367428</v>
      </c>
      <c r="I1524" s="34" t="n">
        <f aca="false">NORMSINV(G1524)</f>
        <v>0.18123388320252</v>
      </c>
      <c r="J1524" s="59" t="n">
        <f aca="false">mc_s0*EXP((mc_mu-mc_vol^2/2)*mc_t1+mc_vol*SQRT(mc_t1)*H1524)</f>
        <v>1122.64343005662</v>
      </c>
      <c r="K1524" s="59" t="n">
        <f aca="false">J1524*EXP((mc_mu-mc_vol^2/2)*(mc_t2-mc_t1)+mc_vol*SQRT(mc_t2-mc_t1)*I1524)</f>
        <v>1176.32366646221</v>
      </c>
      <c r="L1524" s="31" t="n">
        <f aca="false">(t1_usd*J1524+t2_usd*K1524)/1000</f>
        <v>10093.5189766746</v>
      </c>
    </row>
    <row r="1525" customFormat="false" ht="15" hidden="false" customHeight="false" outlineLevel="0" collapsed="false">
      <c r="E1525" s="54" t="n">
        <v>1521</v>
      </c>
      <c r="F1525" s="61" t="n">
        <v>0.611516</v>
      </c>
      <c r="G1525" s="61" t="n">
        <v>0.98299</v>
      </c>
      <c r="H1525" s="34" t="n">
        <f aca="false">NORMSINV(F1525)</f>
        <v>0.283272442742612</v>
      </c>
      <c r="I1525" s="34" t="n">
        <f aca="false">NORMSINV(G1525)</f>
        <v>2.1198345560131</v>
      </c>
      <c r="J1525" s="59" t="n">
        <f aca="false">mc_s0*EXP((mc_mu-mc_vol^2/2)*mc_t1+mc_vol*SQRT(mc_t1)*H1525)</f>
        <v>1177.70702741384</v>
      </c>
      <c r="K1525" s="59" t="n">
        <f aca="false">J1525*EXP((mc_mu-mc_vol^2/2)*(mc_t2-mc_t1)+mc_vol*SQRT(mc_t2-mc_t1)*I1525)</f>
        <v>1674.95711393236</v>
      </c>
      <c r="L1525" s="31" t="n">
        <f aca="false">(t1_usd*J1525+t2_usd*K1525)/1000</f>
        <v>11426.3677083683</v>
      </c>
    </row>
    <row r="1526" customFormat="false" ht="15" hidden="false" customHeight="false" outlineLevel="0" collapsed="false">
      <c r="E1526" s="54" t="n">
        <v>1522</v>
      </c>
      <c r="F1526" s="61" t="n">
        <v>0.7489</v>
      </c>
      <c r="G1526" s="61" t="n">
        <v>0.241438</v>
      </c>
      <c r="H1526" s="34" t="n">
        <f aca="false">NORMSINV(F1526)</f>
        <v>0.671032226426355</v>
      </c>
      <c r="I1526" s="34" t="n">
        <f aca="false">NORMSINV(G1526)</f>
        <v>-0.701684406089208</v>
      </c>
      <c r="J1526" s="59" t="n">
        <f aca="false">mc_s0*EXP((mc_mu-mc_vol^2/2)*mc_t1+mc_vol*SQRT(mc_t1)*H1526)</f>
        <v>1222.14704310487</v>
      </c>
      <c r="K1526" s="59" t="n">
        <f aca="false">J1526*EXP((mc_mu-mc_vol^2/2)*(mc_t2-mc_t1)+mc_vol*SQRT(mc_t2-mc_t1)*I1526)</f>
        <v>1114.24293687249</v>
      </c>
      <c r="L1526" s="31" t="n">
        <f aca="false">(t1_usd*J1526+t2_usd*K1526)/1000</f>
        <v>10672.0908817918</v>
      </c>
    </row>
    <row r="1527" customFormat="false" ht="15" hidden="false" customHeight="false" outlineLevel="0" collapsed="false">
      <c r="E1527" s="54" t="n">
        <v>1523</v>
      </c>
      <c r="F1527" s="61" t="n">
        <v>0.581604</v>
      </c>
      <c r="G1527" s="61" t="n">
        <v>0.058383</v>
      </c>
      <c r="H1527" s="34" t="n">
        <f aca="false">NORMSINV(F1527)</f>
        <v>0.205998606262841</v>
      </c>
      <c r="I1527" s="34" t="n">
        <f aca="false">NORMSINV(G1527)</f>
        <v>-1.56849352455478</v>
      </c>
      <c r="J1527" s="59" t="n">
        <f aca="false">mc_s0*EXP((mc_mu-mc_vol^2/2)*mc_t1+mc_vol*SQRT(mc_t1)*H1527)</f>
        <v>1169.04590601973</v>
      </c>
      <c r="K1527" s="59" t="n">
        <f aca="false">J1527*EXP((mc_mu-mc_vol^2/2)*(mc_t2-mc_t1)+mc_vol*SQRT(mc_t2-mc_t1)*I1527)</f>
        <v>929.740968286002</v>
      </c>
      <c r="L1527" s="31" t="n">
        <f aca="false">(t1_usd*J1527+t2_usd*K1527)/1000</f>
        <v>9949.82918188154</v>
      </c>
    </row>
    <row r="1528" customFormat="false" ht="15" hidden="false" customHeight="false" outlineLevel="0" collapsed="false">
      <c r="E1528" s="54" t="n">
        <v>1524</v>
      </c>
      <c r="F1528" s="61" t="n">
        <v>0.841451</v>
      </c>
      <c r="G1528" s="61" t="n">
        <v>0.47276</v>
      </c>
      <c r="H1528" s="34" t="n">
        <f aca="false">NORMSINV(F1528)</f>
        <v>1.00043921540912</v>
      </c>
      <c r="I1528" s="34" t="n">
        <f aca="false">NORMSINV(G1528)</f>
        <v>-0.0683336976070788</v>
      </c>
      <c r="J1528" s="59" t="n">
        <f aca="false">mc_s0*EXP((mc_mu-mc_vol^2/2)*mc_t1+mc_vol*SQRT(mc_t1)*H1528)</f>
        <v>1261.21432104377</v>
      </c>
      <c r="K1528" s="59" t="n">
        <f aca="false">J1528*EXP((mc_mu-mc_vol^2/2)*(mc_t2-mc_t1)+mc_vol*SQRT(mc_t2-mc_t1)*I1528)</f>
        <v>1270.55368591754</v>
      </c>
      <c r="L1528" s="31" t="n">
        <f aca="false">(t1_usd*J1528+t2_usd*K1528)/1000</f>
        <v>11242.5522505498</v>
      </c>
    </row>
    <row r="1529" customFormat="false" ht="15" hidden="false" customHeight="false" outlineLevel="0" collapsed="false">
      <c r="E1529" s="54" t="n">
        <v>1525</v>
      </c>
      <c r="F1529" s="61" t="n">
        <v>0.695682</v>
      </c>
      <c r="G1529" s="61" t="n">
        <v>0.828036</v>
      </c>
      <c r="H1529" s="34" t="n">
        <f aca="false">NORMSINV(F1529)</f>
        <v>0.512021446396045</v>
      </c>
      <c r="I1529" s="34" t="n">
        <f aca="false">NORMSINV(G1529)</f>
        <v>0.946432569346965</v>
      </c>
      <c r="J1529" s="59" t="n">
        <f aca="false">mc_s0*EXP((mc_mu-mc_vol^2/2)*mc_t1+mc_vol*SQRT(mc_t1)*H1529)</f>
        <v>1203.72396571577</v>
      </c>
      <c r="K1529" s="59" t="n">
        <f aca="false">J1529*EXP((mc_mu-mc_vol^2/2)*(mc_t2-mc_t1)+mc_vol*SQRT(mc_t2-mc_t1)*I1529)</f>
        <v>1422.9299538503</v>
      </c>
      <c r="L1529" s="31" t="n">
        <f aca="false">(t1_usd*J1529+t2_usd*K1529)/1000</f>
        <v>11129.634672326</v>
      </c>
    </row>
    <row r="1530" customFormat="false" ht="15" hidden="false" customHeight="false" outlineLevel="0" collapsed="false">
      <c r="E1530" s="54" t="n">
        <v>1526</v>
      </c>
      <c r="F1530" s="61" t="n">
        <v>0.507783</v>
      </c>
      <c r="G1530" s="61" t="n">
        <v>0.238421</v>
      </c>
      <c r="H1530" s="34" t="n">
        <f aca="false">NORMSINV(F1530)</f>
        <v>0.01951032556747</v>
      </c>
      <c r="I1530" s="34" t="n">
        <f aca="false">NORMSINV(G1530)</f>
        <v>-0.711390958927823</v>
      </c>
      <c r="J1530" s="59" t="n">
        <f aca="false">mc_s0*EXP((mc_mu-mc_vol^2/2)*mc_t1+mc_vol*SQRT(mc_t1)*H1530)</f>
        <v>1148.40508948828</v>
      </c>
      <c r="K1530" s="59" t="n">
        <f aca="false">J1530*EXP((mc_mu-mc_vol^2/2)*(mc_t2-mc_t1)+mc_vol*SQRT(mc_t2-mc_t1)*I1530)</f>
        <v>1045.4113296725</v>
      </c>
      <c r="L1530" s="31" t="n">
        <f aca="false">(t1_usd*J1530+t2_usd*K1530)/1000</f>
        <v>10025.1171527957</v>
      </c>
    </row>
    <row r="1531" customFormat="false" ht="15" hidden="false" customHeight="false" outlineLevel="0" collapsed="false">
      <c r="E1531" s="54" t="n">
        <v>1527</v>
      </c>
      <c r="F1531" s="61" t="n">
        <v>0.371481</v>
      </c>
      <c r="G1531" s="61" t="n">
        <v>0.685761</v>
      </c>
      <c r="H1531" s="34" t="n">
        <f aca="false">NORMSINV(F1531)</f>
        <v>-0.327933425587408</v>
      </c>
      <c r="I1531" s="34" t="n">
        <f aca="false">NORMSINV(G1531)</f>
        <v>0.48387018659138</v>
      </c>
      <c r="J1531" s="59" t="n">
        <f aca="false">mc_s0*EXP((mc_mu-mc_vol^2/2)*mc_t1+mc_vol*SQRT(mc_t1)*H1531)</f>
        <v>1110.91651281916</v>
      </c>
      <c r="K1531" s="59" t="n">
        <f aca="false">J1531*EXP((mc_mu-mc_vol^2/2)*(mc_t2-mc_t1)+mc_vol*SQRT(mc_t2-mc_t1)*I1531)</f>
        <v>1220.89807317761</v>
      </c>
      <c r="L1531" s="31" t="n">
        <f aca="false">(t1_usd*J1531+t2_usd*K1531)/1000</f>
        <v>10096.1219287716</v>
      </c>
    </row>
    <row r="1532" customFormat="false" ht="15" hidden="false" customHeight="false" outlineLevel="0" collapsed="false">
      <c r="E1532" s="54" t="n">
        <v>1528</v>
      </c>
      <c r="F1532" s="61" t="n">
        <v>0.404847</v>
      </c>
      <c r="G1532" s="61" t="n">
        <v>0.895501</v>
      </c>
      <c r="H1532" s="34" t="n">
        <f aca="false">NORMSINV(F1532)</f>
        <v>-0.240820810206005</v>
      </c>
      <c r="I1532" s="34" t="n">
        <f aca="false">NORMSINV(G1532)</f>
        <v>1.25632544543739</v>
      </c>
      <c r="J1532" s="59" t="n">
        <f aca="false">mc_s0*EXP((mc_mu-mc_vol^2/2)*mc_t1+mc_vol*SQRT(mc_t1)*H1532)</f>
        <v>1120.19926825075</v>
      </c>
      <c r="K1532" s="59" t="n">
        <f aca="false">J1532*EXP((mc_mu-mc_vol^2/2)*(mc_t2-mc_t1)+mc_vol*SQRT(mc_t2-mc_t1)*I1532)</f>
        <v>1390.46974304639</v>
      </c>
      <c r="L1532" s="31" t="n">
        <f aca="false">(t1_usd*J1532+t2_usd*K1532)/1000</f>
        <v>10483.2873895434</v>
      </c>
    </row>
    <row r="1533" customFormat="false" ht="15" hidden="false" customHeight="false" outlineLevel="0" collapsed="false">
      <c r="E1533" s="54" t="n">
        <v>1529</v>
      </c>
      <c r="F1533" s="61" t="n">
        <v>0.159444</v>
      </c>
      <c r="G1533" s="61" t="n">
        <v>0.139207</v>
      </c>
      <c r="H1533" s="34" t="n">
        <f aca="false">NORMSINV(F1533)</f>
        <v>-0.996745619877728</v>
      </c>
      <c r="I1533" s="34" t="n">
        <f aca="false">NORMSINV(G1533)</f>
        <v>-1.08388903926391</v>
      </c>
      <c r="J1533" s="59" t="n">
        <f aca="false">mc_s0*EXP((mc_mu-mc_vol^2/2)*mc_t1+mc_vol*SQRT(mc_t1)*H1533)</f>
        <v>1042.16331710729</v>
      </c>
      <c r="K1533" s="59" t="n">
        <f aca="false">J1533*EXP((mc_mu-mc_vol^2/2)*(mc_t2-mc_t1)+mc_vol*SQRT(mc_t2-mc_t1)*I1533)</f>
        <v>894.609315463306</v>
      </c>
      <c r="L1533" s="31" t="n">
        <f aca="false">(t1_usd*J1533+t2_usd*K1533)/1000</f>
        <v>8994.90091913133</v>
      </c>
    </row>
    <row r="1534" customFormat="false" ht="15" hidden="false" customHeight="false" outlineLevel="0" collapsed="false">
      <c r="E1534" s="54" t="n">
        <v>1530</v>
      </c>
      <c r="F1534" s="61" t="n">
        <v>0.028047</v>
      </c>
      <c r="G1534" s="61" t="n">
        <v>0.631596</v>
      </c>
      <c r="H1534" s="34" t="n">
        <f aca="false">NORMSINV(F1534)</f>
        <v>-1.9103046454873</v>
      </c>
      <c r="I1534" s="34" t="n">
        <f aca="false">NORMSINV(G1534)</f>
        <v>0.336083368151161</v>
      </c>
      <c r="J1534" s="59" t="n">
        <f aca="false">mc_s0*EXP((mc_mu-mc_vol^2/2)*mc_t1+mc_vol*SQRT(mc_t1)*H1534)</f>
        <v>955.073583151868</v>
      </c>
      <c r="K1534" s="59" t="n">
        <f aca="false">J1534*EXP((mc_mu-mc_vol^2/2)*(mc_t2-mc_t1)+mc_vol*SQRT(mc_t2-mc_t1)*I1534)</f>
        <v>1025.46304629935</v>
      </c>
      <c r="L1534" s="31" t="n">
        <f aca="false">(t1_usd*J1534+t2_usd*K1534)/1000</f>
        <v>8633.89487003184</v>
      </c>
    </row>
    <row r="1535" customFormat="false" ht="15" hidden="false" customHeight="false" outlineLevel="0" collapsed="false">
      <c r="E1535" s="54" t="n">
        <v>1531</v>
      </c>
      <c r="F1535" s="61" t="n">
        <v>0.989375</v>
      </c>
      <c r="G1535" s="61" t="n">
        <v>0.586244</v>
      </c>
      <c r="H1535" s="34" t="n">
        <f aca="false">NORMSINV(F1535)</f>
        <v>2.30351293907291</v>
      </c>
      <c r="I1535" s="34" t="n">
        <f aca="false">NORMSINV(G1535)</f>
        <v>0.217893617723788</v>
      </c>
      <c r="J1535" s="59" t="n">
        <f aca="false">mc_s0*EXP((mc_mu-mc_vol^2/2)*mc_t1+mc_vol*SQRT(mc_t1)*H1535)</f>
        <v>1428.39012956627</v>
      </c>
      <c r="K1535" s="59" t="n">
        <f aca="false">J1535*EXP((mc_mu-mc_vol^2/2)*(mc_t2-mc_t1)+mc_vol*SQRT(mc_t2-mc_t1)*I1535)</f>
        <v>1505.36181781369</v>
      </c>
      <c r="L1535" s="31" t="n">
        <f aca="false">(t1_usd*J1535+t2_usd*K1535)/1000</f>
        <v>12858.9183608099</v>
      </c>
    </row>
    <row r="1536" customFormat="false" ht="15" hidden="false" customHeight="false" outlineLevel="0" collapsed="false">
      <c r="E1536" s="54" t="n">
        <v>1532</v>
      </c>
      <c r="F1536" s="61" t="n">
        <v>0.811194</v>
      </c>
      <c r="G1536" s="61" t="n">
        <v>0.103199</v>
      </c>
      <c r="H1536" s="34" t="n">
        <f aca="false">NORMSINV(F1536)</f>
        <v>0.882304802648043</v>
      </c>
      <c r="I1536" s="34" t="n">
        <f aca="false">NORMSINV(G1536)</f>
        <v>-1.26353215023283</v>
      </c>
      <c r="J1536" s="59" t="n">
        <f aca="false">mc_s0*EXP((mc_mu-mc_vol^2/2)*mc_t1+mc_vol*SQRT(mc_t1)*H1536)</f>
        <v>1247.0621368033</v>
      </c>
      <c r="K1536" s="59" t="n">
        <f aca="false">J1536*EXP((mc_mu-mc_vol^2/2)*(mc_t2-mc_t1)+mc_vol*SQRT(mc_t2-mc_t1)*I1536)</f>
        <v>1040.61628726351</v>
      </c>
      <c r="L1536" s="31" t="n">
        <f aca="false">(t1_usd*J1536+t2_usd*K1536)/1000</f>
        <v>10706.6059034238</v>
      </c>
    </row>
    <row r="1537" customFormat="false" ht="15" hidden="false" customHeight="false" outlineLevel="0" collapsed="false">
      <c r="E1537" s="54" t="n">
        <v>1533</v>
      </c>
      <c r="F1537" s="61" t="n">
        <v>0.906544</v>
      </c>
      <c r="G1537" s="61" t="n">
        <v>0.833307</v>
      </c>
      <c r="H1537" s="34" t="n">
        <f aca="false">NORMSINV(F1537)</f>
        <v>1.31976946308506</v>
      </c>
      <c r="I1537" s="34" t="n">
        <f aca="false">NORMSINV(G1537)</f>
        <v>0.967316175299882</v>
      </c>
      <c r="J1537" s="59" t="n">
        <f aca="false">mc_s0*EXP((mc_mu-mc_vol^2/2)*mc_t1+mc_vol*SQRT(mc_t1)*H1537)</f>
        <v>1300.27823341261</v>
      </c>
      <c r="K1537" s="59" t="n">
        <f aca="false">J1537*EXP((mc_mu-mc_vol^2/2)*(mc_t2-mc_t1)+mc_vol*SQRT(mc_t2-mc_t1)*I1537)</f>
        <v>1542.13438155187</v>
      </c>
      <c r="L1537" s="31" t="n">
        <f aca="false">(t1_usd*J1537+t2_usd*K1537)/1000</f>
        <v>12032.0029588368</v>
      </c>
    </row>
    <row r="1538" customFormat="false" ht="15" hidden="false" customHeight="false" outlineLevel="0" collapsed="false">
      <c r="E1538" s="54" t="n">
        <v>1534</v>
      </c>
      <c r="F1538" s="61" t="n">
        <v>0.598177</v>
      </c>
      <c r="G1538" s="61" t="n">
        <v>0.928934</v>
      </c>
      <c r="H1538" s="34" t="n">
        <f aca="false">NORMSINV(F1538)</f>
        <v>0.248631293171363</v>
      </c>
      <c r="I1538" s="34" t="n">
        <f aca="false">NORMSINV(G1538)</f>
        <v>1.46789774803692</v>
      </c>
      <c r="J1538" s="59" t="n">
        <f aca="false">mc_s0*EXP((mc_mu-mc_vol^2/2)*mc_t1+mc_vol*SQRT(mc_t1)*H1538)</f>
        <v>1173.81641949449</v>
      </c>
      <c r="K1538" s="59" t="n">
        <f aca="false">J1538*EXP((mc_mu-mc_vol^2/2)*(mc_t2-mc_t1)+mc_vol*SQRT(mc_t2-mc_t1)*I1538)</f>
        <v>1506.42265968971</v>
      </c>
      <c r="L1538" s="31" t="n">
        <f aca="false">(t1_usd*J1538+t2_usd*K1538)/1000</f>
        <v>11078.9179898718</v>
      </c>
    </row>
    <row r="1539" customFormat="false" ht="15" hidden="false" customHeight="false" outlineLevel="0" collapsed="false">
      <c r="E1539" s="54" t="n">
        <v>1535</v>
      </c>
      <c r="F1539" s="61" t="n">
        <v>0.874581</v>
      </c>
      <c r="G1539" s="61" t="n">
        <v>0.48759</v>
      </c>
      <c r="H1539" s="34" t="n">
        <f aca="false">NORMSINV(F1539)</f>
        <v>1.14831633038301</v>
      </c>
      <c r="I1539" s="34" t="n">
        <f aca="false">NORMSINV(G1539)</f>
        <v>-0.0311122754701261</v>
      </c>
      <c r="J1539" s="59" t="n">
        <f aca="false">mc_s0*EXP((mc_mu-mc_vol^2/2)*mc_t1+mc_vol*SQRT(mc_t1)*H1539)</f>
        <v>1279.15616436276</v>
      </c>
      <c r="K1539" s="59" t="n">
        <f aca="false">J1539*EXP((mc_mu-mc_vol^2/2)*(mc_t2-mc_t1)+mc_vol*SQRT(mc_t2-mc_t1)*I1539)</f>
        <v>1296.20949448105</v>
      </c>
      <c r="L1539" s="31" t="n">
        <f aca="false">(t1_usd*J1539+t2_usd*K1539)/1000</f>
        <v>11416.8911900533</v>
      </c>
    </row>
    <row r="1540" customFormat="false" ht="15" hidden="false" customHeight="false" outlineLevel="0" collapsed="false">
      <c r="E1540" s="54" t="n">
        <v>1536</v>
      </c>
      <c r="F1540" s="61" t="n">
        <v>0.720852</v>
      </c>
      <c r="G1540" s="61" t="n">
        <v>0.686776</v>
      </c>
      <c r="H1540" s="34" t="n">
        <f aca="false">NORMSINV(F1540)</f>
        <v>0.58537439743295</v>
      </c>
      <c r="I1540" s="34" t="n">
        <f aca="false">NORMSINV(G1540)</f>
        <v>0.486732373748769</v>
      </c>
      <c r="J1540" s="59" t="n">
        <f aca="false">mc_s0*EXP((mc_mu-mc_vol^2/2)*mc_t1+mc_vol*SQRT(mc_t1)*H1540)</f>
        <v>1212.18791704122</v>
      </c>
      <c r="K1540" s="59" t="n">
        <f aca="false">J1540*EXP((mc_mu-mc_vol^2/2)*(mc_t2-mc_t1)+mc_vol*SQRT(mc_t2-mc_t1)*I1540)</f>
        <v>1332.79645892736</v>
      </c>
      <c r="L1540" s="31" t="n">
        <f aca="false">(t1_usd*J1540+t2_usd*K1540)/1000</f>
        <v>11017.6286912505</v>
      </c>
    </row>
    <row r="1541" customFormat="false" ht="15" hidden="false" customHeight="false" outlineLevel="0" collapsed="false">
      <c r="E1541" s="54" t="n">
        <v>1537</v>
      </c>
      <c r="F1541" s="61" t="n">
        <v>0.027763</v>
      </c>
      <c r="G1541" s="61" t="n">
        <v>0.578746</v>
      </c>
      <c r="H1541" s="34" t="n">
        <f aca="false">NORMSINV(F1541)</f>
        <v>-1.91473741099845</v>
      </c>
      <c r="I1541" s="34" t="n">
        <f aca="false">NORMSINV(G1541)</f>
        <v>0.198686480732267</v>
      </c>
      <c r="J1541" s="59" t="n">
        <f aca="false">mc_s0*EXP((mc_mu-mc_vol^2/2)*mc_t1+mc_vol*SQRT(mc_t1)*H1541)</f>
        <v>954.669262525832</v>
      </c>
      <c r="K1541" s="59" t="n">
        <f aca="false">J1541*EXP((mc_mu-mc_vol^2/2)*(mc_t2-mc_t1)+mc_vol*SQRT(mc_t2-mc_t1)*I1541)</f>
        <v>1003.07272980532</v>
      </c>
      <c r="L1541" s="31" t="n">
        <f aca="false">(t1_usd*J1541+t2_usd*K1541)/1000</f>
        <v>8588.52302431094</v>
      </c>
    </row>
    <row r="1542" customFormat="false" ht="15" hidden="false" customHeight="false" outlineLevel="0" collapsed="false">
      <c r="E1542" s="54" t="n">
        <v>1538</v>
      </c>
      <c r="F1542" s="61" t="n">
        <v>0.706349</v>
      </c>
      <c r="G1542" s="61" t="n">
        <v>0.839835</v>
      </c>
      <c r="H1542" s="34" t="n">
        <f aca="false">NORMSINV(F1542)</f>
        <v>0.542749917609297</v>
      </c>
      <c r="I1542" s="34" t="n">
        <f aca="false">NORMSINV(G1542)</f>
        <v>0.993779969351514</v>
      </c>
      <c r="J1542" s="59" t="n">
        <f aca="false">mc_s0*EXP((mc_mu-mc_vol^2/2)*mc_t1+mc_vol*SQRT(mc_t1)*H1542)</f>
        <v>1207.26240420961</v>
      </c>
      <c r="K1542" s="59" t="n">
        <f aca="false">J1542*EXP((mc_mu-mc_vol^2/2)*(mc_t2-mc_t1)+mc_vol*SQRT(mc_t2-mc_t1)*I1542)</f>
        <v>1437.80117687962</v>
      </c>
      <c r="L1542" s="31" t="n">
        <f aca="false">(t1_usd*J1542+t2_usd*K1542)/1000</f>
        <v>11182.6590655385</v>
      </c>
    </row>
    <row r="1543" customFormat="false" ht="15" hidden="false" customHeight="false" outlineLevel="0" collapsed="false">
      <c r="E1543" s="54" t="n">
        <v>1539</v>
      </c>
      <c r="F1543" s="61" t="n">
        <v>0.150489</v>
      </c>
      <c r="G1543" s="61" t="n">
        <v>0.131009</v>
      </c>
      <c r="H1543" s="34" t="n">
        <f aca="false">NORMSINV(F1543)</f>
        <v>-1.03433838081473</v>
      </c>
      <c r="I1543" s="34" t="n">
        <f aca="false">NORMSINV(G1543)</f>
        <v>-1.12163420967301</v>
      </c>
      <c r="J1543" s="59" t="n">
        <f aca="false">mc_s0*EXP((mc_mu-mc_vol^2/2)*mc_t1+mc_vol*SQRT(mc_t1)*H1543)</f>
        <v>1038.42766244956</v>
      </c>
      <c r="K1543" s="59" t="n">
        <f aca="false">J1543*EXP((mc_mu-mc_vol^2/2)*(mc_t2-mc_t1)+mc_vol*SQRT(mc_t2-mc_t1)*I1543)</f>
        <v>886.115906978095</v>
      </c>
      <c r="L1543" s="31" t="n">
        <f aca="false">(t1_usd*J1543+t2_usd*K1543)/1000</f>
        <v>8952.61386040533</v>
      </c>
    </row>
    <row r="1544" customFormat="false" ht="15" hidden="false" customHeight="false" outlineLevel="0" collapsed="false">
      <c r="E1544" s="54" t="n">
        <v>1540</v>
      </c>
      <c r="F1544" s="61" t="n">
        <v>0.07438</v>
      </c>
      <c r="G1544" s="61" t="n">
        <v>0.294601</v>
      </c>
      <c r="H1544" s="34" t="n">
        <f aca="false">NORMSINV(F1544)</f>
        <v>-1.44392526104804</v>
      </c>
      <c r="I1544" s="34" t="n">
        <f aca="false">NORMSINV(G1544)</f>
        <v>-0.539992796839315</v>
      </c>
      <c r="J1544" s="59" t="n">
        <f aca="false">mc_s0*EXP((mc_mu-mc_vol^2/2)*mc_t1+mc_vol*SQRT(mc_t1)*H1544)</f>
        <v>998.583895697464</v>
      </c>
      <c r="K1544" s="59" t="n">
        <f aca="false">J1544*EXP((mc_mu-mc_vol^2/2)*(mc_t2-mc_t1)+mc_vol*SQRT(mc_t2-mc_t1)*I1544)</f>
        <v>933.915235266429</v>
      </c>
      <c r="L1544" s="31" t="n">
        <f aca="false">(t1_usd*J1544+t2_usd*K1544)/1000</f>
        <v>8764.52621688846</v>
      </c>
    </row>
    <row r="1545" customFormat="false" ht="15" hidden="false" customHeight="false" outlineLevel="0" collapsed="false">
      <c r="E1545" s="54" t="n">
        <v>1541</v>
      </c>
      <c r="F1545" s="61" t="n">
        <v>0.294991</v>
      </c>
      <c r="G1545" s="61" t="n">
        <v>0.289721</v>
      </c>
      <c r="H1545" s="34" t="n">
        <f aca="false">NORMSINV(F1545)</f>
        <v>-0.538862114804636</v>
      </c>
      <c r="I1545" s="34" t="n">
        <f aca="false">NORMSINV(G1545)</f>
        <v>-0.554199968332523</v>
      </c>
      <c r="J1545" s="59" t="n">
        <f aca="false">mc_s0*EXP((mc_mu-mc_vol^2/2)*mc_t1+mc_vol*SQRT(mc_t1)*H1545)</f>
        <v>1088.75724081691</v>
      </c>
      <c r="K1545" s="59" t="n">
        <f aca="false">J1545*EXP((mc_mu-mc_vol^2/2)*(mc_t2-mc_t1)+mc_vol*SQRT(mc_t2-mc_t1)*I1545)</f>
        <v>1015.9716595815</v>
      </c>
      <c r="L1545" s="31" t="n">
        <f aca="false">(t1_usd*J1545+t2_usd*K1545)/1000</f>
        <v>9551.6468389232</v>
      </c>
    </row>
    <row r="1546" customFormat="false" ht="15" hidden="false" customHeight="false" outlineLevel="0" collapsed="false">
      <c r="E1546" s="54" t="n">
        <v>1542</v>
      </c>
      <c r="F1546" s="61" t="n">
        <v>0.997372</v>
      </c>
      <c r="G1546" s="61" t="n">
        <v>0.949183</v>
      </c>
      <c r="H1546" s="34" t="n">
        <f aca="false">NORMSINV(F1546)</f>
        <v>2.79091052316506</v>
      </c>
      <c r="I1546" s="34" t="n">
        <f aca="false">NORMSINV(G1546)</f>
        <v>1.63698310390209</v>
      </c>
      <c r="J1546" s="59" t="n">
        <f aca="false">mc_s0*EXP((mc_mu-mc_vol^2/2)*mc_t1+mc_vol*SQRT(mc_t1)*H1546)</f>
        <v>1496.46479525288</v>
      </c>
      <c r="K1546" s="59" t="n">
        <f aca="false">J1546*EXP((mc_mu-mc_vol^2/2)*(mc_t2-mc_t1)+mc_vol*SQRT(mc_t2-mc_t1)*I1546)</f>
        <v>1972.35769893048</v>
      </c>
      <c r="L1546" s="31" t="n">
        <f aca="false">(t1_usd*J1546+t2_usd*K1546)/1000</f>
        <v>14222.7331947381</v>
      </c>
    </row>
    <row r="1547" customFormat="false" ht="15" hidden="false" customHeight="false" outlineLevel="0" collapsed="false">
      <c r="E1547" s="54" t="n">
        <v>1543</v>
      </c>
      <c r="F1547" s="61" t="n">
        <v>0.078136</v>
      </c>
      <c r="G1547" s="61" t="n">
        <v>0.023651</v>
      </c>
      <c r="H1547" s="34" t="n">
        <f aca="false">NORMSINV(F1547)</f>
        <v>-1.41772180978105</v>
      </c>
      <c r="I1547" s="34" t="n">
        <f aca="false">NORMSINV(G1547)</f>
        <v>-1.98358610021943</v>
      </c>
      <c r="J1547" s="59" t="n">
        <f aca="false">mc_s0*EXP((mc_mu-mc_vol^2/2)*mc_t1+mc_vol*SQRT(mc_t1)*H1547)</f>
        <v>1001.08650434615</v>
      </c>
      <c r="K1547" s="59" t="n">
        <f aca="false">J1547*EXP((mc_mu-mc_vol^2/2)*(mc_t2-mc_t1)+mc_vol*SQRT(mc_t2-mc_t1)*I1547)</f>
        <v>745.74835308247</v>
      </c>
      <c r="L1547" s="31" t="n">
        <f aca="false">(t1_usd*J1547+t2_usd*K1547)/1000</f>
        <v>8424.52740127971</v>
      </c>
    </row>
    <row r="1548" customFormat="false" ht="15" hidden="false" customHeight="false" outlineLevel="0" collapsed="false">
      <c r="E1548" s="54" t="n">
        <v>1544</v>
      </c>
      <c r="F1548" s="61" t="n">
        <v>0.0536</v>
      </c>
      <c r="G1548" s="61" t="n">
        <v>0.681646</v>
      </c>
      <c r="H1548" s="34" t="n">
        <f aca="false">NORMSINV(F1548)</f>
        <v>-1.61090697283983</v>
      </c>
      <c r="I1548" s="34" t="n">
        <f aca="false">NORMSINV(G1548)</f>
        <v>0.472306544100764</v>
      </c>
      <c r="J1548" s="59" t="n">
        <f aca="false">mc_s0*EXP((mc_mu-mc_vol^2/2)*mc_t1+mc_vol*SQRT(mc_t1)*H1548)</f>
        <v>982.782308722287</v>
      </c>
      <c r="K1548" s="59" t="n">
        <f aca="false">J1548*EXP((mc_mu-mc_vol^2/2)*(mc_t2-mc_t1)+mc_vol*SQRT(mc_t2-mc_t1)*I1548)</f>
        <v>1078.11199745327</v>
      </c>
      <c r="L1548" s="31" t="n">
        <f aca="false">(t1_usd*J1548+t2_usd*K1548)/1000</f>
        <v>8927.88895621722</v>
      </c>
    </row>
    <row r="1549" customFormat="false" ht="15" hidden="false" customHeight="false" outlineLevel="0" collapsed="false">
      <c r="E1549" s="54" t="n">
        <v>1545</v>
      </c>
      <c r="F1549" s="61" t="n">
        <v>0.550271</v>
      </c>
      <c r="G1549" s="61" t="n">
        <v>0.957243</v>
      </c>
      <c r="H1549" s="34" t="n">
        <f aca="false">NORMSINV(F1549)</f>
        <v>0.12634605716238</v>
      </c>
      <c r="I1549" s="34" t="n">
        <f aca="false">NORMSINV(G1549)</f>
        <v>1.7195514925978</v>
      </c>
      <c r="J1549" s="59" t="n">
        <f aca="false">mc_s0*EXP((mc_mu-mc_vol^2/2)*mc_t1+mc_vol*SQRT(mc_t1)*H1549)</f>
        <v>1160.18483228957</v>
      </c>
      <c r="K1549" s="59" t="n">
        <f aca="false">J1549*EXP((mc_mu-mc_vol^2/2)*(mc_t2-mc_t1)+mc_vol*SQRT(mc_t2-mc_t1)*I1549)</f>
        <v>1549.16434372248</v>
      </c>
      <c r="L1549" s="31" t="n">
        <f aca="false">(t1_usd*J1549+t2_usd*K1549)/1000</f>
        <v>11064.7060790997</v>
      </c>
    </row>
    <row r="1550" customFormat="false" ht="15" hidden="false" customHeight="false" outlineLevel="0" collapsed="false">
      <c r="E1550" s="54" t="n">
        <v>1546</v>
      </c>
      <c r="F1550" s="61" t="n">
        <v>0.952755</v>
      </c>
      <c r="G1550" s="61" t="n">
        <v>0.771913</v>
      </c>
      <c r="H1550" s="34" t="n">
        <f aca="false">NORMSINV(F1550)</f>
        <v>1.6721740804527</v>
      </c>
      <c r="I1550" s="34" t="n">
        <f aca="false">NORMSINV(G1550)</f>
        <v>0.745161655759386</v>
      </c>
      <c r="J1550" s="59" t="n">
        <f aca="false">mc_s0*EXP((mc_mu-mc_vol^2/2)*mc_t1+mc_vol*SQRT(mc_t1)*H1550)</f>
        <v>1344.79405374744</v>
      </c>
      <c r="K1550" s="59" t="n">
        <f aca="false">J1550*EXP((mc_mu-mc_vol^2/2)*(mc_t2-mc_t1)+mc_vol*SQRT(mc_t2-mc_t1)*I1550)</f>
        <v>1540.05786690095</v>
      </c>
      <c r="L1550" s="31" t="n">
        <f aca="false">(t1_usd*J1550+t2_usd*K1550)/1000</f>
        <v>12339.6683233439</v>
      </c>
    </row>
    <row r="1551" customFormat="false" ht="15" hidden="false" customHeight="false" outlineLevel="0" collapsed="false">
      <c r="E1551" s="54" t="n">
        <v>1547</v>
      </c>
      <c r="F1551" s="61" t="n">
        <v>0.690844</v>
      </c>
      <c r="G1551" s="61" t="n">
        <v>0.318837</v>
      </c>
      <c r="H1551" s="34" t="n">
        <f aca="false">NORMSINV(F1551)</f>
        <v>0.498244103874939</v>
      </c>
      <c r="I1551" s="34" t="n">
        <f aca="false">NORMSINV(G1551)</f>
        <v>-0.470953418215076</v>
      </c>
      <c r="J1551" s="59" t="n">
        <f aca="false">mc_s0*EXP((mc_mu-mc_vol^2/2)*mc_t1+mc_vol*SQRT(mc_t1)*H1551)</f>
        <v>1202.14084924504</v>
      </c>
      <c r="K1551" s="59" t="n">
        <f aca="false">J1551*EXP((mc_mu-mc_vol^2/2)*(mc_t2-mc_t1)+mc_vol*SQRT(mc_t2-mc_t1)*I1551)</f>
        <v>1136.588979023</v>
      </c>
      <c r="L1551" s="31" t="n">
        <f aca="false">(t1_usd*J1551+t2_usd*K1551)/1000</f>
        <v>10574.505004859</v>
      </c>
    </row>
    <row r="1552" customFormat="false" ht="15" hidden="false" customHeight="false" outlineLevel="0" collapsed="false">
      <c r="E1552" s="54" t="n">
        <v>1548</v>
      </c>
      <c r="F1552" s="61" t="n">
        <v>0.841998</v>
      </c>
      <c r="G1552" s="61" t="n">
        <v>0.744108</v>
      </c>
      <c r="H1552" s="34" t="n">
        <f aca="false">NORMSINV(F1552)</f>
        <v>1.00270337712423</v>
      </c>
      <c r="I1552" s="34" t="n">
        <f aca="false">NORMSINV(G1552)</f>
        <v>0.656062362238595</v>
      </c>
      <c r="J1552" s="59" t="n">
        <f aca="false">mc_s0*EXP((mc_mu-mc_vol^2/2)*mc_t1+mc_vol*SQRT(mc_t1)*H1552)</f>
        <v>1261.48712430045</v>
      </c>
      <c r="K1552" s="59" t="n">
        <f aca="false">J1552*EXP((mc_mu-mc_vol^2/2)*(mc_t2-mc_t1)+mc_vol*SQRT(mc_t2-mc_t1)*I1552)</f>
        <v>1424.51150275429</v>
      </c>
      <c r="L1552" s="31" t="n">
        <f aca="false">(t1_usd*J1552+t2_usd*K1552)/1000</f>
        <v>11536.9817253363</v>
      </c>
    </row>
    <row r="1553" customFormat="false" ht="15" hidden="false" customHeight="false" outlineLevel="0" collapsed="false">
      <c r="E1553" s="54" t="n">
        <v>1549</v>
      </c>
      <c r="F1553" s="61" t="n">
        <v>0.822614</v>
      </c>
      <c r="G1553" s="61" t="n">
        <v>0.021728</v>
      </c>
      <c r="H1553" s="34" t="n">
        <f aca="false">NORMSINV(F1553)</f>
        <v>0.925372842946443</v>
      </c>
      <c r="I1553" s="34" t="n">
        <f aca="false">NORMSINV(G1553)</f>
        <v>-2.0193004610928</v>
      </c>
      <c r="J1553" s="59" t="n">
        <f aca="false">mc_s0*EXP((mc_mu-mc_vol^2/2)*mc_t1+mc_vol*SQRT(mc_t1)*H1553)</f>
        <v>1252.20308345814</v>
      </c>
      <c r="K1553" s="59" t="n">
        <f aca="false">J1553*EXP((mc_mu-mc_vol^2/2)*(mc_t2-mc_t1)+mc_vol*SQRT(mc_t2-mc_t1)*I1553)</f>
        <v>927.579427405153</v>
      </c>
      <c r="L1553" s="31" t="n">
        <f aca="false">(t1_usd*J1553+t2_usd*K1553)/1000</f>
        <v>10527.8224962768</v>
      </c>
    </row>
    <row r="1554" customFormat="false" ht="15" hidden="false" customHeight="false" outlineLevel="0" collapsed="false">
      <c r="E1554" s="54" t="n">
        <v>1550</v>
      </c>
      <c r="F1554" s="61" t="n">
        <v>0.748068</v>
      </c>
      <c r="G1554" s="61" t="n">
        <v>0.634124</v>
      </c>
      <c r="H1554" s="34" t="n">
        <f aca="false">NORMSINV(F1554)</f>
        <v>0.668422401374776</v>
      </c>
      <c r="I1554" s="34" t="n">
        <f aca="false">NORMSINV(G1554)</f>
        <v>0.342795914103413</v>
      </c>
      <c r="J1554" s="59" t="n">
        <f aca="false">mc_s0*EXP((mc_mu-mc_vol^2/2)*mc_t1+mc_vol*SQRT(mc_t1)*H1554)</f>
        <v>1221.84240307231</v>
      </c>
      <c r="K1554" s="59" t="n">
        <f aca="false">J1554*EXP((mc_mu-mc_vol^2/2)*(mc_t2-mc_t1)+mc_vol*SQRT(mc_t2-mc_t1)*I1554)</f>
        <v>1313.28140136451</v>
      </c>
      <c r="L1554" s="31" t="n">
        <f aca="false">(t1_usd*J1554+t2_usd*K1554)/1000</f>
        <v>11048.1314840988</v>
      </c>
    </row>
    <row r="1555" customFormat="false" ht="15" hidden="false" customHeight="false" outlineLevel="0" collapsed="false">
      <c r="E1555" s="54" t="n">
        <v>1551</v>
      </c>
      <c r="F1555" s="61" t="n">
        <v>0.460541</v>
      </c>
      <c r="G1555" s="61" t="n">
        <v>0.403617</v>
      </c>
      <c r="H1555" s="34" t="n">
        <f aca="false">NORMSINV(F1555)</f>
        <v>-0.0990708708186111</v>
      </c>
      <c r="I1555" s="34" t="n">
        <f aca="false">NORMSINV(G1555)</f>
        <v>-0.24399589393245</v>
      </c>
      <c r="J1555" s="59" t="n">
        <f aca="false">mc_s0*EXP((mc_mu-mc_vol^2/2)*mc_t1+mc_vol*SQRT(mc_t1)*H1555)</f>
        <v>1135.47028585926</v>
      </c>
      <c r="K1555" s="59" t="n">
        <f aca="false">J1555*EXP((mc_mu-mc_vol^2/2)*(mc_t2-mc_t1)+mc_vol*SQRT(mc_t2-mc_t1)*I1555)</f>
        <v>1112.64662185182</v>
      </c>
      <c r="L1555" s="31" t="n">
        <f aca="false">(t1_usd*J1555+t2_usd*K1555)/1000</f>
        <v>10062.3205825333</v>
      </c>
    </row>
    <row r="1556" customFormat="false" ht="15" hidden="false" customHeight="false" outlineLevel="0" collapsed="false">
      <c r="E1556" s="54" t="n">
        <v>1552</v>
      </c>
      <c r="F1556" s="61" t="n">
        <v>0.19888</v>
      </c>
      <c r="G1556" s="61" t="n">
        <v>0.419704</v>
      </c>
      <c r="H1556" s="34" t="n">
        <f aca="false">NORMSINV(F1556)</f>
        <v>-0.845628538332311</v>
      </c>
      <c r="I1556" s="34" t="n">
        <f aca="false">NORMSINV(G1556)</f>
        <v>-0.202650775765133</v>
      </c>
      <c r="J1556" s="59" t="n">
        <f aca="false">mc_s0*EXP((mc_mu-mc_vol^2/2)*mc_t1+mc_vol*SQRT(mc_t1)*H1556)</f>
        <v>1057.31615238695</v>
      </c>
      <c r="K1556" s="59" t="n">
        <f aca="false">J1556*EXP((mc_mu-mc_vol^2/2)*(mc_t2-mc_t1)+mc_vol*SQRT(mc_t2-mc_t1)*I1556)</f>
        <v>1042.83616433469</v>
      </c>
      <c r="L1556" s="31" t="n">
        <f aca="false">(t1_usd*J1556+t2_usd*K1556)/1000</f>
        <v>9382.60177894452</v>
      </c>
    </row>
    <row r="1557" customFormat="false" ht="15" hidden="false" customHeight="false" outlineLevel="0" collapsed="false">
      <c r="E1557" s="54" t="n">
        <v>1553</v>
      </c>
      <c r="F1557" s="61" t="n">
        <v>0.532139</v>
      </c>
      <c r="G1557" s="61" t="n">
        <v>0.797521</v>
      </c>
      <c r="H1557" s="34" t="n">
        <f aca="false">NORMSINV(F1557)</f>
        <v>0.0806478642264391</v>
      </c>
      <c r="I1557" s="34" t="n">
        <f aca="false">NORMSINV(G1557)</f>
        <v>0.832799175192154</v>
      </c>
      <c r="J1557" s="59" t="n">
        <f aca="false">mc_s0*EXP((mc_mu-mc_vol^2/2)*mc_t1+mc_vol*SQRT(mc_t1)*H1557)</f>
        <v>1155.13141792178</v>
      </c>
      <c r="K1557" s="59" t="n">
        <f aca="false">J1557*EXP((mc_mu-mc_vol^2/2)*(mc_t2-mc_t1)+mc_vol*SQRT(mc_t2-mc_t1)*I1557)</f>
        <v>1341.25307352786</v>
      </c>
      <c r="L1557" s="31" t="n">
        <f aca="false">(t1_usd*J1557+t2_usd*K1557)/1000</f>
        <v>10634.3007651554</v>
      </c>
    </row>
    <row r="1558" customFormat="false" ht="15" hidden="false" customHeight="false" outlineLevel="0" collapsed="false">
      <c r="E1558" s="54" t="n">
        <v>1554</v>
      </c>
      <c r="F1558" s="61" t="n">
        <v>0.726054</v>
      </c>
      <c r="G1558" s="61" t="n">
        <v>0.502647</v>
      </c>
      <c r="H1558" s="34" t="n">
        <f aca="false">NORMSINV(F1558)</f>
        <v>0.600921908944083</v>
      </c>
      <c r="I1558" s="34" t="n">
        <f aca="false">NORMSINV(G1558)</f>
        <v>0.00663509372703941</v>
      </c>
      <c r="J1558" s="59" t="n">
        <f aca="false">mc_s0*EXP((mc_mu-mc_vol^2/2)*mc_t1+mc_vol*SQRT(mc_t1)*H1558)</f>
        <v>1213.98952221669</v>
      </c>
      <c r="K1558" s="59" t="n">
        <f aca="false">J1558*EXP((mc_mu-mc_vol^2/2)*(mc_t2-mc_t1)+mc_vol*SQRT(mc_t2-mc_t1)*I1558)</f>
        <v>1237.51385131715</v>
      </c>
      <c r="L1558" s="31" t="n">
        <f aca="false">(t1_usd*J1558+t2_usd*K1558)/1000</f>
        <v>10849.2029730194</v>
      </c>
    </row>
    <row r="1559" customFormat="false" ht="15" hidden="false" customHeight="false" outlineLevel="0" collapsed="false">
      <c r="E1559" s="54" t="n">
        <v>1555</v>
      </c>
      <c r="F1559" s="61" t="n">
        <v>0.393102</v>
      </c>
      <c r="G1559" s="61" t="n">
        <v>0.059294</v>
      </c>
      <c r="H1559" s="34" t="n">
        <f aca="false">NORMSINV(F1559)</f>
        <v>-0.271243185839944</v>
      </c>
      <c r="I1559" s="34" t="n">
        <f aca="false">NORMSINV(G1559)</f>
        <v>-1.56072775358947</v>
      </c>
      <c r="J1559" s="59" t="n">
        <f aca="false">mc_s0*EXP((mc_mu-mc_vol^2/2)*mc_t1+mc_vol*SQRT(mc_t1)*H1559)</f>
        <v>1116.94866641887</v>
      </c>
      <c r="K1559" s="59" t="n">
        <f aca="false">J1559*EXP((mc_mu-mc_vol^2/2)*(mc_t2-mc_t1)+mc_vol*SQRT(mc_t2-mc_t1)*I1559)</f>
        <v>889.395894914253</v>
      </c>
      <c r="L1559" s="31" t="n">
        <f aca="false">(t1_usd*J1559+t2_usd*K1559)/1000</f>
        <v>9508.49286526918</v>
      </c>
    </row>
    <row r="1560" customFormat="false" ht="15" hidden="false" customHeight="false" outlineLevel="0" collapsed="false">
      <c r="E1560" s="54" t="n">
        <v>1556</v>
      </c>
      <c r="F1560" s="61" t="n">
        <v>0.726153</v>
      </c>
      <c r="G1560" s="61" t="n">
        <v>0.019703</v>
      </c>
      <c r="H1560" s="34" t="n">
        <f aca="false">NORMSINV(F1560)</f>
        <v>0.60121919692166</v>
      </c>
      <c r="I1560" s="34" t="n">
        <f aca="false">NORMSINV(G1560)</f>
        <v>-2.05992198066752</v>
      </c>
      <c r="J1560" s="59" t="n">
        <f aca="false">mc_s0*EXP((mc_mu-mc_vol^2/2)*mc_t1+mc_vol*SQRT(mc_t1)*H1560)</f>
        <v>1214.0239972505</v>
      </c>
      <c r="K1560" s="59" t="n">
        <f aca="false">J1560*EXP((mc_mu-mc_vol^2/2)*(mc_t2-mc_t1)+mc_vol*SQRT(mc_t2-mc_t1)*I1560)</f>
        <v>893.559339109766</v>
      </c>
      <c r="L1560" s="31" t="n">
        <f aca="false">(t1_usd*J1560+t2_usd*K1560)/1000</f>
        <v>10195.930725062</v>
      </c>
    </row>
    <row r="1561" customFormat="false" ht="15" hidden="false" customHeight="false" outlineLevel="0" collapsed="false">
      <c r="E1561" s="54" t="n">
        <v>1557</v>
      </c>
      <c r="F1561" s="61" t="n">
        <v>0.604982</v>
      </c>
      <c r="G1561" s="61" t="n">
        <v>0.10093</v>
      </c>
      <c r="H1561" s="34" t="n">
        <f aca="false">NORMSINV(F1561)</f>
        <v>0.266263865518987</v>
      </c>
      <c r="I1561" s="34" t="n">
        <f aca="false">NORMSINV(G1561)</f>
        <v>-1.2762702582436</v>
      </c>
      <c r="J1561" s="59" t="n">
        <f aca="false">mc_s0*EXP((mc_mu-mc_vol^2/2)*mc_t1+mc_vol*SQRT(mc_t1)*H1561)</f>
        <v>1175.7951556917</v>
      </c>
      <c r="K1561" s="59" t="n">
        <f aca="false">J1561*EXP((mc_mu-mc_vol^2/2)*(mc_t2-mc_t1)+mc_vol*SQRT(mc_t2-mc_t1)*I1561)</f>
        <v>979.179634869904</v>
      </c>
      <c r="L1561" s="31" t="n">
        <f aca="false">(t1_usd*J1561+t2_usd*K1561)/1000</f>
        <v>10091.0073960947</v>
      </c>
    </row>
    <row r="1562" customFormat="false" ht="15" hidden="false" customHeight="false" outlineLevel="0" collapsed="false">
      <c r="E1562" s="54" t="n">
        <v>1558</v>
      </c>
      <c r="F1562" s="61" t="n">
        <v>0.411831</v>
      </c>
      <c r="G1562" s="61" t="n">
        <v>0.766616</v>
      </c>
      <c r="H1562" s="34" t="n">
        <f aca="false">NORMSINV(F1562)</f>
        <v>-0.222837475520614</v>
      </c>
      <c r="I1562" s="34" t="n">
        <f aca="false">NORMSINV(G1562)</f>
        <v>0.727747773633503</v>
      </c>
      <c r="J1562" s="59" t="n">
        <f aca="false">mc_s0*EXP((mc_mu-mc_vol^2/2)*mc_t1+mc_vol*SQRT(mc_t1)*H1562)</f>
        <v>1122.12521747467</v>
      </c>
      <c r="K1562" s="59" t="n">
        <f aca="false">J1562*EXP((mc_mu-mc_vol^2/2)*(mc_t2-mc_t1)+mc_vol*SQRT(mc_t2-mc_t1)*I1562)</f>
        <v>1281.53580160383</v>
      </c>
      <c r="L1562" s="31" t="n">
        <f aca="false">(t1_usd*J1562+t2_usd*K1562)/1000</f>
        <v>10289.7945453699</v>
      </c>
    </row>
    <row r="1563" customFormat="false" ht="15" hidden="false" customHeight="false" outlineLevel="0" collapsed="false">
      <c r="E1563" s="54" t="n">
        <v>1559</v>
      </c>
      <c r="F1563" s="61" t="n">
        <v>0.397805</v>
      </c>
      <c r="G1563" s="61" t="n">
        <v>0.328107</v>
      </c>
      <c r="H1563" s="34" t="n">
        <f aca="false">NORMSINV(F1563)</f>
        <v>-0.259032713428303</v>
      </c>
      <c r="I1563" s="34" t="n">
        <f aca="false">NORMSINV(G1563)</f>
        <v>-0.445146343009039</v>
      </c>
      <c r="J1563" s="59" t="n">
        <f aca="false">mc_s0*EXP((mc_mu-mc_vol^2/2)*mc_t1+mc_vol*SQRT(mc_t1)*H1563)</f>
        <v>1118.25220902306</v>
      </c>
      <c r="K1563" s="59" t="n">
        <f aca="false">J1563*EXP((mc_mu-mc_vol^2/2)*(mc_t2-mc_t1)+mc_vol*SQRT(mc_t2-mc_t1)*I1563)</f>
        <v>1061.58343846447</v>
      </c>
      <c r="L1563" s="31" t="n">
        <f aca="false">(t1_usd*J1563+t2_usd*K1563)/1000</f>
        <v>9844.77399624391</v>
      </c>
    </row>
    <row r="1564" customFormat="false" ht="15" hidden="false" customHeight="false" outlineLevel="0" collapsed="false">
      <c r="E1564" s="54" t="n">
        <v>1560</v>
      </c>
      <c r="F1564" s="61" t="n">
        <v>0.524603</v>
      </c>
      <c r="G1564" s="61" t="n">
        <v>0.499266</v>
      </c>
      <c r="H1564" s="34" t="n">
        <f aca="false">NORMSINV(F1564)</f>
        <v>0.0617097191002486</v>
      </c>
      <c r="I1564" s="34" t="n">
        <f aca="false">NORMSINV(G1564)</f>
        <v>-0.00183986619160283</v>
      </c>
      <c r="J1564" s="59" t="n">
        <f aca="false">mc_s0*EXP((mc_mu-mc_vol^2/2)*mc_t1+mc_vol*SQRT(mc_t1)*H1564)</f>
        <v>1153.04364951655</v>
      </c>
      <c r="K1564" s="59" t="n">
        <f aca="false">J1564*EXP((mc_mu-mc_vol^2/2)*(mc_t2-mc_t1)+mc_vol*SQRT(mc_t2-mc_t1)*I1564)</f>
        <v>1173.81819321886</v>
      </c>
      <c r="L1564" s="31" t="n">
        <f aca="false">(t1_usd*J1564+t2_usd*K1564)/1000</f>
        <v>10301.5601137317</v>
      </c>
    </row>
    <row r="1565" customFormat="false" ht="15" hidden="false" customHeight="false" outlineLevel="0" collapsed="false">
      <c r="E1565" s="54" t="n">
        <v>1561</v>
      </c>
      <c r="F1565" s="61" t="n">
        <v>0.668026</v>
      </c>
      <c r="G1565" s="61" t="n">
        <v>0.735423</v>
      </c>
      <c r="H1565" s="34" t="n">
        <f aca="false">NORMSINV(F1565)</f>
        <v>0.434468864175333</v>
      </c>
      <c r="I1565" s="34" t="n">
        <f aca="false">NORMSINV(G1565)</f>
        <v>0.629297970166247</v>
      </c>
      <c r="J1565" s="59" t="n">
        <f aca="false">mc_s0*EXP((mc_mu-mc_vol^2/2)*mc_t1+mc_vol*SQRT(mc_t1)*H1565)</f>
        <v>1194.83969507473</v>
      </c>
      <c r="K1565" s="59" t="n">
        <f aca="false">J1565*EXP((mc_mu-mc_vol^2/2)*(mc_t2-mc_t1)+mc_vol*SQRT(mc_t2-mc_t1)*I1565)</f>
        <v>1343.57209714753</v>
      </c>
      <c r="L1565" s="31" t="n">
        <f aca="false">(t1_usd*J1565+t2_usd*K1565)/1000</f>
        <v>10916.6648501034</v>
      </c>
    </row>
    <row r="1566" customFormat="false" ht="15" hidden="false" customHeight="false" outlineLevel="0" collapsed="false">
      <c r="E1566" s="54" t="n">
        <v>1562</v>
      </c>
      <c r="F1566" s="61" t="n">
        <v>0.566597</v>
      </c>
      <c r="G1566" s="61" t="n">
        <v>0.023744</v>
      </c>
      <c r="H1566" s="34" t="n">
        <f aca="false">NORMSINV(F1566)</f>
        <v>0.167716900309556</v>
      </c>
      <c r="I1566" s="34" t="n">
        <f aca="false">NORMSINV(G1566)</f>
        <v>-1.98192174304756</v>
      </c>
      <c r="J1566" s="59" t="n">
        <f aca="false">mc_s0*EXP((mc_mu-mc_vol^2/2)*mc_t1+mc_vol*SQRT(mc_t1)*H1566)</f>
        <v>1164.77878183333</v>
      </c>
      <c r="K1566" s="59" t="n">
        <f aca="false">J1566*EXP((mc_mu-mc_vol^2/2)*(mc_t2-mc_t1)+mc_vol*SQRT(mc_t2-mc_t1)*I1566)</f>
        <v>867.91672748455</v>
      </c>
      <c r="L1566" s="31" t="n">
        <f aca="false">(t1_usd*J1566+t2_usd*K1566)/1000</f>
        <v>9802.49325505397</v>
      </c>
    </row>
    <row r="1567" customFormat="false" ht="15" hidden="false" customHeight="false" outlineLevel="0" collapsed="false">
      <c r="E1567" s="54" t="n">
        <v>1563</v>
      </c>
      <c r="F1567" s="61" t="n">
        <v>0.368008</v>
      </c>
      <c r="G1567" s="61" t="n">
        <v>0.823887</v>
      </c>
      <c r="H1567" s="34" t="n">
        <f aca="false">NORMSINV(F1567)</f>
        <v>-0.337133851283431</v>
      </c>
      <c r="I1567" s="34" t="n">
        <f aca="false">NORMSINV(G1567)</f>
        <v>0.930280251648968</v>
      </c>
      <c r="J1567" s="59" t="n">
        <f aca="false">mc_s0*EXP((mc_mu-mc_vol^2/2)*mc_t1+mc_vol*SQRT(mc_t1)*H1567)</f>
        <v>1109.94061405475</v>
      </c>
      <c r="K1567" s="59" t="n">
        <f aca="false">J1567*EXP((mc_mu-mc_vol^2/2)*(mc_t2-mc_t1)+mc_vol*SQRT(mc_t2-mc_t1)*I1567)</f>
        <v>1308.73242594673</v>
      </c>
      <c r="L1567" s="31" t="n">
        <f aca="false">(t1_usd*J1567+t2_usd*K1567)/1000</f>
        <v>10256.175907682</v>
      </c>
    </row>
    <row r="1568" customFormat="false" ht="15" hidden="false" customHeight="false" outlineLevel="0" collapsed="false">
      <c r="E1568" s="54" t="n">
        <v>1564</v>
      </c>
      <c r="F1568" s="61" t="n">
        <v>0.965363</v>
      </c>
      <c r="G1568" s="61" t="n">
        <v>0.836227</v>
      </c>
      <c r="H1568" s="34" t="n">
        <f aca="false">NORMSINV(F1568)</f>
        <v>1.81662860758978</v>
      </c>
      <c r="I1568" s="34" t="n">
        <f aca="false">NORMSINV(G1568)</f>
        <v>0.979068772441895</v>
      </c>
      <c r="J1568" s="59" t="n">
        <f aca="false">mc_s0*EXP((mc_mu-mc_vol^2/2)*mc_t1+mc_vol*SQRT(mc_t1)*H1568)</f>
        <v>1363.47904832616</v>
      </c>
      <c r="K1568" s="59" t="n">
        <f aca="false">J1568*EXP((mc_mu-mc_vol^2/2)*(mc_t2-mc_t1)+mc_vol*SQRT(mc_t2-mc_t1)*I1568)</f>
        <v>1620.08859839278</v>
      </c>
      <c r="L1568" s="31" t="n">
        <f aca="false">(t1_usd*J1568+t2_usd*K1568)/1000</f>
        <v>12622.5216752294</v>
      </c>
    </row>
    <row r="1569" customFormat="false" ht="15" hidden="false" customHeight="false" outlineLevel="0" collapsed="false">
      <c r="E1569" s="54" t="n">
        <v>1565</v>
      </c>
      <c r="F1569" s="61" t="n">
        <v>0.696717</v>
      </c>
      <c r="G1569" s="61" t="n">
        <v>0.843496</v>
      </c>
      <c r="H1569" s="34" t="n">
        <f aca="false">NORMSINV(F1569)</f>
        <v>0.514981425151187</v>
      </c>
      <c r="I1569" s="34" t="n">
        <f aca="false">NORMSINV(G1569)</f>
        <v>1.00893043033713</v>
      </c>
      <c r="J1569" s="59" t="n">
        <f aca="false">mc_s0*EXP((mc_mu-mc_vol^2/2)*mc_t1+mc_vol*SQRT(mc_t1)*H1569)</f>
        <v>1204.06436069779</v>
      </c>
      <c r="K1569" s="59" t="n">
        <f aca="false">J1569*EXP((mc_mu-mc_vol^2/2)*(mc_t2-mc_t1)+mc_vol*SQRT(mc_t2-mc_t1)*I1569)</f>
        <v>1437.42033987573</v>
      </c>
      <c r="L1569" s="31" t="n">
        <f aca="false">(t1_usd*J1569+t2_usd*K1569)/1000</f>
        <v>11159.5491706484</v>
      </c>
    </row>
    <row r="1570" customFormat="false" ht="15" hidden="false" customHeight="false" outlineLevel="0" collapsed="false">
      <c r="E1570" s="54" t="n">
        <v>1566</v>
      </c>
      <c r="F1570" s="61" t="n">
        <v>0.018425</v>
      </c>
      <c r="G1570" s="61" t="n">
        <v>0.055836</v>
      </c>
      <c r="H1570" s="34" t="n">
        <f aca="false">NORMSINV(F1570)</f>
        <v>-2.08742205552001</v>
      </c>
      <c r="I1570" s="34" t="n">
        <f aca="false">NORMSINV(G1570)</f>
        <v>-1.59072268202188</v>
      </c>
      <c r="J1570" s="59" t="n">
        <f aca="false">mc_s0*EXP((mc_mu-mc_vol^2/2)*mc_t1+mc_vol*SQRT(mc_t1)*H1570)</f>
        <v>939.050884621357</v>
      </c>
      <c r="K1570" s="59" t="n">
        <f aca="false">J1570*EXP((mc_mu-mc_vol^2/2)*(mc_t2-mc_t1)+mc_vol*SQRT(mc_t2-mc_t1)*I1570)</f>
        <v>744.214494521768</v>
      </c>
      <c r="L1570" s="31" t="n">
        <f aca="false">(t1_usd*J1570+t2_usd*K1570)/1000</f>
        <v>7987.36373194086</v>
      </c>
    </row>
    <row r="1571" customFormat="false" ht="15" hidden="false" customHeight="false" outlineLevel="0" collapsed="false">
      <c r="E1571" s="54" t="n">
        <v>1567</v>
      </c>
      <c r="F1571" s="61" t="n">
        <v>0.500206</v>
      </c>
      <c r="G1571" s="61" t="n">
        <v>0.691053</v>
      </c>
      <c r="H1571" s="34" t="n">
        <f aca="false">NORMSINV(F1571)</f>
        <v>0.000516365447520786</v>
      </c>
      <c r="I1571" s="34" t="n">
        <f aca="false">NORMSINV(G1571)</f>
        <v>0.498837311351974</v>
      </c>
      <c r="J1571" s="59" t="n">
        <f aca="false">mc_s0*EXP((mc_mu-mc_vol^2/2)*mc_t1+mc_vol*SQRT(mc_t1)*H1571)</f>
        <v>1146.32336640729</v>
      </c>
      <c r="K1571" s="59" t="n">
        <f aca="false">J1571*EXP((mc_mu-mc_vol^2/2)*(mc_t2-mc_t1)+mc_vol*SQRT(mc_t2-mc_t1)*I1571)</f>
        <v>1262.78527475049</v>
      </c>
      <c r="L1571" s="31" t="n">
        <f aca="false">(t1_usd*J1571+t2_usd*K1571)/1000</f>
        <v>10423.5555868769</v>
      </c>
    </row>
    <row r="1572" customFormat="false" ht="15" hidden="false" customHeight="false" outlineLevel="0" collapsed="false">
      <c r="E1572" s="54" t="n">
        <v>1568</v>
      </c>
      <c r="F1572" s="61" t="n">
        <v>0.604733</v>
      </c>
      <c r="G1572" s="61" t="n">
        <v>0.052782</v>
      </c>
      <c r="H1572" s="34" t="n">
        <f aca="false">NORMSINV(F1572)</f>
        <v>0.265617248855537</v>
      </c>
      <c r="I1572" s="34" t="n">
        <f aca="false">NORMSINV(G1572)</f>
        <v>-1.61845768044074</v>
      </c>
      <c r="J1572" s="59" t="n">
        <f aca="false">mc_s0*EXP((mc_mu-mc_vol^2/2)*mc_t1+mc_vol*SQRT(mc_t1)*H1572)</f>
        <v>1175.72253315817</v>
      </c>
      <c r="K1572" s="59" t="n">
        <f aca="false">J1572*EXP((mc_mu-mc_vol^2/2)*(mc_t2-mc_t1)+mc_vol*SQRT(mc_t2-mc_t1)*I1572)</f>
        <v>927.717192336509</v>
      </c>
      <c r="L1572" s="31" t="n">
        <f aca="false">(t1_usd*J1572+t2_usd*K1572)/1000</f>
        <v>9992.72039754658</v>
      </c>
    </row>
    <row r="1573" customFormat="false" ht="15" hidden="false" customHeight="false" outlineLevel="0" collapsed="false">
      <c r="E1573" s="54" t="n">
        <v>1569</v>
      </c>
      <c r="F1573" s="61" t="n">
        <v>0.440747</v>
      </c>
      <c r="G1573" s="61" t="n">
        <v>0.941772</v>
      </c>
      <c r="H1573" s="34" t="n">
        <f aca="false">NORMSINV(F1573)</f>
        <v>-0.149075573523506</v>
      </c>
      <c r="I1573" s="34" t="n">
        <f aca="false">NORMSINV(G1573)</f>
        <v>1.56982426842189</v>
      </c>
      <c r="J1573" s="59" t="n">
        <f aca="false">mc_s0*EXP((mc_mu-mc_vol^2/2)*mc_t1+mc_vol*SQRT(mc_t1)*H1573)</f>
        <v>1130.05955335147</v>
      </c>
      <c r="K1573" s="59" t="n">
        <f aca="false">J1573*EXP((mc_mu-mc_vol^2/2)*(mc_t2-mc_t1)+mc_vol*SQRT(mc_t2-mc_t1)*I1573)</f>
        <v>1473.7507223414</v>
      </c>
      <c r="L1573" s="31" t="n">
        <f aca="false">(t1_usd*J1573+t2_usd*K1573)/1000</f>
        <v>10710.5432459089</v>
      </c>
    </row>
    <row r="1574" customFormat="false" ht="15" hidden="false" customHeight="false" outlineLevel="0" collapsed="false">
      <c r="E1574" s="54" t="n">
        <v>1570</v>
      </c>
      <c r="F1574" s="61" t="n">
        <v>0.391808</v>
      </c>
      <c r="G1574" s="61" t="n">
        <v>0.448604</v>
      </c>
      <c r="H1574" s="34" t="n">
        <f aca="false">NORMSINV(F1574)</f>
        <v>-0.274609847365462</v>
      </c>
      <c r="I1574" s="34" t="n">
        <f aca="false">NORMSINV(G1574)</f>
        <v>-0.129189126379586</v>
      </c>
      <c r="J1574" s="59" t="n">
        <f aca="false">mc_s0*EXP((mc_mu-mc_vol^2/2)*mc_t1+mc_vol*SQRT(mc_t1)*H1574)</f>
        <v>1116.58952202796</v>
      </c>
      <c r="K1574" s="59" t="n">
        <f aca="false">J1574*EXP((mc_mu-mc_vol^2/2)*(mc_t2-mc_t1)+mc_vol*SQRT(mc_t2-mc_t1)*I1574)</f>
        <v>1114.12165736302</v>
      </c>
      <c r="L1574" s="31" t="n">
        <f aca="false">(t1_usd*J1574+t2_usd*K1574)/1000</f>
        <v>9932.95780318542</v>
      </c>
    </row>
    <row r="1575" customFormat="false" ht="15" hidden="false" customHeight="false" outlineLevel="0" collapsed="false">
      <c r="E1575" s="54" t="n">
        <v>1571</v>
      </c>
      <c r="F1575" s="61" t="n">
        <v>0.921239</v>
      </c>
      <c r="G1575" s="61" t="n">
        <v>0.106868</v>
      </c>
      <c r="H1575" s="34" t="n">
        <f aca="false">NORMSINV(F1575)</f>
        <v>1.41345494476483</v>
      </c>
      <c r="I1575" s="34" t="n">
        <f aca="false">NORMSINV(G1575)</f>
        <v>-1.24335783706936</v>
      </c>
      <c r="J1575" s="59" t="n">
        <f aca="false">mc_s0*EXP((mc_mu-mc_vol^2/2)*mc_t1+mc_vol*SQRT(mc_t1)*H1575)</f>
        <v>1311.96675420606</v>
      </c>
      <c r="K1575" s="59" t="n">
        <f aca="false">J1575*EXP((mc_mu-mc_vol^2/2)*(mc_t2-mc_t1)+mc_vol*SQRT(mc_t2-mc_t1)*I1575)</f>
        <v>1098.26241925878</v>
      </c>
      <c r="L1575" s="31" t="n">
        <f aca="false">(t1_usd*J1575+t2_usd*K1575)/1000</f>
        <v>11270.4658760341</v>
      </c>
    </row>
    <row r="1576" customFormat="false" ht="15" hidden="false" customHeight="false" outlineLevel="0" collapsed="false">
      <c r="E1576" s="54" t="n">
        <v>1572</v>
      </c>
      <c r="F1576" s="61" t="n">
        <v>0.386558</v>
      </c>
      <c r="G1576" s="61" t="n">
        <v>0.378541</v>
      </c>
      <c r="H1576" s="34" t="n">
        <f aca="false">NORMSINV(F1576)</f>
        <v>-0.288301446494081</v>
      </c>
      <c r="I1576" s="34" t="n">
        <f aca="false">NORMSINV(G1576)</f>
        <v>-0.309314897099944</v>
      </c>
      <c r="J1576" s="59" t="n">
        <f aca="false">mc_s0*EXP((mc_mu-mc_vol^2/2)*mc_t1+mc_vol*SQRT(mc_t1)*H1576)</f>
        <v>1115.13013659883</v>
      </c>
      <c r="K1576" s="59" t="n">
        <f aca="false">J1576*EXP((mc_mu-mc_vol^2/2)*(mc_t2-mc_t1)+mc_vol*SQRT(mc_t2-mc_t1)*I1576)</f>
        <v>1081.52479135514</v>
      </c>
      <c r="L1576" s="31" t="n">
        <f aca="false">(t1_usd*J1576+t2_usd*K1576)/1000</f>
        <v>9860.80805976655</v>
      </c>
    </row>
    <row r="1577" customFormat="false" ht="15" hidden="false" customHeight="false" outlineLevel="0" collapsed="false">
      <c r="E1577" s="54" t="n">
        <v>1573</v>
      </c>
      <c r="F1577" s="61" t="n">
        <v>0.933454</v>
      </c>
      <c r="G1577" s="61" t="n">
        <v>0.512451</v>
      </c>
      <c r="H1577" s="34" t="n">
        <f aca="false">NORMSINV(F1577)</f>
        <v>1.50201978211746</v>
      </c>
      <c r="I1577" s="34" t="n">
        <f aca="false">NORMSINV(G1577)</f>
        <v>0.0312150971462491</v>
      </c>
      <c r="J1577" s="59" t="n">
        <f aca="false">mc_s0*EXP((mc_mu-mc_vol^2/2)*mc_t1+mc_vol*SQRT(mc_t1)*H1577)</f>
        <v>1323.113003641</v>
      </c>
      <c r="K1577" s="59" t="n">
        <f aca="false">J1577*EXP((mc_mu-mc_vol^2/2)*(mc_t2-mc_t1)+mc_vol*SQRT(mc_t2-mc_t1)*I1577)</f>
        <v>1353.98660851922</v>
      </c>
      <c r="L1577" s="31" t="n">
        <f aca="false">(t1_usd*J1577+t2_usd*K1577)/1000</f>
        <v>11834.3655816735</v>
      </c>
    </row>
    <row r="1578" customFormat="false" ht="15" hidden="false" customHeight="false" outlineLevel="0" collapsed="false">
      <c r="E1578" s="54" t="n">
        <v>1574</v>
      </c>
      <c r="F1578" s="61" t="n">
        <v>0.544703</v>
      </c>
      <c r="G1578" s="61" t="n">
        <v>0.90314</v>
      </c>
      <c r="H1578" s="34" t="n">
        <f aca="false">NORMSINV(F1578)</f>
        <v>0.112289332174203</v>
      </c>
      <c r="I1578" s="34" t="n">
        <f aca="false">NORMSINV(G1578)</f>
        <v>1.29965278360631</v>
      </c>
      <c r="J1578" s="59" t="n">
        <f aca="false">mc_s0*EXP((mc_mu-mc_vol^2/2)*mc_t1+mc_vol*SQRT(mc_t1)*H1578)</f>
        <v>1158.62805659587</v>
      </c>
      <c r="K1578" s="59" t="n">
        <f aca="false">J1578*EXP((mc_mu-mc_vol^2/2)*(mc_t2-mc_t1)+mc_vol*SQRT(mc_t2-mc_t1)*I1578)</f>
        <v>1448.02380869423</v>
      </c>
      <c r="L1578" s="31" t="n">
        <f aca="false">(t1_usd*J1578+t2_usd*K1578)/1000</f>
        <v>10861.6416326901</v>
      </c>
    </row>
    <row r="1579" customFormat="false" ht="15" hidden="false" customHeight="false" outlineLevel="0" collapsed="false">
      <c r="E1579" s="54" t="n">
        <v>1575</v>
      </c>
      <c r="F1579" s="61" t="n">
        <v>0.449963</v>
      </c>
      <c r="G1579" s="61" t="n">
        <v>0.765511</v>
      </c>
      <c r="H1579" s="34" t="n">
        <f aca="false">NORMSINV(F1579)</f>
        <v>-0.125754827808402</v>
      </c>
      <c r="I1579" s="34" t="n">
        <f aca="false">NORMSINV(G1579)</f>
        <v>0.724142915396761</v>
      </c>
      <c r="J1579" s="59" t="n">
        <f aca="false">mc_s0*EXP((mc_mu-mc_vol^2/2)*mc_t1+mc_vol*SQRT(mc_t1)*H1579)</f>
        <v>1132.57974654128</v>
      </c>
      <c r="K1579" s="59" t="n">
        <f aca="false">J1579*EXP((mc_mu-mc_vol^2/2)*(mc_t2-mc_t1)+mc_vol*SQRT(mc_t2-mc_t1)*I1579)</f>
        <v>1292.74089858915</v>
      </c>
      <c r="L1579" s="31" t="n">
        <f aca="false">(t1_usd*J1579+t2_usd*K1579)/1000</f>
        <v>10384.2659331083</v>
      </c>
    </row>
    <row r="1580" customFormat="false" ht="15" hidden="false" customHeight="false" outlineLevel="0" collapsed="false">
      <c r="E1580" s="54" t="n">
        <v>1576</v>
      </c>
      <c r="F1580" s="61" t="n">
        <v>0.483002</v>
      </c>
      <c r="G1580" s="61" t="n">
        <v>0.595636</v>
      </c>
      <c r="H1580" s="34" t="n">
        <f aca="false">NORMSINV(F1580)</f>
        <v>-0.0426205673644679</v>
      </c>
      <c r="I1580" s="34" t="n">
        <f aca="false">NORMSINV(G1580)</f>
        <v>0.242067320132128</v>
      </c>
      <c r="J1580" s="59" t="n">
        <f aca="false">mc_s0*EXP((mc_mu-mc_vol^2/2)*mc_t1+mc_vol*SQRT(mc_t1)*H1580)</f>
        <v>1141.60959848293</v>
      </c>
      <c r="K1580" s="59" t="n">
        <f aca="false">J1580*EXP((mc_mu-mc_vol^2/2)*(mc_t2-mc_t1)+mc_vol*SQRT(mc_t2-mc_t1)*I1580)</f>
        <v>1207.71972806072</v>
      </c>
      <c r="L1580" s="31" t="n">
        <f aca="false">(t1_usd*J1580+t2_usd*K1580)/1000</f>
        <v>10285.9346726959</v>
      </c>
    </row>
    <row r="1581" customFormat="false" ht="15" hidden="false" customHeight="false" outlineLevel="0" collapsed="false">
      <c r="E1581" s="54" t="n">
        <v>1577</v>
      </c>
      <c r="F1581" s="61" t="n">
        <v>0.667341</v>
      </c>
      <c r="G1581" s="61" t="n">
        <v>0.827072</v>
      </c>
      <c r="H1581" s="34" t="n">
        <f aca="false">NORMSINV(F1581)</f>
        <v>0.432582644785782</v>
      </c>
      <c r="I1581" s="34" t="n">
        <f aca="false">NORMSINV(G1581)</f>
        <v>0.942657731665347</v>
      </c>
      <c r="J1581" s="59" t="n">
        <f aca="false">mc_s0*EXP((mc_mu-mc_vol^2/2)*mc_t1+mc_vol*SQRT(mc_t1)*H1581)</f>
        <v>1194.62443228105</v>
      </c>
      <c r="K1581" s="59" t="n">
        <f aca="false">J1581*EXP((mc_mu-mc_vol^2/2)*(mc_t2-mc_t1)+mc_vol*SQRT(mc_t2-mc_t1)*I1581)</f>
        <v>1411.33349980835</v>
      </c>
      <c r="L1581" s="31" t="n">
        <f aca="false">(t1_usd*J1581+t2_usd*K1581)/1000</f>
        <v>11043.9046756032</v>
      </c>
    </row>
    <row r="1582" customFormat="false" ht="15" hidden="false" customHeight="false" outlineLevel="0" collapsed="false">
      <c r="E1582" s="54" t="n">
        <v>1578</v>
      </c>
      <c r="F1582" s="61" t="n">
        <v>0.473106</v>
      </c>
      <c r="G1582" s="61" t="n">
        <v>0.06404</v>
      </c>
      <c r="H1582" s="34" t="n">
        <f aca="false">NORMSINV(F1582)</f>
        <v>-0.067464402657677</v>
      </c>
      <c r="I1582" s="34" t="n">
        <f aca="false">NORMSINV(G1582)</f>
        <v>-1.5217170243839</v>
      </c>
      <c r="J1582" s="59" t="n">
        <f aca="false">mc_s0*EXP((mc_mu-mc_vol^2/2)*mc_t1+mc_vol*SQRT(mc_t1)*H1582)</f>
        <v>1138.90360166528</v>
      </c>
      <c r="K1582" s="59" t="n">
        <f aca="false">J1582*EXP((mc_mu-mc_vol^2/2)*(mc_t2-mc_t1)+mc_vol*SQRT(mc_t2-mc_t1)*I1582)</f>
        <v>912.470514848181</v>
      </c>
      <c r="L1582" s="31" t="n">
        <f aca="false">(t1_usd*J1582+t2_usd*K1582)/1000</f>
        <v>9706.01918986851</v>
      </c>
    </row>
    <row r="1583" customFormat="false" ht="15" hidden="false" customHeight="false" outlineLevel="0" collapsed="false">
      <c r="E1583" s="54" t="n">
        <v>1579</v>
      </c>
      <c r="F1583" s="61" t="n">
        <v>0.933</v>
      </c>
      <c r="G1583" s="61" t="n">
        <v>0.686926</v>
      </c>
      <c r="H1583" s="34" t="n">
        <f aca="false">NORMSINV(F1583)</f>
        <v>1.49851306787998</v>
      </c>
      <c r="I1583" s="34" t="n">
        <f aca="false">NORMSINV(G1583)</f>
        <v>0.487155694885407</v>
      </c>
      <c r="J1583" s="59" t="n">
        <f aca="false">mc_s0*EXP((mc_mu-mc_vol^2/2)*mc_t1+mc_vol*SQRT(mc_t1)*H1583)</f>
        <v>1322.66987397275</v>
      </c>
      <c r="K1583" s="59" t="n">
        <f aca="false">J1583*EXP((mc_mu-mc_vol^2/2)*(mc_t2-mc_t1)+mc_vol*SQRT(mc_t2-mc_t1)*I1583)</f>
        <v>1454.36801313437</v>
      </c>
      <c r="L1583" s="31" t="n">
        <f aca="false">(t1_usd*J1583+t2_usd*K1583)/1000</f>
        <v>12021.9883427646</v>
      </c>
    </row>
    <row r="1584" customFormat="false" ht="15" hidden="false" customHeight="false" outlineLevel="0" collapsed="false">
      <c r="E1584" s="54" t="n">
        <v>1580</v>
      </c>
      <c r="F1584" s="61" t="n">
        <v>0.43066</v>
      </c>
      <c r="G1584" s="61" t="n">
        <v>0.909874</v>
      </c>
      <c r="H1584" s="34" t="n">
        <f aca="false">NORMSINV(F1584)</f>
        <v>-0.174694105095992</v>
      </c>
      <c r="I1584" s="34" t="n">
        <f aca="false">NORMSINV(G1584)</f>
        <v>1.33997953007425</v>
      </c>
      <c r="J1584" s="59" t="n">
        <f aca="false">mc_s0*EXP((mc_mu-mc_vol^2/2)*mc_t1+mc_vol*SQRT(mc_t1)*H1584)</f>
        <v>1127.29750975144</v>
      </c>
      <c r="K1584" s="59" t="n">
        <f aca="false">J1584*EXP((mc_mu-mc_vol^2/2)*(mc_t2-mc_t1)+mc_vol*SQRT(mc_t2-mc_t1)*I1584)</f>
        <v>1417.84986708877</v>
      </c>
      <c r="L1584" s="31" t="n">
        <f aca="false">(t1_usd*J1584+t2_usd*K1584)/1000</f>
        <v>10584.9973157288</v>
      </c>
    </row>
    <row r="1585" customFormat="false" ht="15" hidden="false" customHeight="false" outlineLevel="0" collapsed="false">
      <c r="E1585" s="54" t="n">
        <v>1581</v>
      </c>
      <c r="F1585" s="61" t="n">
        <v>0.459419</v>
      </c>
      <c r="G1585" s="61" t="n">
        <v>0.067989</v>
      </c>
      <c r="H1585" s="34" t="n">
        <f aca="false">NORMSINV(F1585)</f>
        <v>-0.10189754327051</v>
      </c>
      <c r="I1585" s="34" t="n">
        <f aca="false">NORMSINV(G1585)</f>
        <v>-1.4909371372413</v>
      </c>
      <c r="J1585" s="59" t="n">
        <f aca="false">mc_s0*EXP((mc_mu-mc_vol^2/2)*mc_t1+mc_vol*SQRT(mc_t1)*H1585)</f>
        <v>1135.16373758297</v>
      </c>
      <c r="K1585" s="59" t="n">
        <f aca="false">J1585*EXP((mc_mu-mc_vol^2/2)*(mc_t2-mc_t1)+mc_vol*SQRT(mc_t2-mc_t1)*I1585)</f>
        <v>913.896502569532</v>
      </c>
      <c r="L1585" s="31" t="n">
        <f aca="false">(t1_usd*J1585+t2_usd*K1585)/1000</f>
        <v>9682.54951796292</v>
      </c>
    </row>
    <row r="1586" customFormat="false" ht="15" hidden="false" customHeight="false" outlineLevel="0" collapsed="false">
      <c r="E1586" s="54" t="n">
        <v>1582</v>
      </c>
      <c r="F1586" s="61" t="n">
        <v>0.935468</v>
      </c>
      <c r="G1586" s="61" t="n">
        <v>0.427582</v>
      </c>
      <c r="H1586" s="34" t="n">
        <f aca="false">NORMSINV(F1586)</f>
        <v>1.51780327205425</v>
      </c>
      <c r="I1586" s="34" t="n">
        <f aca="false">NORMSINV(G1586)</f>
        <v>-0.182533585055584</v>
      </c>
      <c r="J1586" s="59" t="n">
        <f aca="false">mc_s0*EXP((mc_mu-mc_vol^2/2)*mc_t1+mc_vol*SQRT(mc_t1)*H1586)</f>
        <v>1325.10933971451</v>
      </c>
      <c r="K1586" s="59" t="n">
        <f aca="false">J1586*EXP((mc_mu-mc_vol^2/2)*(mc_t2-mc_t1)+mc_vol*SQRT(mc_t2-mc_t1)*I1586)</f>
        <v>1311.11199182685</v>
      </c>
      <c r="L1586" s="31" t="n">
        <f aca="false">(t1_usd*J1586+t2_usd*K1586)/1000</f>
        <v>11766.8781624726</v>
      </c>
    </row>
    <row r="1587" customFormat="false" ht="15" hidden="false" customHeight="false" outlineLevel="0" collapsed="false">
      <c r="E1587" s="54" t="n">
        <v>1583</v>
      </c>
      <c r="F1587" s="61" t="n">
        <v>0.540299</v>
      </c>
      <c r="G1587" s="61" t="n">
        <v>0.555595</v>
      </c>
      <c r="H1587" s="34" t="n">
        <f aca="false">NORMSINV(F1587)</f>
        <v>0.101187020466699</v>
      </c>
      <c r="I1587" s="34" t="n">
        <f aca="false">NORMSINV(G1587)</f>
        <v>0.139810141807289</v>
      </c>
      <c r="J1587" s="59" t="n">
        <f aca="false">mc_s0*EXP((mc_mu-mc_vol^2/2)*mc_t1+mc_vol*SQRT(mc_t1)*H1587)</f>
        <v>1157.39995742694</v>
      </c>
      <c r="K1587" s="59" t="n">
        <f aca="false">J1587*EXP((mc_mu-mc_vol^2/2)*(mc_t2-mc_t1)+mc_vol*SQRT(mc_t2-mc_t1)*I1587)</f>
        <v>1204.85099275502</v>
      </c>
      <c r="L1587" s="31" t="n">
        <f aca="false">(t1_usd*J1587+t2_usd*K1587)/1000</f>
        <v>10391.0165882231</v>
      </c>
    </row>
    <row r="1588" customFormat="false" ht="15" hidden="false" customHeight="false" outlineLevel="0" collapsed="false">
      <c r="E1588" s="54" t="n">
        <v>1584</v>
      </c>
      <c r="F1588" s="61" t="n">
        <v>0.938437</v>
      </c>
      <c r="G1588" s="61" t="n">
        <v>0.963502</v>
      </c>
      <c r="H1588" s="34" t="n">
        <f aca="false">NORMSINV(F1588)</f>
        <v>1.541784376049</v>
      </c>
      <c r="I1588" s="34" t="n">
        <f aca="false">NORMSINV(G1588)</f>
        <v>1.7928557025967</v>
      </c>
      <c r="J1588" s="59" t="n">
        <f aca="false">mc_s0*EXP((mc_mu-mc_vol^2/2)*mc_t1+mc_vol*SQRT(mc_t1)*H1588)</f>
        <v>1328.14829744264</v>
      </c>
      <c r="K1588" s="59" t="n">
        <f aca="false">J1588*EXP((mc_mu-mc_vol^2/2)*(mc_t2-mc_t1)+mc_vol*SQRT(mc_t2-mc_t1)*I1588)</f>
        <v>1794.0475735138</v>
      </c>
      <c r="L1588" s="31" t="n">
        <f aca="false">(t1_usd*J1588+t2_usd*K1588)/1000</f>
        <v>12705.7284717747</v>
      </c>
    </row>
    <row r="1589" customFormat="false" ht="15" hidden="false" customHeight="false" outlineLevel="0" collapsed="false">
      <c r="E1589" s="54" t="n">
        <v>1585</v>
      </c>
      <c r="F1589" s="61" t="n">
        <v>0.746292</v>
      </c>
      <c r="G1589" s="61" t="n">
        <v>0.140291</v>
      </c>
      <c r="H1589" s="34" t="n">
        <f aca="false">NORMSINV(F1589)</f>
        <v>0.662866591570122</v>
      </c>
      <c r="I1589" s="34" t="n">
        <f aca="false">NORMSINV(G1589)</f>
        <v>-1.07901284846894</v>
      </c>
      <c r="J1589" s="59" t="n">
        <f aca="false">mc_s0*EXP((mc_mu-mc_vol^2/2)*mc_t1+mc_vol*SQRT(mc_t1)*H1589)</f>
        <v>1221.19413657765</v>
      </c>
      <c r="K1589" s="59" t="n">
        <f aca="false">J1589*EXP((mc_mu-mc_vol^2/2)*(mc_t2-mc_t1)+mc_vol*SQRT(mc_t2-mc_t1)*I1589)</f>
        <v>1049.0980496151</v>
      </c>
      <c r="L1589" s="31" t="n">
        <f aca="false">(t1_usd*J1589+t2_usd*K1589)/1000</f>
        <v>10541.6452503122</v>
      </c>
    </row>
    <row r="1590" customFormat="false" ht="15" hidden="false" customHeight="false" outlineLevel="0" collapsed="false">
      <c r="E1590" s="54" t="n">
        <v>1586</v>
      </c>
      <c r="F1590" s="61" t="n">
        <v>0.078844</v>
      </c>
      <c r="G1590" s="61" t="n">
        <v>0.869294</v>
      </c>
      <c r="H1590" s="34" t="n">
        <f aca="false">NORMSINV(F1590)</f>
        <v>-1.41289023748172</v>
      </c>
      <c r="I1590" s="34" t="n">
        <f aca="false">NORMSINV(G1590)</f>
        <v>1.12306003035715</v>
      </c>
      <c r="J1590" s="59" t="n">
        <f aca="false">mc_s0*EXP((mc_mu-mc_vol^2/2)*mc_t1+mc_vol*SQRT(mc_t1)*H1590)</f>
        <v>1001.54863689872</v>
      </c>
      <c r="K1590" s="59" t="n">
        <f aca="false">J1590*EXP((mc_mu-mc_vol^2/2)*(mc_t2-mc_t1)+mc_vol*SQRT(mc_t2-mc_t1)*I1590)</f>
        <v>1217.35535381787</v>
      </c>
      <c r="L1590" s="31" t="n">
        <f aca="false">(t1_usd*J1590+t2_usd*K1590)/1000</f>
        <v>9323.81563054497</v>
      </c>
    </row>
    <row r="1591" customFormat="false" ht="15" hidden="false" customHeight="false" outlineLevel="0" collapsed="false">
      <c r="E1591" s="54" t="n">
        <v>1587</v>
      </c>
      <c r="F1591" s="61" t="n">
        <v>0.385231</v>
      </c>
      <c r="G1591" s="61" t="n">
        <v>0.426523</v>
      </c>
      <c r="H1591" s="34" t="n">
        <f aca="false">NORMSINV(F1591)</f>
        <v>-0.291770633242535</v>
      </c>
      <c r="I1591" s="34" t="n">
        <f aca="false">NORMSINV(G1591)</f>
        <v>-0.185233365518025</v>
      </c>
      <c r="J1591" s="59" t="n">
        <f aca="false">mc_s0*EXP((mc_mu-mc_vol^2/2)*mc_t1+mc_vol*SQRT(mc_t1)*H1591)</f>
        <v>1114.76065950121</v>
      </c>
      <c r="K1591" s="59" t="n">
        <f aca="false">J1591*EXP((mc_mu-mc_vol^2/2)*(mc_t2-mc_t1)+mc_vol*SQRT(mc_t2-mc_t1)*I1591)</f>
        <v>1102.51607526188</v>
      </c>
      <c r="L1591" s="31" t="n">
        <f aca="false">(t1_usd*J1591+t2_usd*K1591)/1000</f>
        <v>9898.10515950605</v>
      </c>
    </row>
    <row r="1592" customFormat="false" ht="15" hidden="false" customHeight="false" outlineLevel="0" collapsed="false">
      <c r="E1592" s="54" t="n">
        <v>1588</v>
      </c>
      <c r="F1592" s="61" t="n">
        <v>0.859684</v>
      </c>
      <c r="G1592" s="61" t="n">
        <v>0.553863</v>
      </c>
      <c r="H1592" s="34" t="n">
        <f aca="false">NORMSINV(F1592)</f>
        <v>1.07890069275437</v>
      </c>
      <c r="I1592" s="34" t="n">
        <f aca="false">NORMSINV(G1592)</f>
        <v>0.135427351455056</v>
      </c>
      <c r="J1592" s="59" t="n">
        <f aca="false">mc_s0*EXP((mc_mu-mc_vol^2/2)*mc_t1+mc_vol*SQRT(mc_t1)*H1592)</f>
        <v>1270.70244010141</v>
      </c>
      <c r="K1592" s="59" t="n">
        <f aca="false">J1592*EXP((mc_mu-mc_vol^2/2)*(mc_t2-mc_t1)+mc_vol*SQRT(mc_t2-mc_t1)*I1592)</f>
        <v>1321.88530704276</v>
      </c>
      <c r="L1592" s="31" t="n">
        <f aca="false">(t1_usd*J1592+t2_usd*K1592)/1000</f>
        <v>11406.4991640911</v>
      </c>
    </row>
    <row r="1593" customFormat="false" ht="15" hidden="false" customHeight="false" outlineLevel="0" collapsed="false">
      <c r="E1593" s="54" t="n">
        <v>1589</v>
      </c>
      <c r="F1593" s="61" t="n">
        <v>0.03686</v>
      </c>
      <c r="G1593" s="61" t="n">
        <v>0.697933</v>
      </c>
      <c r="H1593" s="34" t="n">
        <f aca="false">NORMSINV(F1593)</f>
        <v>-1.78834725704399</v>
      </c>
      <c r="I1593" s="34" t="n">
        <f aca="false">NORMSINV(G1593)</f>
        <v>0.518464819060414</v>
      </c>
      <c r="J1593" s="59" t="n">
        <f aca="false">mc_s0*EXP((mc_mu-mc_vol^2/2)*mc_t1+mc_vol*SQRT(mc_t1)*H1593)</f>
        <v>966.264955669138</v>
      </c>
      <c r="K1593" s="59" t="n">
        <f aca="false">J1593*EXP((mc_mu-mc_vol^2/2)*(mc_t2-mc_t1)+mc_vol*SQRT(mc_t2-mc_t1)*I1593)</f>
        <v>1067.73120622426</v>
      </c>
      <c r="L1593" s="31" t="n">
        <f aca="false">(t1_usd*J1593+t2_usd*K1593)/1000</f>
        <v>8792.54398151006</v>
      </c>
    </row>
    <row r="1594" customFormat="false" ht="15" hidden="false" customHeight="false" outlineLevel="0" collapsed="false">
      <c r="E1594" s="54" t="n">
        <v>1590</v>
      </c>
      <c r="F1594" s="61" t="n">
        <v>0.078112</v>
      </c>
      <c r="G1594" s="61" t="n">
        <v>0.816319</v>
      </c>
      <c r="H1594" s="34" t="n">
        <f aca="false">NORMSINV(F1594)</f>
        <v>-1.41788617262403</v>
      </c>
      <c r="I1594" s="34" t="n">
        <f aca="false">NORMSINV(G1594)</f>
        <v>0.901425741442008</v>
      </c>
      <c r="J1594" s="59" t="n">
        <f aca="false">mc_s0*EXP((mc_mu-mc_vol^2/2)*mc_t1+mc_vol*SQRT(mc_t1)*H1594)</f>
        <v>1001.07078704077</v>
      </c>
      <c r="K1594" s="59" t="n">
        <f aca="false">J1594*EXP((mc_mu-mc_vol^2/2)*(mc_t2-mc_t1)+mc_vol*SQRT(mc_t2-mc_t1)*I1594)</f>
        <v>1175.00861740633</v>
      </c>
      <c r="L1594" s="31" t="n">
        <f aca="false">(t1_usd*J1594+t2_usd*K1594)/1000</f>
        <v>9240.0118823574</v>
      </c>
    </row>
    <row r="1595" customFormat="false" ht="15" hidden="false" customHeight="false" outlineLevel="0" collapsed="false">
      <c r="E1595" s="54" t="n">
        <v>1591</v>
      </c>
      <c r="F1595" s="61" t="n">
        <v>0.634269</v>
      </c>
      <c r="G1595" s="61" t="n">
        <v>0.537973</v>
      </c>
      <c r="H1595" s="34" t="n">
        <f aca="false">NORMSINV(F1595)</f>
        <v>0.343181395482958</v>
      </c>
      <c r="I1595" s="34" t="n">
        <f aca="false">NORMSINV(G1595)</f>
        <v>0.0953283816571077</v>
      </c>
      <c r="J1595" s="59" t="n">
        <f aca="false">mc_s0*EXP((mc_mu-mc_vol^2/2)*mc_t1+mc_vol*SQRT(mc_t1)*H1595)</f>
        <v>1184.46596593478</v>
      </c>
      <c r="K1595" s="59" t="n">
        <f aca="false">J1595*EXP((mc_mu-mc_vol^2/2)*(mc_t2-mc_t1)+mc_vol*SQRT(mc_t2-mc_t1)*I1595)</f>
        <v>1224.4133323558</v>
      </c>
      <c r="L1595" s="31" t="n">
        <f aca="false">(t1_usd*J1595+t2_usd*K1595)/1000</f>
        <v>10617.6470930194</v>
      </c>
    </row>
    <row r="1596" customFormat="false" ht="15" hidden="false" customHeight="false" outlineLevel="0" collapsed="false">
      <c r="E1596" s="54" t="n">
        <v>1592</v>
      </c>
      <c r="F1596" s="61" t="n">
        <v>0.904456</v>
      </c>
      <c r="G1596" s="61" t="n">
        <v>0.808594</v>
      </c>
      <c r="H1596" s="34" t="n">
        <f aca="false">NORMSINV(F1596)</f>
        <v>1.30736729261116</v>
      </c>
      <c r="I1596" s="34" t="n">
        <f aca="false">NORMSINV(G1596)</f>
        <v>0.872726811734907</v>
      </c>
      <c r="J1596" s="59" t="n">
        <f aca="false">mc_s0*EXP((mc_mu-mc_vol^2/2)*mc_t1+mc_vol*SQRT(mc_t1)*H1596)</f>
        <v>1298.7387216476</v>
      </c>
      <c r="K1596" s="59" t="n">
        <f aca="false">J1596*EXP((mc_mu-mc_vol^2/2)*(mc_t2-mc_t1)+mc_vol*SQRT(mc_t2-mc_t1)*I1596)</f>
        <v>1517.51797742009</v>
      </c>
      <c r="L1596" s="31" t="n">
        <f aca="false">(t1_usd*J1596+t2_usd*K1596)/1000</f>
        <v>11974.4552086314</v>
      </c>
    </row>
    <row r="1597" customFormat="false" ht="15" hidden="false" customHeight="false" outlineLevel="0" collapsed="false">
      <c r="E1597" s="54" t="n">
        <v>1593</v>
      </c>
      <c r="F1597" s="61" t="n">
        <v>0.708544</v>
      </c>
      <c r="G1597" s="61" t="n">
        <v>0.96396</v>
      </c>
      <c r="H1597" s="34" t="n">
        <f aca="false">NORMSINV(F1597)</f>
        <v>0.54913617678193</v>
      </c>
      <c r="I1597" s="34" t="n">
        <f aca="false">NORMSINV(G1597)</f>
        <v>1.79861249151656</v>
      </c>
      <c r="J1597" s="59" t="n">
        <f aca="false">mc_s0*EXP((mc_mu-mc_vol^2/2)*mc_t1+mc_vol*SQRT(mc_t1)*H1597)</f>
        <v>1207.99909788029</v>
      </c>
      <c r="K1597" s="59" t="n">
        <f aca="false">J1597*EXP((mc_mu-mc_vol^2/2)*(mc_t2-mc_t1)+mc_vol*SQRT(mc_t2-mc_t1)*I1597)</f>
        <v>1633.2324517978</v>
      </c>
      <c r="L1597" s="31" t="n">
        <f aca="false">(t1_usd*J1597+t2_usd*K1597)/1000</f>
        <v>11559.1353435778</v>
      </c>
    </row>
    <row r="1598" customFormat="false" ht="15" hidden="false" customHeight="false" outlineLevel="0" collapsed="false">
      <c r="E1598" s="54" t="n">
        <v>1594</v>
      </c>
      <c r="F1598" s="61" t="n">
        <v>0.788197</v>
      </c>
      <c r="G1598" s="61" t="n">
        <v>0.800199</v>
      </c>
      <c r="H1598" s="34" t="n">
        <f aca="false">NORMSINV(F1598)</f>
        <v>0.800180890242161</v>
      </c>
      <c r="I1598" s="34" t="n">
        <f aca="false">NORMSINV(G1598)</f>
        <v>0.842332257288132</v>
      </c>
      <c r="J1598" s="59" t="n">
        <f aca="false">mc_s0*EXP((mc_mu-mc_vol^2/2)*mc_t1+mc_vol*SQRT(mc_t1)*H1598)</f>
        <v>1237.31759026165</v>
      </c>
      <c r="K1598" s="59" t="n">
        <f aca="false">J1598*EXP((mc_mu-mc_vol^2/2)*(mc_t2-mc_t1)+mc_vol*SQRT(mc_t2-mc_t1)*I1598)</f>
        <v>1438.84159070099</v>
      </c>
      <c r="L1598" s="31" t="n">
        <f aca="false">(t1_usd*J1598+t2_usd*K1598)/1000</f>
        <v>11395.0221541634</v>
      </c>
    </row>
    <row r="1599" customFormat="false" ht="15" hidden="false" customHeight="false" outlineLevel="0" collapsed="false">
      <c r="E1599" s="54" t="n">
        <v>1595</v>
      </c>
      <c r="F1599" s="61" t="n">
        <v>0.035558</v>
      </c>
      <c r="G1599" s="61" t="n">
        <v>0.427059</v>
      </c>
      <c r="H1599" s="34" t="n">
        <f aca="false">NORMSINV(F1599)</f>
        <v>-1.80473602271576</v>
      </c>
      <c r="I1599" s="34" t="n">
        <f aca="false">NORMSINV(G1599)</f>
        <v>-0.183866736890464</v>
      </c>
      <c r="J1599" s="59" t="n">
        <f aca="false">mc_s0*EXP((mc_mu-mc_vol^2/2)*mc_t1+mc_vol*SQRT(mc_t1)*H1599)</f>
        <v>964.753453326328</v>
      </c>
      <c r="K1599" s="59" t="n">
        <f aca="false">J1599*EXP((mc_mu-mc_vol^2/2)*(mc_t2-mc_t1)+mc_vol*SQRT(mc_t2-mc_t1)*I1599)</f>
        <v>954.362075534969</v>
      </c>
      <c r="L1599" s="31" t="n">
        <f aca="false">(t1_usd*J1599+t2_usd*K1599)/1000</f>
        <v>8566.56211680074</v>
      </c>
    </row>
    <row r="1600" customFormat="false" ht="15" hidden="false" customHeight="false" outlineLevel="0" collapsed="false">
      <c r="E1600" s="54" t="n">
        <v>1596</v>
      </c>
      <c r="F1600" s="61" t="n">
        <v>0.703186</v>
      </c>
      <c r="G1600" s="61" t="n">
        <v>0.252752</v>
      </c>
      <c r="H1600" s="34" t="n">
        <f aca="false">NORMSINV(F1600)</f>
        <v>0.533585994832777</v>
      </c>
      <c r="I1600" s="34" t="n">
        <f aca="false">NORMSINV(G1600)</f>
        <v>-0.665854665165732</v>
      </c>
      <c r="J1600" s="59" t="n">
        <f aca="false">mc_s0*EXP((mc_mu-mc_vol^2/2)*mc_t1+mc_vol*SQRT(mc_t1)*H1600)</f>
        <v>1206.2060750274</v>
      </c>
      <c r="K1600" s="59" t="n">
        <f aca="false">J1600*EXP((mc_mu-mc_vol^2/2)*(mc_t2-mc_t1)+mc_vol*SQRT(mc_t2-mc_t1)*I1600)</f>
        <v>1105.93650576058</v>
      </c>
      <c r="L1600" s="31" t="n">
        <f aca="false">(t1_usd*J1600+t2_usd*K1600)/1000</f>
        <v>10544.7218861369</v>
      </c>
    </row>
    <row r="1601" customFormat="false" ht="15" hidden="false" customHeight="false" outlineLevel="0" collapsed="false">
      <c r="E1601" s="54" t="n">
        <v>1597</v>
      </c>
      <c r="F1601" s="61" t="n">
        <v>0.666039</v>
      </c>
      <c r="G1601" s="61" t="n">
        <v>0.973979</v>
      </c>
      <c r="H1601" s="34" t="n">
        <f aca="false">NORMSINV(F1601)</f>
        <v>0.429001682868337</v>
      </c>
      <c r="I1601" s="34" t="n">
        <f aca="false">NORMSINV(G1601)</f>
        <v>1.94278616665479</v>
      </c>
      <c r="J1601" s="59" t="n">
        <f aca="false">mc_s0*EXP((mc_mu-mc_vol^2/2)*mc_t1+mc_vol*SQRT(mc_t1)*H1601)</f>
        <v>1194.21586548544</v>
      </c>
      <c r="K1601" s="59" t="n">
        <f aca="false">J1601*EXP((mc_mu-mc_vol^2/2)*(mc_t2-mc_t1)+mc_vol*SQRT(mc_t2-mc_t1)*I1601)</f>
        <v>1651.70217738294</v>
      </c>
      <c r="L1601" s="31" t="n">
        <f aca="false">(t1_usd*J1601+t2_usd*K1601)/1000</f>
        <v>11497.7451954257</v>
      </c>
    </row>
    <row r="1602" customFormat="false" ht="15" hidden="false" customHeight="false" outlineLevel="0" collapsed="false">
      <c r="E1602" s="54" t="n">
        <v>1598</v>
      </c>
      <c r="F1602" s="61" t="n">
        <v>0.386008</v>
      </c>
      <c r="G1602" s="61" t="n">
        <v>0.586006</v>
      </c>
      <c r="H1602" s="34" t="n">
        <f aca="false">NORMSINV(F1602)</f>
        <v>-0.289738892512444</v>
      </c>
      <c r="I1602" s="34" t="n">
        <f aca="false">NORMSINV(G1602)</f>
        <v>0.217282749336533</v>
      </c>
      <c r="J1602" s="59" t="n">
        <f aca="false">mc_s0*EXP((mc_mu-mc_vol^2/2)*mc_t1+mc_vol*SQRT(mc_t1)*H1602)</f>
        <v>1114.97703013343</v>
      </c>
      <c r="K1602" s="59" t="n">
        <f aca="false">J1602*EXP((mc_mu-mc_vol^2/2)*(mc_t2-mc_t1)+mc_vol*SQRT(mc_t2-mc_t1)*I1602)</f>
        <v>1174.94670421449</v>
      </c>
      <c r="L1602" s="31" t="n">
        <f aca="false">(t1_usd*J1602+t2_usd*K1602)/1000</f>
        <v>10037.2379489415</v>
      </c>
    </row>
    <row r="1603" customFormat="false" ht="15" hidden="false" customHeight="false" outlineLevel="0" collapsed="false">
      <c r="E1603" s="54" t="n">
        <v>1599</v>
      </c>
      <c r="F1603" s="61" t="n">
        <v>0.759737</v>
      </c>
      <c r="G1603" s="61" t="n">
        <v>0.490172</v>
      </c>
      <c r="H1603" s="34" t="n">
        <f aca="false">NORMSINV(F1603)</f>
        <v>0.70545681128477</v>
      </c>
      <c r="I1603" s="34" t="n">
        <f aca="false">NORMSINV(G1603)</f>
        <v>-0.0246376350171714</v>
      </c>
      <c r="J1603" s="59" t="n">
        <f aca="false">mc_s0*EXP((mc_mu-mc_vol^2/2)*mc_t1+mc_vol*SQRT(mc_t1)*H1603)</f>
        <v>1226.17247672049</v>
      </c>
      <c r="K1603" s="59" t="n">
        <f aca="false">J1603*EXP((mc_mu-mc_vol^2/2)*(mc_t2-mc_t1)+mc_vol*SQRT(mc_t2-mc_t1)*I1603)</f>
        <v>1243.78790735713</v>
      </c>
      <c r="L1603" s="31" t="n">
        <f aca="false">(t1_usd*J1603+t2_usd*K1603)/1000</f>
        <v>10946.404361022</v>
      </c>
    </row>
    <row r="1604" customFormat="false" ht="15" hidden="false" customHeight="false" outlineLevel="0" collapsed="false">
      <c r="E1604" s="54" t="n">
        <v>1600</v>
      </c>
      <c r="F1604" s="61" t="n">
        <v>0.03548</v>
      </c>
      <c r="G1604" s="61" t="n">
        <v>0.412546</v>
      </c>
      <c r="H1604" s="34" t="n">
        <f aca="false">NORMSINV(F1604)</f>
        <v>-1.80573335440972</v>
      </c>
      <c r="I1604" s="34" t="n">
        <f aca="false">NORMSINV(G1604)</f>
        <v>-0.221000556072877</v>
      </c>
      <c r="J1604" s="59" t="n">
        <f aca="false">mc_s0*EXP((mc_mu-mc_vol^2/2)*mc_t1+mc_vol*SQRT(mc_t1)*H1604)</f>
        <v>964.661547821548</v>
      </c>
      <c r="K1604" s="59" t="n">
        <f aca="false">J1604*EXP((mc_mu-mc_vol^2/2)*(mc_t2-mc_t1)+mc_vol*SQRT(mc_t2-mc_t1)*I1604)</f>
        <v>948.703037782877</v>
      </c>
      <c r="L1604" s="31" t="n">
        <f aca="false">(t1_usd*J1604+t2_usd*K1604)/1000</f>
        <v>8555.1666065383</v>
      </c>
    </row>
    <row r="1605" customFormat="false" ht="15" hidden="false" customHeight="false" outlineLevel="0" collapsed="false">
      <c r="E1605" s="54" t="n">
        <v>1601</v>
      </c>
      <c r="F1605" s="61" t="n">
        <v>0.116154</v>
      </c>
      <c r="G1605" s="61" t="n">
        <v>0.526065</v>
      </c>
      <c r="H1605" s="34" t="n">
        <f aca="false">NORMSINV(F1605)</f>
        <v>-1.19443462315283</v>
      </c>
      <c r="I1605" s="34" t="n">
        <f aca="false">NORMSINV(G1605)</f>
        <v>0.0653818182959358</v>
      </c>
      <c r="J1605" s="59" t="n">
        <f aca="false">mc_s0*EXP((mc_mu-mc_vol^2/2)*mc_t1+mc_vol*SQRT(mc_t1)*H1605)</f>
        <v>1022.66799400942</v>
      </c>
      <c r="K1605" s="59" t="n">
        <f aca="false">J1605*EXP((mc_mu-mc_vol^2/2)*(mc_t2-mc_t1)+mc_vol*SQRT(mc_t2-mc_t1)*I1605)</f>
        <v>1052.18117976978</v>
      </c>
      <c r="L1605" s="31" t="n">
        <f aca="false">(t1_usd*J1605+t2_usd*K1605)/1000</f>
        <v>9157.82019962849</v>
      </c>
    </row>
    <row r="1606" customFormat="false" ht="15" hidden="false" customHeight="false" outlineLevel="0" collapsed="false">
      <c r="E1606" s="54" t="n">
        <v>1602</v>
      </c>
      <c r="F1606" s="61" t="n">
        <v>0.513189</v>
      </c>
      <c r="G1606" s="61" t="n">
        <v>0.81837</v>
      </c>
      <c r="H1606" s="34" t="n">
        <f aca="false">NORMSINV(F1606)</f>
        <v>0.0330659448047851</v>
      </c>
      <c r="I1606" s="34" t="n">
        <f aca="false">NORMSINV(G1606)</f>
        <v>0.909170752652581</v>
      </c>
      <c r="J1606" s="59" t="n">
        <f aca="false">mc_s0*EXP((mc_mu-mc_vol^2/2)*mc_t1+mc_vol*SQRT(mc_t1)*H1606)</f>
        <v>1149.89308604659</v>
      </c>
      <c r="K1606" s="59" t="n">
        <f aca="false">J1606*EXP((mc_mu-mc_vol^2/2)*(mc_t2-mc_t1)+mc_vol*SQRT(mc_t2-mc_t1)*I1606)</f>
        <v>1351.33743937388</v>
      </c>
      <c r="L1606" s="31" t="n">
        <f aca="false">(t1_usd*J1606+t2_usd*K1606)/1000</f>
        <v>10616.7927371365</v>
      </c>
    </row>
    <row r="1607" customFormat="false" ht="15" hidden="false" customHeight="false" outlineLevel="0" collapsed="false">
      <c r="E1607" s="54" t="n">
        <v>1603</v>
      </c>
      <c r="F1607" s="61" t="n">
        <v>0.704513</v>
      </c>
      <c r="G1607" s="61" t="n">
        <v>0.066265</v>
      </c>
      <c r="H1607" s="34" t="n">
        <f aca="false">NORMSINV(F1607)</f>
        <v>0.537425113497396</v>
      </c>
      <c r="I1607" s="34" t="n">
        <f aca="false">NORMSINV(G1607)</f>
        <v>-1.50419952513864</v>
      </c>
      <c r="J1607" s="59" t="n">
        <f aca="false">mc_s0*EXP((mc_mu-mc_vol^2/2)*mc_t1+mc_vol*SQRT(mc_t1)*H1607)</f>
        <v>1206.64849928628</v>
      </c>
      <c r="K1607" s="59" t="n">
        <f aca="false">J1607*EXP((mc_mu-mc_vol^2/2)*(mc_t2-mc_t1)+mc_vol*SQRT(mc_t2-mc_t1)*I1607)</f>
        <v>969.419118978838</v>
      </c>
      <c r="L1607" s="31" t="n">
        <f aca="false">(t1_usd*J1607+t2_usd*K1607)/1000</f>
        <v>10288.4358210637</v>
      </c>
    </row>
    <row r="1608" customFormat="false" ht="15" hidden="false" customHeight="false" outlineLevel="0" collapsed="false">
      <c r="E1608" s="54" t="n">
        <v>1604</v>
      </c>
      <c r="F1608" s="61" t="n">
        <v>0.368258</v>
      </c>
      <c r="G1608" s="61" t="n">
        <v>0.136356</v>
      </c>
      <c r="H1608" s="34" t="n">
        <f aca="false">NORMSINV(F1608)</f>
        <v>-0.336470624265983</v>
      </c>
      <c r="I1608" s="34" t="n">
        <f aca="false">NORMSINV(G1608)</f>
        <v>-1.09683849286839</v>
      </c>
      <c r="J1608" s="59" t="n">
        <f aca="false">mc_s0*EXP((mc_mu-mc_vol^2/2)*mc_t1+mc_vol*SQRT(mc_t1)*H1608)</f>
        <v>1110.01093455617</v>
      </c>
      <c r="K1608" s="59" t="n">
        <f aca="false">J1608*EXP((mc_mu-mc_vol^2/2)*(mc_t2-mc_t1)+mc_vol*SQRT(mc_t2-mc_t1)*I1608)</f>
        <v>950.908229580481</v>
      </c>
      <c r="L1608" s="31" t="n">
        <f aca="false">(t1_usd*J1608+t2_usd*K1608)/1000</f>
        <v>9576.80217809614</v>
      </c>
    </row>
    <row r="1609" customFormat="false" ht="15" hidden="false" customHeight="false" outlineLevel="0" collapsed="false">
      <c r="E1609" s="54" t="n">
        <v>1605</v>
      </c>
      <c r="F1609" s="61" t="n">
        <v>0.857381</v>
      </c>
      <c r="G1609" s="61" t="n">
        <v>0.744991</v>
      </c>
      <c r="H1609" s="34" t="n">
        <f aca="false">NORMSINV(F1609)</f>
        <v>1.06862650594199</v>
      </c>
      <c r="I1609" s="34" t="n">
        <f aca="false">NORMSINV(G1609)</f>
        <v>0.658809665200887</v>
      </c>
      <c r="J1609" s="59" t="n">
        <f aca="false">mc_s0*EXP((mc_mu-mc_vol^2/2)*mc_t1+mc_vol*SQRT(mc_t1)*H1609)</f>
        <v>1269.45596250636</v>
      </c>
      <c r="K1609" s="59" t="n">
        <f aca="false">J1609*EXP((mc_mu-mc_vol^2/2)*(mc_t2-mc_t1)+mc_vol*SQRT(mc_t2-mc_t1)*I1609)</f>
        <v>1434.13095064762</v>
      </c>
      <c r="L1609" s="31" t="n">
        <f aca="false">(t1_usd*J1609+t2_usd*K1609)/1000</f>
        <v>11611.040543775</v>
      </c>
    </row>
    <row r="1610" customFormat="false" ht="15" hidden="false" customHeight="false" outlineLevel="0" collapsed="false">
      <c r="E1610" s="54" t="n">
        <v>1606</v>
      </c>
      <c r="F1610" s="61" t="n">
        <v>0.809628</v>
      </c>
      <c r="G1610" s="61" t="n">
        <v>0.167002</v>
      </c>
      <c r="H1610" s="34" t="n">
        <f aca="false">NORMSINV(F1610)</f>
        <v>0.876526272850161</v>
      </c>
      <c r="I1610" s="34" t="n">
        <f aca="false">NORMSINV(G1610)</f>
        <v>-0.966080302701559</v>
      </c>
      <c r="J1610" s="59" t="n">
        <f aca="false">mc_s0*EXP((mc_mu-mc_vol^2/2)*mc_t1+mc_vol*SQRT(mc_t1)*H1610)</f>
        <v>1246.3739729701</v>
      </c>
      <c r="K1610" s="59" t="n">
        <f aca="false">J1610*EXP((mc_mu-mc_vol^2/2)*(mc_t2-mc_t1)+mc_vol*SQRT(mc_t2-mc_t1)*I1610)</f>
        <v>1089.95621911032</v>
      </c>
      <c r="L1610" s="31" t="n">
        <f aca="false">(t1_usd*J1610+t2_usd*K1610)/1000</f>
        <v>10795.5346271003</v>
      </c>
    </row>
    <row r="1611" customFormat="false" ht="15" hidden="false" customHeight="false" outlineLevel="0" collapsed="false">
      <c r="E1611" s="54" t="n">
        <v>1607</v>
      </c>
      <c r="F1611" s="61" t="n">
        <v>0.933567</v>
      </c>
      <c r="G1611" s="61" t="n">
        <v>0.59059</v>
      </c>
      <c r="H1611" s="34" t="n">
        <f aca="false">NORMSINV(F1611)</f>
        <v>1.50289547529425</v>
      </c>
      <c r="I1611" s="34" t="n">
        <f aca="false">NORMSINV(G1611)</f>
        <v>0.229062936492774</v>
      </c>
      <c r="J1611" s="59" t="n">
        <f aca="false">mc_s0*EXP((mc_mu-mc_vol^2/2)*mc_t1+mc_vol*SQRT(mc_t1)*H1611)</f>
        <v>1323.22368470284</v>
      </c>
      <c r="K1611" s="59" t="n">
        <f aca="false">J1611*EXP((mc_mu-mc_vol^2/2)*(mc_t2-mc_t1)+mc_vol*SQRT(mc_t2-mc_t1)*I1611)</f>
        <v>1396.98508895807</v>
      </c>
      <c r="L1611" s="31" t="n">
        <f aca="false">(t1_usd*J1611+t2_usd*K1611)/1000</f>
        <v>11916.8374619402</v>
      </c>
    </row>
    <row r="1612" customFormat="false" ht="15" hidden="false" customHeight="false" outlineLevel="0" collapsed="false">
      <c r="E1612" s="54" t="n">
        <v>1608</v>
      </c>
      <c r="F1612" s="61" t="n">
        <v>0.252351</v>
      </c>
      <c r="G1612" s="61" t="n">
        <v>0.563674</v>
      </c>
      <c r="H1612" s="34" t="n">
        <f aca="false">NORMSINV(F1612)</f>
        <v>-0.667109801251529</v>
      </c>
      <c r="I1612" s="34" t="n">
        <f aca="false">NORMSINV(G1612)</f>
        <v>0.160290807249417</v>
      </c>
      <c r="J1612" s="59" t="n">
        <f aca="false">mc_s0*EXP((mc_mu-mc_vol^2/2)*mc_t1+mc_vol*SQRT(mc_t1)*H1612)</f>
        <v>1075.50072524708</v>
      </c>
      <c r="K1612" s="59" t="n">
        <f aca="false">J1612*EXP((mc_mu-mc_vol^2/2)*(mc_t2-mc_t1)+mc_vol*SQRT(mc_t2-mc_t1)*I1612)</f>
        <v>1123.2135142185</v>
      </c>
      <c r="L1612" s="31" t="n">
        <f aca="false">(t1_usd*J1612+t2_usd*K1612)/1000</f>
        <v>9662.61075374472</v>
      </c>
    </row>
    <row r="1613" customFormat="false" ht="15" hidden="false" customHeight="false" outlineLevel="0" collapsed="false">
      <c r="E1613" s="54" t="n">
        <v>1609</v>
      </c>
      <c r="F1613" s="61" t="n">
        <v>0.085006</v>
      </c>
      <c r="G1613" s="61" t="n">
        <v>0.613025</v>
      </c>
      <c r="H1613" s="34" t="n">
        <f aca="false">NORMSINV(F1613)</f>
        <v>-1.37216525178554</v>
      </c>
      <c r="I1613" s="34" t="n">
        <f aca="false">NORMSINV(G1613)</f>
        <v>0.287211998122526</v>
      </c>
      <c r="J1613" s="59" t="n">
        <f aca="false">mc_s0*EXP((mc_mu-mc_vol^2/2)*mc_t1+mc_vol*SQRT(mc_t1)*H1613)</f>
        <v>1005.45240710107</v>
      </c>
      <c r="K1613" s="59" t="n">
        <f aca="false">J1613*EXP((mc_mu-mc_vol^2/2)*(mc_t2-mc_t1)+mc_vol*SQRT(mc_t2-mc_t1)*I1613)</f>
        <v>1071.27224385328</v>
      </c>
      <c r="L1613" s="31" t="n">
        <f aca="false">(t1_usd*J1613+t2_usd*K1613)/1000</f>
        <v>9073.58411302875</v>
      </c>
    </row>
    <row r="1614" customFormat="false" ht="15" hidden="false" customHeight="false" outlineLevel="0" collapsed="false">
      <c r="E1614" s="54" t="n">
        <v>1610</v>
      </c>
      <c r="F1614" s="61" t="n">
        <v>0.296482</v>
      </c>
      <c r="G1614" s="61" t="n">
        <v>0.348408</v>
      </c>
      <c r="H1614" s="34" t="n">
        <f aca="false">NORMSINV(F1614)</f>
        <v>-0.534545758150255</v>
      </c>
      <c r="I1614" s="34" t="n">
        <f aca="false">NORMSINV(G1614)</f>
        <v>-0.389622110409012</v>
      </c>
      <c r="J1614" s="59" t="n">
        <f aca="false">mc_s0*EXP((mc_mu-mc_vol^2/2)*mc_t1+mc_vol*SQRT(mc_t1)*H1614)</f>
        <v>1089.20623856538</v>
      </c>
      <c r="K1614" s="59" t="n">
        <f aca="false">J1614*EXP((mc_mu-mc_vol^2/2)*(mc_t2-mc_t1)+mc_vol*SQRT(mc_t2-mc_t1)*I1614)</f>
        <v>1043.09694040797</v>
      </c>
      <c r="L1614" s="31" t="n">
        <f aca="false">(t1_usd*J1614+t2_usd*K1614)/1000</f>
        <v>9606.32785673277</v>
      </c>
    </row>
    <row r="1615" customFormat="false" ht="15" hidden="false" customHeight="false" outlineLevel="0" collapsed="false">
      <c r="E1615" s="54" t="n">
        <v>1611</v>
      </c>
      <c r="F1615" s="61" t="n">
        <v>0.190995</v>
      </c>
      <c r="G1615" s="61" t="n">
        <v>0.479829</v>
      </c>
      <c r="H1615" s="34" t="n">
        <f aca="false">NORMSINV(F1615)</f>
        <v>-0.874235531071636</v>
      </c>
      <c r="I1615" s="34" t="n">
        <f aca="false">NORMSINV(G1615)</f>
        <v>-0.0505827609593599</v>
      </c>
      <c r="J1615" s="59" t="n">
        <f aca="false">mc_s0*EXP((mc_mu-mc_vol^2/2)*mc_t1+mc_vol*SQRT(mc_t1)*H1615)</f>
        <v>1054.43085835655</v>
      </c>
      <c r="K1615" s="59" t="n">
        <f aca="false">J1615*EXP((mc_mu-mc_vol^2/2)*(mc_t2-mc_t1)+mc_vol*SQRT(mc_t2-mc_t1)*I1615)</f>
        <v>1065.21467584564</v>
      </c>
      <c r="L1615" s="31" t="n">
        <f aca="false">(t1_usd*J1615+t2_usd*K1615)/1000</f>
        <v>9404.92389260259</v>
      </c>
    </row>
    <row r="1616" customFormat="false" ht="15" hidden="false" customHeight="false" outlineLevel="0" collapsed="false">
      <c r="E1616" s="54" t="n">
        <v>1612</v>
      </c>
      <c r="F1616" s="61" t="n">
        <v>0.268278</v>
      </c>
      <c r="G1616" s="61" t="n">
        <v>0.293212</v>
      </c>
      <c r="H1616" s="34" t="n">
        <f aca="false">NORMSINV(F1616)</f>
        <v>-0.618029337493889</v>
      </c>
      <c r="I1616" s="34" t="n">
        <f aca="false">NORMSINV(G1616)</f>
        <v>-0.544025391497565</v>
      </c>
      <c r="J1616" s="59" t="n">
        <f aca="false">mc_s0*EXP((mc_mu-mc_vol^2/2)*mc_t1+mc_vol*SQRT(mc_t1)*H1616)</f>
        <v>1080.55482794667</v>
      </c>
      <c r="K1616" s="59" t="n">
        <f aca="false">J1616*EXP((mc_mu-mc_vol^2/2)*(mc_t2-mc_t1)+mc_vol*SQRT(mc_t2-mc_t1)*I1616)</f>
        <v>1009.9356720958</v>
      </c>
      <c r="L1616" s="31" t="n">
        <f aca="false">(t1_usd*J1616+t2_usd*K1616)/1000</f>
        <v>9482.76157260871</v>
      </c>
    </row>
    <row r="1617" customFormat="false" ht="15" hidden="false" customHeight="false" outlineLevel="0" collapsed="false">
      <c r="E1617" s="54" t="n">
        <v>1613</v>
      </c>
      <c r="F1617" s="61" t="n">
        <v>0.547351</v>
      </c>
      <c r="G1617" s="61" t="n">
        <v>0.354373</v>
      </c>
      <c r="H1617" s="34" t="n">
        <f aca="false">NORMSINV(F1617)</f>
        <v>0.118971418070009</v>
      </c>
      <c r="I1617" s="34" t="n">
        <f aca="false">NORMSINV(G1617)</f>
        <v>-0.373540780038208</v>
      </c>
      <c r="J1617" s="59" t="n">
        <f aca="false">mc_s0*EXP((mc_mu-mc_vol^2/2)*mc_t1+mc_vol*SQRT(mc_t1)*H1617)</f>
        <v>1159.36783381695</v>
      </c>
      <c r="K1617" s="59" t="n">
        <f aca="false">J1617*EXP((mc_mu-mc_vol^2/2)*(mc_t2-mc_t1)+mc_vol*SQRT(mc_t2-mc_t1)*I1617)</f>
        <v>1113.10577095737</v>
      </c>
      <c r="L1617" s="31" t="n">
        <f aca="false">(t1_usd*J1617+t2_usd*K1617)/1000</f>
        <v>10230.4758015377</v>
      </c>
    </row>
    <row r="1618" customFormat="false" ht="15" hidden="false" customHeight="false" outlineLevel="0" collapsed="false">
      <c r="E1618" s="54" t="n">
        <v>1614</v>
      </c>
      <c r="F1618" s="61" t="n">
        <v>0.736793</v>
      </c>
      <c r="G1618" s="61" t="n">
        <v>0.559278</v>
      </c>
      <c r="H1618" s="34" t="n">
        <f aca="false">NORMSINV(F1618)</f>
        <v>0.633489554372996</v>
      </c>
      <c r="I1618" s="34" t="n">
        <f aca="false">NORMSINV(G1618)</f>
        <v>0.149138939739282</v>
      </c>
      <c r="J1618" s="59" t="n">
        <f aca="false">mc_s0*EXP((mc_mu-mc_vol^2/2)*mc_t1+mc_vol*SQRT(mc_t1)*H1618)</f>
        <v>1217.77205984914</v>
      </c>
      <c r="K1618" s="59" t="n">
        <f aca="false">J1618*EXP((mc_mu-mc_vol^2/2)*(mc_t2-mc_t1)+mc_vol*SQRT(mc_t2-mc_t1)*I1618)</f>
        <v>1269.56331179635</v>
      </c>
      <c r="L1618" s="31" t="n">
        <f aca="false">(t1_usd*J1618+t2_usd*K1618)/1000</f>
        <v>10936.574711357</v>
      </c>
    </row>
    <row r="1619" customFormat="false" ht="15" hidden="false" customHeight="false" outlineLevel="0" collapsed="false">
      <c r="E1619" s="54" t="n">
        <v>1615</v>
      </c>
      <c r="F1619" s="61" t="n">
        <v>0.35263</v>
      </c>
      <c r="G1619" s="61" t="n">
        <v>0.360616</v>
      </c>
      <c r="H1619" s="34" t="n">
        <f aca="false">NORMSINV(F1619)</f>
        <v>-0.378229651533192</v>
      </c>
      <c r="I1619" s="34" t="n">
        <f aca="false">NORMSINV(G1619)</f>
        <v>-0.356812737476706</v>
      </c>
      <c r="J1619" s="59" t="n">
        <f aca="false">mc_s0*EXP((mc_mu-mc_vol^2/2)*mc_t1+mc_vol*SQRT(mc_t1)*H1619)</f>
        <v>1105.5919958025</v>
      </c>
      <c r="K1619" s="59" t="n">
        <f aca="false">J1619*EXP((mc_mu-mc_vol^2/2)*(mc_t2-mc_t1)+mc_vol*SQRT(mc_t2-mc_t1)*I1619)</f>
        <v>1064.27772269088</v>
      </c>
      <c r="L1619" s="31" t="n">
        <f aca="false">(t1_usd*J1619+t2_usd*K1619)/1000</f>
        <v>9761.27164373014</v>
      </c>
    </row>
    <row r="1620" customFormat="false" ht="15" hidden="false" customHeight="false" outlineLevel="0" collapsed="false">
      <c r="E1620" s="54" t="n">
        <v>1616</v>
      </c>
      <c r="F1620" s="61" t="n">
        <v>0.426332</v>
      </c>
      <c r="G1620" s="61" t="n">
        <v>0.408954</v>
      </c>
      <c r="H1620" s="34" t="n">
        <f aca="false">NORMSINV(F1620)</f>
        <v>-0.185720437934586</v>
      </c>
      <c r="I1620" s="34" t="n">
        <f aca="false">NORMSINV(G1620)</f>
        <v>-0.230236500894385</v>
      </c>
      <c r="J1620" s="59" t="n">
        <f aca="false">mc_s0*EXP((mc_mu-mc_vol^2/2)*mc_t1+mc_vol*SQRT(mc_t1)*H1620)</f>
        <v>1126.11079264862</v>
      </c>
      <c r="K1620" s="59" t="n">
        <f aca="false">J1620*EXP((mc_mu-mc_vol^2/2)*(mc_t2-mc_t1)+mc_vol*SQRT(mc_t2-mc_t1)*I1620)</f>
        <v>1105.87061756285</v>
      </c>
      <c r="L1620" s="31" t="n">
        <f aca="false">(t1_usd*J1620+t2_usd*K1620)/1000</f>
        <v>9983.92972190975</v>
      </c>
    </row>
    <row r="1621" customFormat="false" ht="15" hidden="false" customHeight="false" outlineLevel="0" collapsed="false">
      <c r="E1621" s="54" t="n">
        <v>1617</v>
      </c>
      <c r="F1621" s="61" t="n">
        <v>0.040321</v>
      </c>
      <c r="G1621" s="61" t="n">
        <v>0.348218</v>
      </c>
      <c r="H1621" s="34" t="n">
        <f aca="false">NORMSINV(F1621)</f>
        <v>-1.74697312508473</v>
      </c>
      <c r="I1621" s="34" t="n">
        <f aca="false">NORMSINV(G1621)</f>
        <v>-0.390135977908554</v>
      </c>
      <c r="J1621" s="59" t="n">
        <f aca="false">mc_s0*EXP((mc_mu-mc_vol^2/2)*mc_t1+mc_vol*SQRT(mc_t1)*H1621)</f>
        <v>970.091351176605</v>
      </c>
      <c r="K1621" s="59" t="n">
        <f aca="false">J1621*EXP((mc_mu-mc_vol^2/2)*(mc_t2-mc_t1)+mc_vol*SQRT(mc_t2-mc_t1)*I1621)</f>
        <v>928.949304701883</v>
      </c>
      <c r="L1621" s="31" t="n">
        <f aca="false">(t1_usd*J1621+t2_usd*K1621)/1000</f>
        <v>8555.64313716981</v>
      </c>
    </row>
    <row r="1622" customFormat="false" ht="15" hidden="false" customHeight="false" outlineLevel="0" collapsed="false">
      <c r="E1622" s="54" t="n">
        <v>1618</v>
      </c>
      <c r="F1622" s="61" t="n">
        <v>0.269349</v>
      </c>
      <c r="G1622" s="61" t="n">
        <v>0.65116</v>
      </c>
      <c r="H1622" s="34" t="n">
        <f aca="false">NORMSINV(F1622)</f>
        <v>-0.614783056937061</v>
      </c>
      <c r="I1622" s="34" t="n">
        <f aca="false">NORMSINV(G1622)</f>
        <v>0.388454120530922</v>
      </c>
      <c r="J1622" s="59" t="n">
        <f aca="false">mc_s0*EXP((mc_mu-mc_vol^2/2)*mc_t1+mc_vol*SQRT(mc_t1)*H1622)</f>
        <v>1080.8899526524</v>
      </c>
      <c r="K1622" s="59" t="n">
        <f aca="false">J1622*EXP((mc_mu-mc_vol^2/2)*(mc_t2-mc_t1)+mc_vol*SQRT(mc_t2-mc_t1)*I1622)</f>
        <v>1170.17014413328</v>
      </c>
      <c r="L1622" s="31" t="n">
        <f aca="false">(t1_usd*J1622+t2_usd*K1622)/1000</f>
        <v>9789.55294242002</v>
      </c>
    </row>
    <row r="1623" customFormat="false" ht="15" hidden="false" customHeight="false" outlineLevel="0" collapsed="false">
      <c r="E1623" s="54" t="n">
        <v>1619</v>
      </c>
      <c r="F1623" s="61" t="n">
        <v>0.721667</v>
      </c>
      <c r="G1623" s="61" t="n">
        <v>0.826054</v>
      </c>
      <c r="H1623" s="34" t="n">
        <f aca="false">NORMSINV(F1623)</f>
        <v>0.587800810437324</v>
      </c>
      <c r="I1623" s="34" t="n">
        <f aca="false">NORMSINV(G1623)</f>
        <v>0.9386859678125</v>
      </c>
      <c r="J1623" s="59" t="n">
        <f aca="false">mc_s0*EXP((mc_mu-mc_vol^2/2)*mc_t1+mc_vol*SQRT(mc_t1)*H1623)</f>
        <v>1212.46890729442</v>
      </c>
      <c r="K1623" s="59" t="n">
        <f aca="false">J1623*EXP((mc_mu-mc_vol^2/2)*(mc_t2-mc_t1)+mc_vol*SQRT(mc_t2-mc_t1)*I1623)</f>
        <v>1431.51872432585</v>
      </c>
      <c r="L1623" s="31" t="n">
        <f aca="false">(t1_usd*J1623+t2_usd*K1623)/1000</f>
        <v>11207.1679272801</v>
      </c>
    </row>
    <row r="1624" customFormat="false" ht="15" hidden="false" customHeight="false" outlineLevel="0" collapsed="false">
      <c r="E1624" s="54" t="n">
        <v>1620</v>
      </c>
      <c r="F1624" s="61" t="n">
        <v>0.692169</v>
      </c>
      <c r="G1624" s="61" t="n">
        <v>0.015212</v>
      </c>
      <c r="H1624" s="34" t="n">
        <f aca="false">NORMSINV(F1624)</f>
        <v>0.502007848720558</v>
      </c>
      <c r="I1624" s="34" t="n">
        <f aca="false">NORMSINV(G1624)</f>
        <v>-2.16452604414857</v>
      </c>
      <c r="J1624" s="59" t="n">
        <f aca="false">mc_s0*EXP((mc_mu-mc_vol^2/2)*mc_t1+mc_vol*SQRT(mc_t1)*H1624)</f>
        <v>1202.57312397649</v>
      </c>
      <c r="K1624" s="59" t="n">
        <f aca="false">J1624*EXP((mc_mu-mc_vol^2/2)*(mc_t2-mc_t1)+mc_vol*SQRT(mc_t2-mc_t1)*I1624)</f>
        <v>870.659462114102</v>
      </c>
      <c r="L1624" s="31" t="n">
        <f aca="false">(t1_usd*J1624+t2_usd*K1624)/1000</f>
        <v>10072.2648458523</v>
      </c>
    </row>
    <row r="1625" customFormat="false" ht="15" hidden="false" customHeight="false" outlineLevel="0" collapsed="false">
      <c r="E1625" s="54" t="n">
        <v>1621</v>
      </c>
      <c r="F1625" s="61" t="n">
        <v>0.053174</v>
      </c>
      <c r="G1625" s="61" t="n">
        <v>0.011605</v>
      </c>
      <c r="H1625" s="34" t="n">
        <f aca="false">NORMSINV(F1625)</f>
        <v>-1.61482775884292</v>
      </c>
      <c r="I1625" s="34" t="n">
        <f aca="false">NORMSINV(G1625)</f>
        <v>-2.2699601666254</v>
      </c>
      <c r="J1625" s="59" t="n">
        <f aca="false">mc_s0*EXP((mc_mu-mc_vol^2/2)*mc_t1+mc_vol*SQRT(mc_t1)*H1625)</f>
        <v>982.41430230313</v>
      </c>
      <c r="K1625" s="59" t="n">
        <f aca="false">J1625*EXP((mc_mu-mc_vol^2/2)*(mc_t2-mc_t1)+mc_vol*SQRT(mc_t2-mc_t1)*I1625)</f>
        <v>699.544586079458</v>
      </c>
      <c r="L1625" s="31" t="n">
        <f aca="false">(t1_usd*J1625+t2_usd*K1625)/1000</f>
        <v>8206.03482967288</v>
      </c>
    </row>
    <row r="1626" customFormat="false" ht="15" hidden="false" customHeight="false" outlineLevel="0" collapsed="false">
      <c r="E1626" s="54" t="n">
        <v>1622</v>
      </c>
      <c r="F1626" s="61" t="n">
        <v>0.659578</v>
      </c>
      <c r="G1626" s="61" t="n">
        <v>0.452887</v>
      </c>
      <c r="H1626" s="34" t="n">
        <f aca="false">NORMSINV(F1626)</f>
        <v>0.411311688405141</v>
      </c>
      <c r="I1626" s="34" t="n">
        <f aca="false">NORMSINV(G1626)</f>
        <v>-0.118370624962992</v>
      </c>
      <c r="J1626" s="59" t="n">
        <f aca="false">mc_s0*EXP((mc_mu-mc_vol^2/2)*mc_t1+mc_vol*SQRT(mc_t1)*H1626)</f>
        <v>1192.1995898588</v>
      </c>
      <c r="K1626" s="59" t="n">
        <f aca="false">J1626*EXP((mc_mu-mc_vol^2/2)*(mc_t2-mc_t1)+mc_vol*SQRT(mc_t2-mc_t1)*I1626)</f>
        <v>1191.59445832562</v>
      </c>
      <c r="L1626" s="31" t="n">
        <f aca="false">(t1_usd*J1626+t2_usd*K1626)/1000</f>
        <v>10609.4265998303</v>
      </c>
    </row>
    <row r="1627" customFormat="false" ht="15" hidden="false" customHeight="false" outlineLevel="0" collapsed="false">
      <c r="E1627" s="54" t="n">
        <v>1623</v>
      </c>
      <c r="F1627" s="61" t="n">
        <v>0.387782</v>
      </c>
      <c r="G1627" s="61" t="n">
        <v>0.11722</v>
      </c>
      <c r="H1627" s="34" t="n">
        <f aca="false">NORMSINV(F1627)</f>
        <v>-0.285104607775712</v>
      </c>
      <c r="I1627" s="34" t="n">
        <f aca="false">NORMSINV(G1627)</f>
        <v>-1.1889991535913</v>
      </c>
      <c r="J1627" s="59" t="n">
        <f aca="false">mc_s0*EXP((mc_mu-mc_vol^2/2)*mc_t1+mc_vol*SQRT(mc_t1)*H1627)</f>
        <v>1115.4707163632</v>
      </c>
      <c r="K1627" s="59" t="n">
        <f aca="false">J1627*EXP((mc_mu-mc_vol^2/2)*(mc_t2-mc_t1)+mc_vol*SQRT(mc_t2-mc_t1)*I1627)</f>
        <v>941.806917160334</v>
      </c>
      <c r="L1627" s="31" t="n">
        <f aca="false">(t1_usd*J1627+t2_usd*K1627)/1000</f>
        <v>9597.72815714702</v>
      </c>
    </row>
    <row r="1628" customFormat="false" ht="15" hidden="false" customHeight="false" outlineLevel="0" collapsed="false">
      <c r="E1628" s="54" t="n">
        <v>1624</v>
      </c>
      <c r="F1628" s="61" t="n">
        <v>0.317369</v>
      </c>
      <c r="G1628" s="61" t="n">
        <v>0.187669</v>
      </c>
      <c r="H1628" s="34" t="n">
        <f aca="false">NORMSINV(F1628)</f>
        <v>-0.475068710021825</v>
      </c>
      <c r="I1628" s="34" t="n">
        <f aca="false">NORMSINV(G1628)</f>
        <v>-0.886518852095224</v>
      </c>
      <c r="J1628" s="59" t="n">
        <f aca="false">mc_s0*EXP((mc_mu-mc_vol^2/2)*mc_t1+mc_vol*SQRT(mc_t1)*H1628)</f>
        <v>1095.41207122767</v>
      </c>
      <c r="K1628" s="59" t="n">
        <f aca="false">J1628*EXP((mc_mu-mc_vol^2/2)*(mc_t2-mc_t1)+mc_vol*SQRT(mc_t2-mc_t1)*I1628)</f>
        <v>970.026364551742</v>
      </c>
      <c r="L1628" s="31" t="n">
        <f aca="false">(t1_usd*J1628+t2_usd*K1628)/1000</f>
        <v>9510.93459124198</v>
      </c>
    </row>
    <row r="1629" customFormat="false" ht="15" hidden="false" customHeight="false" outlineLevel="0" collapsed="false">
      <c r="E1629" s="54" t="n">
        <v>1625</v>
      </c>
      <c r="F1629" s="61" t="n">
        <v>0.166631</v>
      </c>
      <c r="G1629" s="61" t="n">
        <v>0.77049</v>
      </c>
      <c r="H1629" s="34" t="n">
        <f aca="false">NORMSINV(F1629)</f>
        <v>-0.967564327740824</v>
      </c>
      <c r="I1629" s="34" t="n">
        <f aca="false">NORMSINV(G1629)</f>
        <v>0.740461522819086</v>
      </c>
      <c r="J1629" s="59" t="n">
        <f aca="false">mc_s0*EXP((mc_mu-mc_vol^2/2)*mc_t1+mc_vol*SQRT(mc_t1)*H1629)</f>
        <v>1045.07237244635</v>
      </c>
      <c r="K1629" s="59" t="n">
        <f aca="false">J1629*EXP((mc_mu-mc_vol^2/2)*(mc_t2-mc_t1)+mc_vol*SQRT(mc_t2-mc_t1)*I1629)</f>
        <v>1195.93049602863</v>
      </c>
      <c r="L1629" s="31" t="n">
        <f aca="false">(t1_usd*J1629+t2_usd*K1629)/1000</f>
        <v>9587.77454957881</v>
      </c>
    </row>
    <row r="1630" customFormat="false" ht="15" hidden="false" customHeight="false" outlineLevel="0" collapsed="false">
      <c r="E1630" s="54" t="n">
        <v>1626</v>
      </c>
      <c r="F1630" s="61" t="n">
        <v>0.810346</v>
      </c>
      <c r="G1630" s="61" t="n">
        <v>0.775229</v>
      </c>
      <c r="H1630" s="34" t="n">
        <f aca="false">NORMSINV(F1630)</f>
        <v>0.879172043708089</v>
      </c>
      <c r="I1630" s="34" t="n">
        <f aca="false">NORMSINV(G1630)</f>
        <v>0.756178802729174</v>
      </c>
      <c r="J1630" s="59" t="n">
        <f aca="false">mc_s0*EXP((mc_mu-mc_vol^2/2)*mc_t1+mc_vol*SQRT(mc_t1)*H1630)</f>
        <v>1246.6890100913</v>
      </c>
      <c r="K1630" s="59" t="n">
        <f aca="false">J1630*EXP((mc_mu-mc_vol^2/2)*(mc_t2-mc_t1)+mc_vol*SQRT(mc_t2-mc_t1)*I1630)</f>
        <v>1430.18897052002</v>
      </c>
      <c r="L1630" s="31" t="n">
        <f aca="false">(t1_usd*J1630+t2_usd*K1630)/1000</f>
        <v>11444.1821146271</v>
      </c>
    </row>
    <row r="1631" customFormat="false" ht="15" hidden="false" customHeight="false" outlineLevel="0" collapsed="false">
      <c r="E1631" s="54" t="n">
        <v>1627</v>
      </c>
      <c r="F1631" s="61" t="n">
        <v>0.889007</v>
      </c>
      <c r="G1631" s="61" t="n">
        <v>0.970472</v>
      </c>
      <c r="H1631" s="34" t="n">
        <f aca="false">NORMSINV(F1631)</f>
        <v>1.22126420920661</v>
      </c>
      <c r="I1631" s="34" t="n">
        <f aca="false">NORMSINV(G1631)</f>
        <v>1.88777621184588</v>
      </c>
      <c r="J1631" s="59" t="n">
        <f aca="false">mc_s0*EXP((mc_mu-mc_vol^2/2)*mc_t1+mc_vol*SQRT(mc_t1)*H1631)</f>
        <v>1288.10067291219</v>
      </c>
      <c r="K1631" s="59" t="n">
        <f aca="false">J1631*EXP((mc_mu-mc_vol^2/2)*(mc_t2-mc_t1)+mc_vol*SQRT(mc_t2-mc_t1)*I1631)</f>
        <v>1766.17498076297</v>
      </c>
      <c r="L1631" s="31" t="n">
        <f aca="false">(t1_usd*J1631+t2_usd*K1631)/1000</f>
        <v>12372.437173835</v>
      </c>
    </row>
    <row r="1632" customFormat="false" ht="15" hidden="false" customHeight="false" outlineLevel="0" collapsed="false">
      <c r="E1632" s="54" t="n">
        <v>1628</v>
      </c>
      <c r="F1632" s="61" t="n">
        <v>0.446948</v>
      </c>
      <c r="G1632" s="61" t="n">
        <v>0.371773</v>
      </c>
      <c r="H1632" s="34" t="n">
        <f aca="false">NORMSINV(F1632)</f>
        <v>-0.133376031661266</v>
      </c>
      <c r="I1632" s="34" t="n">
        <f aca="false">NORMSINV(G1632)</f>
        <v>-0.327161154242568</v>
      </c>
      <c r="J1632" s="59" t="n">
        <f aca="false">mc_s0*EXP((mc_mu-mc_vol^2/2)*mc_t1+mc_vol*SQRT(mc_t1)*H1632)</f>
        <v>1131.75553148134</v>
      </c>
      <c r="K1632" s="59" t="n">
        <f aca="false">J1632*EXP((mc_mu-mc_vol^2/2)*(mc_t2-mc_t1)+mc_vol*SQRT(mc_t2-mc_t1)*I1632)</f>
        <v>1094.56642159496</v>
      </c>
      <c r="L1632" s="31" t="n">
        <f aca="false">(t1_usd*J1632+t2_usd*K1632)/1000</f>
        <v>10001.9649213998</v>
      </c>
    </row>
    <row r="1633" customFormat="false" ht="15" hidden="false" customHeight="false" outlineLevel="0" collapsed="false">
      <c r="E1633" s="54" t="n">
        <v>1629</v>
      </c>
      <c r="F1633" s="61" t="n">
        <v>0.611098</v>
      </c>
      <c r="G1633" s="61" t="n">
        <v>0.285901</v>
      </c>
      <c r="H1633" s="34" t="n">
        <f aca="false">NORMSINV(F1633)</f>
        <v>0.282181947367317</v>
      </c>
      <c r="I1633" s="34" t="n">
        <f aca="false">NORMSINV(G1633)</f>
        <v>-0.565399594973357</v>
      </c>
      <c r="J1633" s="59" t="n">
        <f aca="false">mc_s0*EXP((mc_mu-mc_vol^2/2)*mc_t1+mc_vol*SQRT(mc_t1)*H1633)</f>
        <v>1177.5843556176</v>
      </c>
      <c r="K1633" s="59" t="n">
        <f aca="false">J1633*EXP((mc_mu-mc_vol^2/2)*(mc_t2-mc_t1)+mc_vol*SQRT(mc_t2-mc_t1)*I1633)</f>
        <v>1096.92274382028</v>
      </c>
      <c r="L1633" s="31" t="n">
        <f aca="false">(t1_usd*J1633+t2_usd*K1633)/1000</f>
        <v>10327.2437025818</v>
      </c>
    </row>
    <row r="1634" customFormat="false" ht="15" hidden="false" customHeight="false" outlineLevel="0" collapsed="false">
      <c r="E1634" s="54" t="n">
        <v>1630</v>
      </c>
      <c r="F1634" s="61" t="n">
        <v>0.831609</v>
      </c>
      <c r="G1634" s="61" t="n">
        <v>0.168238</v>
      </c>
      <c r="H1634" s="34" t="n">
        <f aca="false">NORMSINV(F1634)</f>
        <v>0.960543000814056</v>
      </c>
      <c r="I1634" s="34" t="n">
        <f aca="false">NORMSINV(G1634)</f>
        <v>-0.961151496713438</v>
      </c>
      <c r="J1634" s="59" t="n">
        <f aca="false">mc_s0*EXP((mc_mu-mc_vol^2/2)*mc_t1+mc_vol*SQRT(mc_t1)*H1634)</f>
        <v>1256.41699152173</v>
      </c>
      <c r="K1634" s="59" t="n">
        <f aca="false">J1634*EXP((mc_mu-mc_vol^2/2)*(mc_t2-mc_t1)+mc_vol*SQRT(mc_t2-mc_t1)*I1634)</f>
        <v>1099.59262928295</v>
      </c>
      <c r="L1634" s="31" t="n">
        <f aca="false">(t1_usd*J1634+t2_usd*K1634)/1000</f>
        <v>10884.1449362897</v>
      </c>
    </row>
    <row r="1635" customFormat="false" ht="15" hidden="false" customHeight="false" outlineLevel="0" collapsed="false">
      <c r="E1635" s="54" t="n">
        <v>1631</v>
      </c>
      <c r="F1635" s="61" t="n">
        <v>0.786222</v>
      </c>
      <c r="G1635" s="61" t="n">
        <v>0.542952</v>
      </c>
      <c r="H1635" s="34" t="n">
        <f aca="false">NORMSINV(F1635)</f>
        <v>0.793380789083738</v>
      </c>
      <c r="I1635" s="34" t="n">
        <f aca="false">NORMSINV(G1635)</f>
        <v>0.107873548367887</v>
      </c>
      <c r="J1635" s="59" t="n">
        <f aca="false">mc_s0*EXP((mc_mu-mc_vol^2/2)*mc_t1+mc_vol*SQRT(mc_t1)*H1635)</f>
        <v>1236.51413487566</v>
      </c>
      <c r="K1635" s="59" t="n">
        <f aca="false">J1635*EXP((mc_mu-mc_vol^2/2)*(mc_t2-mc_t1)+mc_vol*SQRT(mc_t2-mc_t1)*I1635)</f>
        <v>1280.74645740094</v>
      </c>
      <c r="L1635" s="31" t="n">
        <f aca="false">(t1_usd*J1635+t2_usd*K1635)/1000</f>
        <v>11089.0172131914</v>
      </c>
    </row>
    <row r="1636" customFormat="false" ht="15" hidden="false" customHeight="false" outlineLevel="0" collapsed="false">
      <c r="E1636" s="54" t="n">
        <v>1632</v>
      </c>
      <c r="F1636" s="61" t="n">
        <v>0.686702</v>
      </c>
      <c r="G1636" s="61" t="n">
        <v>0.521577</v>
      </c>
      <c r="H1636" s="34" t="n">
        <f aca="false">NORMSINV(F1636)</f>
        <v>0.486523567450709</v>
      </c>
      <c r="I1636" s="34" t="n">
        <f aca="false">NORMSINV(G1636)</f>
        <v>0.054111914196485</v>
      </c>
      <c r="J1636" s="59" t="n">
        <f aca="false">mc_s0*EXP((mc_mu-mc_vol^2/2)*mc_t1+mc_vol*SQRT(mc_t1)*H1636)</f>
        <v>1200.79571384311</v>
      </c>
      <c r="K1636" s="59" t="n">
        <f aca="false">J1636*EXP((mc_mu-mc_vol^2/2)*(mc_t2-mc_t1)+mc_vol*SQRT(mc_t2-mc_t1)*I1636)</f>
        <v>1233.2572039061</v>
      </c>
      <c r="L1636" s="31" t="n">
        <f aca="false">(t1_usd*J1636+t2_usd*K1636)/1000</f>
        <v>10748.7586843234</v>
      </c>
    </row>
    <row r="1637" customFormat="false" ht="15" hidden="false" customHeight="false" outlineLevel="0" collapsed="false">
      <c r="E1637" s="54" t="n">
        <v>1633</v>
      </c>
      <c r="F1637" s="61" t="n">
        <v>0.424846</v>
      </c>
      <c r="G1637" s="61" t="n">
        <v>0.831472</v>
      </c>
      <c r="H1637" s="34" t="n">
        <f aca="false">NORMSINV(F1637)</f>
        <v>-0.189511426901856</v>
      </c>
      <c r="I1637" s="34" t="n">
        <f aca="false">NORMSINV(G1637)</f>
        <v>0.959998440128371</v>
      </c>
      <c r="J1637" s="59" t="n">
        <f aca="false">mc_s0*EXP((mc_mu-mc_vol^2/2)*mc_t1+mc_vol*SQRT(mc_t1)*H1637)</f>
        <v>1125.70307335939</v>
      </c>
      <c r="K1637" s="59" t="n">
        <f aca="false">J1637*EXP((mc_mu-mc_vol^2/2)*(mc_t2-mc_t1)+mc_vol*SQRT(mc_t2-mc_t1)*I1637)</f>
        <v>1333.54888201671</v>
      </c>
      <c r="L1637" s="31" t="n">
        <f aca="false">(t1_usd*J1637+t2_usd*K1637)/1000</f>
        <v>10413.6643893475</v>
      </c>
    </row>
    <row r="1638" customFormat="false" ht="15" hidden="false" customHeight="false" outlineLevel="0" collapsed="false">
      <c r="E1638" s="54" t="n">
        <v>1634</v>
      </c>
      <c r="F1638" s="61" t="n">
        <v>0.813874</v>
      </c>
      <c r="G1638" s="61" t="n">
        <v>0.473144</v>
      </c>
      <c r="H1638" s="34" t="n">
        <f aca="false">NORMSINV(F1638)</f>
        <v>0.892262965001848</v>
      </c>
      <c r="I1638" s="34" t="n">
        <f aca="false">NORMSINV(G1638)</f>
        <v>-0.067368934076839</v>
      </c>
      <c r="J1638" s="59" t="n">
        <f aca="false">mc_s0*EXP((mc_mu-mc_vol^2/2)*mc_t1+mc_vol*SQRT(mc_t1)*H1638)</f>
        <v>1248.24894385617</v>
      </c>
      <c r="K1638" s="59" t="n">
        <f aca="false">J1638*EXP((mc_mu-mc_vol^2/2)*(mc_t2-mc_t1)+mc_vol*SQRT(mc_t2-mc_t1)*I1638)</f>
        <v>1257.68350324266</v>
      </c>
      <c r="L1638" s="31" t="n">
        <f aca="false">(t1_usd*J1638+t2_usd*K1638)/1000</f>
        <v>11127.3412631542</v>
      </c>
    </row>
    <row r="1639" customFormat="false" ht="15" hidden="false" customHeight="false" outlineLevel="0" collapsed="false">
      <c r="E1639" s="54" t="n">
        <v>1635</v>
      </c>
      <c r="F1639" s="61" t="n">
        <v>0.720815</v>
      </c>
      <c r="G1639" s="61" t="n">
        <v>0.997065</v>
      </c>
      <c r="H1639" s="34" t="n">
        <f aca="false">NORMSINV(F1639)</f>
        <v>0.585264323107566</v>
      </c>
      <c r="I1639" s="34" t="n">
        <f aca="false">NORMSINV(G1639)</f>
        <v>2.75495616111377</v>
      </c>
      <c r="J1639" s="59" t="n">
        <f aca="false">mc_s0*EXP((mc_mu-mc_vol^2/2)*mc_t1+mc_vol*SQRT(mc_t1)*H1639)</f>
        <v>1212.17517145107</v>
      </c>
      <c r="K1639" s="59" t="n">
        <f aca="false">J1639*EXP((mc_mu-mc_vol^2/2)*(mc_t2-mc_t1)+mc_vol*SQRT(mc_t2-mc_t1)*I1639)</f>
        <v>1905.46383933133</v>
      </c>
      <c r="L1639" s="31" t="n">
        <f aca="false">(t1_usd*J1639+t2_usd*K1639)/1000</f>
        <v>12105.607494887</v>
      </c>
    </row>
    <row r="1640" customFormat="false" ht="15" hidden="false" customHeight="false" outlineLevel="0" collapsed="false">
      <c r="E1640" s="54" t="n">
        <v>1636</v>
      </c>
      <c r="F1640" s="61" t="n">
        <v>0.281753</v>
      </c>
      <c r="G1640" s="61" t="n">
        <v>0.54663</v>
      </c>
      <c r="H1640" s="34" t="n">
        <f aca="false">NORMSINV(F1640)</f>
        <v>-0.577641770174102</v>
      </c>
      <c r="I1640" s="34" t="n">
        <f aca="false">NORMSINV(G1640)</f>
        <v>0.117151499457639</v>
      </c>
      <c r="J1640" s="59" t="n">
        <f aca="false">mc_s0*EXP((mc_mu-mc_vol^2/2)*mc_t1+mc_vol*SQRT(mc_t1)*H1640)</f>
        <v>1084.73158062461</v>
      </c>
      <c r="K1640" s="59" t="n">
        <f aca="false">J1640*EXP((mc_mu-mc_vol^2/2)*(mc_t2-mc_t1)+mc_vol*SQRT(mc_t2-mc_t1)*I1640)</f>
        <v>1125.17833801898</v>
      </c>
      <c r="L1640" s="31" t="n">
        <f aca="false">(t1_usd*J1640+t2_usd*K1640)/1000</f>
        <v>9730.95990660835</v>
      </c>
    </row>
    <row r="1641" customFormat="false" ht="15" hidden="false" customHeight="false" outlineLevel="0" collapsed="false">
      <c r="E1641" s="54" t="n">
        <v>1637</v>
      </c>
      <c r="F1641" s="61" t="n">
        <v>0.421939</v>
      </c>
      <c r="G1641" s="61" t="n">
        <v>0.276225</v>
      </c>
      <c r="H1641" s="34" t="n">
        <f aca="false">NORMSINV(F1641)</f>
        <v>-0.196935516176557</v>
      </c>
      <c r="I1641" s="34" t="n">
        <f aca="false">NORMSINV(G1641)</f>
        <v>-0.594092869179372</v>
      </c>
      <c r="J1641" s="59" t="n">
        <f aca="false">mc_s0*EXP((mc_mu-mc_vol^2/2)*mc_t1+mc_vol*SQRT(mc_t1)*H1641)</f>
        <v>1124.9050432052</v>
      </c>
      <c r="K1641" s="59" t="n">
        <f aca="false">J1641*EXP((mc_mu-mc_vol^2/2)*(mc_t2-mc_t1)+mc_vol*SQRT(mc_t2-mc_t1)*I1641)</f>
        <v>1043.12428615207</v>
      </c>
      <c r="L1641" s="31" t="n">
        <f aca="false">(t1_usd*J1641+t2_usd*K1641)/1000</f>
        <v>9856.27144612536</v>
      </c>
    </row>
    <row r="1642" customFormat="false" ht="15" hidden="false" customHeight="false" outlineLevel="0" collapsed="false">
      <c r="E1642" s="54" t="n">
        <v>1638</v>
      </c>
      <c r="F1642" s="61" t="n">
        <v>0.282676</v>
      </c>
      <c r="G1642" s="61" t="n">
        <v>0.667053</v>
      </c>
      <c r="H1642" s="34" t="n">
        <f aca="false">NORMSINV(F1642)</f>
        <v>-0.574910246119599</v>
      </c>
      <c r="I1642" s="34" t="n">
        <f aca="false">NORMSINV(G1642)</f>
        <v>0.431790066283319</v>
      </c>
      <c r="J1642" s="59" t="n">
        <f aca="false">mc_s0*EXP((mc_mu-mc_vol^2/2)*mc_t1+mc_vol*SQRT(mc_t1)*H1642)</f>
        <v>1085.01464826372</v>
      </c>
      <c r="K1642" s="59" t="n">
        <f aca="false">J1642*EXP((mc_mu-mc_vol^2/2)*(mc_t2-mc_t1)+mc_vol*SQRT(mc_t2-mc_t1)*I1642)</f>
        <v>1182.68510539706</v>
      </c>
      <c r="L1642" s="31" t="n">
        <f aca="false">(t1_usd*J1642+t2_usd*K1642)/1000</f>
        <v>9842.20423810046</v>
      </c>
    </row>
    <row r="1643" customFormat="false" ht="15" hidden="false" customHeight="false" outlineLevel="0" collapsed="false">
      <c r="E1643" s="54" t="n">
        <v>1639</v>
      </c>
      <c r="F1643" s="61" t="n">
        <v>0.600036</v>
      </c>
      <c r="G1643" s="61" t="n">
        <v>0.680674</v>
      </c>
      <c r="H1643" s="34" t="n">
        <f aca="false">NORMSINV(F1643)</f>
        <v>0.253440285795923</v>
      </c>
      <c r="I1643" s="34" t="n">
        <f aca="false">NORMSINV(G1643)</f>
        <v>0.469584361164205</v>
      </c>
      <c r="J1643" s="59" t="n">
        <f aca="false">mc_s0*EXP((mc_mu-mc_vol^2/2)*mc_t1+mc_vol*SQRT(mc_t1)*H1643)</f>
        <v>1174.35575659332</v>
      </c>
      <c r="K1643" s="59" t="n">
        <f aca="false">J1643*EXP((mc_mu-mc_vol^2/2)*(mc_t2-mc_t1)+mc_vol*SQRT(mc_t2-mc_t1)*I1643)</f>
        <v>1287.71548645544</v>
      </c>
      <c r="L1643" s="31" t="n">
        <f aca="false">(t1_usd*J1643+t2_usd*K1643)/1000</f>
        <v>10667.1497204186</v>
      </c>
    </row>
    <row r="1644" customFormat="false" ht="15" hidden="false" customHeight="false" outlineLevel="0" collapsed="false">
      <c r="E1644" s="54" t="n">
        <v>1640</v>
      </c>
      <c r="F1644" s="61" t="n">
        <v>0.66624</v>
      </c>
      <c r="G1644" s="61" t="n">
        <v>0.368625</v>
      </c>
      <c r="H1644" s="34" t="n">
        <f aca="false">NORMSINV(F1644)</f>
        <v>0.429554144074112</v>
      </c>
      <c r="I1644" s="34" t="n">
        <f aca="false">NORMSINV(G1644)</f>
        <v>-0.33549727495342</v>
      </c>
      <c r="J1644" s="59" t="n">
        <f aca="false">mc_s0*EXP((mc_mu-mc_vol^2/2)*mc_t1+mc_vol*SQRT(mc_t1)*H1644)</f>
        <v>1194.2788889585</v>
      </c>
      <c r="K1644" s="59" t="n">
        <f aca="false">J1644*EXP((mc_mu-mc_vol^2/2)*(mc_t2-mc_t1)+mc_vol*SQRT(mc_t2-mc_t1)*I1644)</f>
        <v>1153.51889038583</v>
      </c>
      <c r="L1644" s="31" t="n">
        <f aca="false">(t1_usd*J1644+t2_usd*K1644)/1000</f>
        <v>10551.6381144426</v>
      </c>
    </row>
    <row r="1645" customFormat="false" ht="15" hidden="false" customHeight="false" outlineLevel="0" collapsed="false">
      <c r="E1645" s="54" t="n">
        <v>1641</v>
      </c>
      <c r="F1645" s="61" t="n">
        <v>0.859386</v>
      </c>
      <c r="G1645" s="61" t="n">
        <v>0.14643</v>
      </c>
      <c r="H1645" s="34" t="n">
        <f aca="false">NORMSINV(F1645)</f>
        <v>1.07756484023676</v>
      </c>
      <c r="I1645" s="34" t="n">
        <f aca="false">NORMSINV(G1645)</f>
        <v>-1.05186825124433</v>
      </c>
      <c r="J1645" s="59" t="n">
        <f aca="false">mc_s0*EXP((mc_mu-mc_vol^2/2)*mc_t1+mc_vol*SQRT(mc_t1)*H1645)</f>
        <v>1270.54030355509</v>
      </c>
      <c r="K1645" s="59" t="n">
        <f aca="false">J1645*EXP((mc_mu-mc_vol^2/2)*(mc_t2-mc_t1)+mc_vol*SQRT(mc_t2-mc_t1)*I1645)</f>
        <v>1096.16931812177</v>
      </c>
      <c r="L1645" s="31" t="n">
        <f aca="false">(t1_usd*J1645+t2_usd*K1645)/1000</f>
        <v>10976.503829317</v>
      </c>
    </row>
    <row r="1646" customFormat="false" ht="15" hidden="false" customHeight="false" outlineLevel="0" collapsed="false">
      <c r="E1646" s="54" t="n">
        <v>1642</v>
      </c>
      <c r="F1646" s="61" t="n">
        <v>0.580169</v>
      </c>
      <c r="G1646" s="61" t="n">
        <v>0.494384</v>
      </c>
      <c r="H1646" s="34" t="n">
        <f aca="false">NORMSINV(F1646)</f>
        <v>0.202325840369035</v>
      </c>
      <c r="I1646" s="34" t="n">
        <f aca="false">NORMSINV(G1646)</f>
        <v>-0.014077689365724</v>
      </c>
      <c r="J1646" s="59" t="n">
        <f aca="false">mc_s0*EXP((mc_mu-mc_vol^2/2)*mc_t1+mc_vol*SQRT(mc_t1)*H1646)</f>
        <v>1168.6358389627</v>
      </c>
      <c r="K1646" s="59" t="n">
        <f aca="false">J1646*EXP((mc_mu-mc_vol^2/2)*(mc_t2-mc_t1)+mc_vol*SQRT(mc_t2-mc_t1)*I1646)</f>
        <v>1187.3990844265</v>
      </c>
      <c r="L1646" s="31" t="n">
        <f aca="false">(t1_usd*J1646+t2_usd*K1646)/1000</f>
        <v>10436.5091331492</v>
      </c>
    </row>
    <row r="1647" customFormat="false" ht="15" hidden="false" customHeight="false" outlineLevel="0" collapsed="false">
      <c r="E1647" s="54" t="n">
        <v>1643</v>
      </c>
      <c r="F1647" s="61" t="n">
        <v>0.263716</v>
      </c>
      <c r="G1647" s="61" t="n">
        <v>0.897611</v>
      </c>
      <c r="H1647" s="34" t="n">
        <f aca="false">NORMSINV(F1647)</f>
        <v>-0.631930947390717</v>
      </c>
      <c r="I1647" s="34" t="n">
        <f aca="false">NORMSINV(G1647)</f>
        <v>1.26805586824732</v>
      </c>
      <c r="J1647" s="59" t="n">
        <f aca="false">mc_s0*EXP((mc_mu-mc_vol^2/2)*mc_t1+mc_vol*SQRT(mc_t1)*H1647)</f>
        <v>1079.12089173324</v>
      </c>
      <c r="K1647" s="59" t="n">
        <f aca="false">J1647*EXP((mc_mu-mc_vol^2/2)*(mc_t2-mc_t1)+mc_vol*SQRT(mc_t2-mc_t1)*I1647)</f>
        <v>1341.9588870746</v>
      </c>
      <c r="L1647" s="31" t="n">
        <f aca="false">(t1_usd*J1647+t2_usd*K1647)/1000</f>
        <v>10103.5681275744</v>
      </c>
    </row>
    <row r="1648" customFormat="false" ht="15" hidden="false" customHeight="false" outlineLevel="0" collapsed="false">
      <c r="E1648" s="54" t="n">
        <v>1644</v>
      </c>
      <c r="F1648" s="61" t="n">
        <v>0.411354</v>
      </c>
      <c r="G1648" s="61" t="n">
        <v>0.760273</v>
      </c>
      <c r="H1648" s="34" t="n">
        <f aca="false">NORMSINV(F1648)</f>
        <v>-0.224063362748504</v>
      </c>
      <c r="I1648" s="34" t="n">
        <f aca="false">NORMSINV(G1648)</f>
        <v>0.707181006979915</v>
      </c>
      <c r="J1648" s="59" t="n">
        <f aca="false">mc_s0*EXP((mc_mu-mc_vol^2/2)*mc_t1+mc_vol*SQRT(mc_t1)*H1648)</f>
        <v>1121.99382434289</v>
      </c>
      <c r="K1648" s="59" t="n">
        <f aca="false">J1648*EXP((mc_mu-mc_vol^2/2)*(mc_t2-mc_t1)+mc_vol*SQRT(mc_t2-mc_t1)*I1648)</f>
        <v>1277.23926085871</v>
      </c>
      <c r="L1648" s="31" t="n">
        <f aca="false">(t1_usd*J1648+t2_usd*K1648)/1000</f>
        <v>10280.7113660318</v>
      </c>
    </row>
    <row r="1649" customFormat="false" ht="15" hidden="false" customHeight="false" outlineLevel="0" collapsed="false">
      <c r="E1649" s="54" t="n">
        <v>1645</v>
      </c>
      <c r="F1649" s="61" t="n">
        <v>0.438745</v>
      </c>
      <c r="G1649" s="61" t="n">
        <v>0.072647</v>
      </c>
      <c r="H1649" s="34" t="n">
        <f aca="false">NORMSINV(F1649)</f>
        <v>-0.15415185815638</v>
      </c>
      <c r="I1649" s="34" t="n">
        <f aca="false">NORMSINV(G1649)</f>
        <v>-1.45635684063052</v>
      </c>
      <c r="J1649" s="59" t="n">
        <f aca="false">mc_s0*EXP((mc_mu-mc_vol^2/2)*mc_t1+mc_vol*SQRT(mc_t1)*H1649)</f>
        <v>1129.51172026827</v>
      </c>
      <c r="K1649" s="59" t="n">
        <f aca="false">J1649*EXP((mc_mu-mc_vol^2/2)*(mc_t2-mc_t1)+mc_vol*SQRT(mc_t2-mc_t1)*I1649)</f>
        <v>914.31530039918</v>
      </c>
      <c r="L1649" s="31" t="n">
        <f aca="false">(t1_usd*J1649+t2_usd*K1649)/1000</f>
        <v>9643.78111263635</v>
      </c>
    </row>
    <row r="1650" customFormat="false" ht="15" hidden="false" customHeight="false" outlineLevel="0" collapsed="false">
      <c r="E1650" s="54" t="n">
        <v>1646</v>
      </c>
      <c r="F1650" s="61" t="n">
        <v>0.603664</v>
      </c>
      <c r="G1650" s="61" t="n">
        <v>0.282537</v>
      </c>
      <c r="H1650" s="34" t="n">
        <f aca="false">NORMSINV(F1650)</f>
        <v>0.262842469665373</v>
      </c>
      <c r="I1650" s="34" t="n">
        <f aca="false">NORMSINV(G1650)</f>
        <v>-0.575321327645716</v>
      </c>
      <c r="J1650" s="59" t="n">
        <f aca="false">mc_s0*EXP((mc_mu-mc_vol^2/2)*mc_t1+mc_vol*SQRT(mc_t1)*H1650)</f>
        <v>1175.41094426735</v>
      </c>
      <c r="K1650" s="59" t="n">
        <f aca="false">J1650*EXP((mc_mu-mc_vol^2/2)*(mc_t2-mc_t1)+mc_vol*SQRT(mc_t2-mc_t1)*I1650)</f>
        <v>1093.18756329156</v>
      </c>
      <c r="L1650" s="31" t="n">
        <f aca="false">(t1_usd*J1650+t2_usd*K1650)/1000</f>
        <v>10304.9329801254</v>
      </c>
    </row>
    <row r="1651" customFormat="false" ht="15" hidden="false" customHeight="false" outlineLevel="0" collapsed="false">
      <c r="E1651" s="54" t="n">
        <v>1647</v>
      </c>
      <c r="F1651" s="61" t="n">
        <v>0.483807</v>
      </c>
      <c r="G1651" s="61" t="n">
        <v>0.82475</v>
      </c>
      <c r="H1651" s="34" t="n">
        <f aca="false">NORMSINV(F1651)</f>
        <v>-0.0406009836068152</v>
      </c>
      <c r="I1651" s="34" t="n">
        <f aca="false">NORMSINV(G1651)</f>
        <v>0.933619893179827</v>
      </c>
      <c r="J1651" s="59" t="n">
        <f aca="false">mc_s0*EXP((mc_mu-mc_vol^2/2)*mc_t1+mc_vol*SQRT(mc_t1)*H1651)</f>
        <v>1141.82985441908</v>
      </c>
      <c r="K1651" s="59" t="n">
        <f aca="false">J1651*EXP((mc_mu-mc_vol^2/2)*(mc_t2-mc_t1)+mc_vol*SQRT(mc_t2-mc_t1)*I1651)</f>
        <v>1347.04183890565</v>
      </c>
      <c r="L1651" s="31" t="n">
        <f aca="false">(t1_usd*J1651+t2_usd*K1651)/1000</f>
        <v>10552.1884748543</v>
      </c>
    </row>
    <row r="1652" customFormat="false" ht="15" hidden="false" customHeight="false" outlineLevel="0" collapsed="false">
      <c r="E1652" s="54" t="n">
        <v>1648</v>
      </c>
      <c r="F1652" s="61" t="n">
        <v>0.974305</v>
      </c>
      <c r="G1652" s="61" t="n">
        <v>0.376378</v>
      </c>
      <c r="H1652" s="34" t="n">
        <f aca="false">NORMSINV(F1652)</f>
        <v>1.94820866861178</v>
      </c>
      <c r="I1652" s="34" t="n">
        <f aca="false">NORMSINV(G1652)</f>
        <v>-0.315007446502245</v>
      </c>
      <c r="J1652" s="59" t="n">
        <f aca="false">mc_s0*EXP((mc_mu-mc_vol^2/2)*mc_t1+mc_vol*SQRT(mc_t1)*H1652)</f>
        <v>1380.72459462239</v>
      </c>
      <c r="K1652" s="59" t="n">
        <f aca="false">J1652*EXP((mc_mu-mc_vol^2/2)*(mc_t2-mc_t1)+mc_vol*SQRT(mc_t2-mc_t1)*I1652)</f>
        <v>1337.91455522108</v>
      </c>
      <c r="L1652" s="31" t="n">
        <f aca="false">(t1_usd*J1652+t2_usd*K1652)/1000</f>
        <v>12207.1098172768</v>
      </c>
    </row>
    <row r="1653" customFormat="false" ht="15" hidden="false" customHeight="false" outlineLevel="0" collapsed="false">
      <c r="E1653" s="54" t="n">
        <v>1649</v>
      </c>
      <c r="F1653" s="61" t="n">
        <v>0.573089</v>
      </c>
      <c r="G1653" s="61" t="n">
        <v>0.960834</v>
      </c>
      <c r="H1653" s="34" t="n">
        <f aca="false">NORMSINV(F1653)</f>
        <v>0.184244055144729</v>
      </c>
      <c r="I1653" s="34" t="n">
        <f aca="false">NORMSINV(G1653)</f>
        <v>1.76044727337756</v>
      </c>
      <c r="J1653" s="59" t="n">
        <f aca="false">mc_s0*EXP((mc_mu-mc_vol^2/2)*mc_t1+mc_vol*SQRT(mc_t1)*H1653)</f>
        <v>1166.61909043062</v>
      </c>
      <c r="K1653" s="59" t="n">
        <f aca="false">J1653*EXP((mc_mu-mc_vol^2/2)*(mc_t2-mc_t1)+mc_vol*SQRT(mc_t2-mc_t1)*I1653)</f>
        <v>1567.82783712909</v>
      </c>
      <c r="L1653" s="31" t="n">
        <f aca="false">(t1_usd*J1653+t2_usd*K1653)/1000</f>
        <v>11145.2065235596</v>
      </c>
    </row>
    <row r="1654" customFormat="false" ht="15" hidden="false" customHeight="false" outlineLevel="0" collapsed="false">
      <c r="E1654" s="54" t="n">
        <v>1650</v>
      </c>
      <c r="F1654" s="61" t="n">
        <v>0.869047</v>
      </c>
      <c r="G1654" s="61" t="n">
        <v>0.298334</v>
      </c>
      <c r="H1654" s="34" t="n">
        <f aca="false">NORMSINV(F1654)</f>
        <v>1.12189755588742</v>
      </c>
      <c r="I1654" s="34" t="n">
        <f aca="false">NORMSINV(G1654)</f>
        <v>-0.529198149864154</v>
      </c>
      <c r="J1654" s="59" t="n">
        <f aca="false">mc_s0*EXP((mc_mu-mc_vol^2/2)*mc_t1+mc_vol*SQRT(mc_t1)*H1654)</f>
        <v>1275.93216750624</v>
      </c>
      <c r="K1654" s="59" t="n">
        <f aca="false">J1654*EXP((mc_mu-mc_vol^2/2)*(mc_t2-mc_t1)+mc_vol*SQRT(mc_t2-mc_t1)*I1654)</f>
        <v>1195.33406034211</v>
      </c>
      <c r="L1654" s="31" t="n">
        <f aca="false">(t1_usd*J1654+t2_usd*K1654)/1000</f>
        <v>11202.6598871937</v>
      </c>
    </row>
    <row r="1655" customFormat="false" ht="15" hidden="false" customHeight="false" outlineLevel="0" collapsed="false">
      <c r="E1655" s="54" t="n">
        <v>1651</v>
      </c>
      <c r="F1655" s="61" t="n">
        <v>0.466966</v>
      </c>
      <c r="G1655" s="61" t="n">
        <v>0.183195</v>
      </c>
      <c r="H1655" s="34" t="n">
        <f aca="false">NORMSINV(F1655)</f>
        <v>-0.0828988103372912</v>
      </c>
      <c r="I1655" s="34" t="n">
        <f aca="false">NORMSINV(G1655)</f>
        <v>-0.903256080933378</v>
      </c>
      <c r="J1655" s="59" t="n">
        <f aca="false">mc_s0*EXP((mc_mu-mc_vol^2/2)*mc_t1+mc_vol*SQRT(mc_t1)*H1655)</f>
        <v>1137.22571325384</v>
      </c>
      <c r="K1655" s="59" t="n">
        <f aca="false">J1655*EXP((mc_mu-mc_vol^2/2)*(mc_t2-mc_t1)+mc_vol*SQRT(mc_t2-mc_t1)*I1655)</f>
        <v>1004.40105329839</v>
      </c>
      <c r="L1655" s="31" t="n">
        <f aca="false">(t1_usd*J1655+t2_usd*K1655)/1000</f>
        <v>9868.9419940438</v>
      </c>
    </row>
    <row r="1656" customFormat="false" ht="15" hidden="false" customHeight="false" outlineLevel="0" collapsed="false">
      <c r="E1656" s="54" t="n">
        <v>1652</v>
      </c>
      <c r="F1656" s="61" t="n">
        <v>0.962329</v>
      </c>
      <c r="G1656" s="61" t="n">
        <v>0.494895</v>
      </c>
      <c r="H1656" s="34" t="n">
        <f aca="false">NORMSINV(F1656)</f>
        <v>1.77837674154896</v>
      </c>
      <c r="I1656" s="34" t="n">
        <f aca="false">NORMSINV(G1656)</f>
        <v>-0.0127966865873815</v>
      </c>
      <c r="J1656" s="59" t="n">
        <f aca="false">mc_s0*EXP((mc_mu-mc_vol^2/2)*mc_t1+mc_vol*SQRT(mc_t1)*H1656)</f>
        <v>1358.50609769826</v>
      </c>
      <c r="K1656" s="59" t="n">
        <f aca="false">J1656*EXP((mc_mu-mc_vol^2/2)*(mc_t2-mc_t1)+mc_vol*SQRT(mc_t2-mc_t1)*I1656)</f>
        <v>1380.59652267077</v>
      </c>
      <c r="L1656" s="31" t="n">
        <f aca="false">(t1_usd*J1656+t2_usd*K1656)/1000</f>
        <v>12132.6760769623</v>
      </c>
    </row>
    <row r="1657" customFormat="false" ht="15" hidden="false" customHeight="false" outlineLevel="0" collapsed="false">
      <c r="E1657" s="54" t="n">
        <v>1653</v>
      </c>
      <c r="F1657" s="61" t="n">
        <v>0.917094</v>
      </c>
      <c r="G1657" s="61" t="n">
        <v>0.323642</v>
      </c>
      <c r="H1657" s="34" t="n">
        <f aca="false">NORMSINV(F1657)</f>
        <v>1.38578684649698</v>
      </c>
      <c r="I1657" s="34" t="n">
        <f aca="false">NORMSINV(G1657)</f>
        <v>-0.457538550473663</v>
      </c>
      <c r="J1657" s="59" t="n">
        <f aca="false">mc_s0*EXP((mc_mu-mc_vol^2/2)*mc_t1+mc_vol*SQRT(mc_t1)*H1657)</f>
        <v>1308.50389678557</v>
      </c>
      <c r="K1657" s="59" t="n">
        <f aca="false">J1657*EXP((mc_mu-mc_vol^2/2)*(mc_t2-mc_t1)+mc_vol*SQRT(mc_t2-mc_t1)*I1657)</f>
        <v>1239.77034650615</v>
      </c>
      <c r="L1657" s="31" t="n">
        <f aca="false">(t1_usd*J1657+t2_usd*K1657)/1000</f>
        <v>11515.0909358607</v>
      </c>
    </row>
    <row r="1658" customFormat="false" ht="15" hidden="false" customHeight="false" outlineLevel="0" collapsed="false">
      <c r="E1658" s="54" t="n">
        <v>1654</v>
      </c>
      <c r="F1658" s="61" t="n">
        <v>0.679724</v>
      </c>
      <c r="G1658" s="61" t="n">
        <v>0.319297</v>
      </c>
      <c r="H1658" s="34" t="n">
        <f aca="false">NORMSINV(F1658)</f>
        <v>0.46692714984987</v>
      </c>
      <c r="I1658" s="34" t="n">
        <f aca="false">NORMSINV(G1658)</f>
        <v>-0.469665528115269</v>
      </c>
      <c r="J1658" s="59" t="n">
        <f aca="false">mc_s0*EXP((mc_mu-mc_vol^2/2)*mc_t1+mc_vol*SQRT(mc_t1)*H1658)</f>
        <v>1198.55004533236</v>
      </c>
      <c r="K1658" s="59" t="n">
        <f aca="false">J1658*EXP((mc_mu-mc_vol^2/2)*(mc_t2-mc_t1)+mc_vol*SQRT(mc_t2-mc_t1)*I1658)</f>
        <v>1133.42399852351</v>
      </c>
      <c r="L1658" s="31" t="n">
        <f aca="false">(t1_usd*J1658+t2_usd*K1658)/1000</f>
        <v>10543.3559145212</v>
      </c>
    </row>
    <row r="1659" customFormat="false" ht="15" hidden="false" customHeight="false" outlineLevel="0" collapsed="false">
      <c r="E1659" s="54" t="n">
        <v>1655</v>
      </c>
      <c r="F1659" s="61" t="n">
        <v>0.107545</v>
      </c>
      <c r="G1659" s="61" t="n">
        <v>0.857782</v>
      </c>
      <c r="H1659" s="34" t="n">
        <f aca="false">NORMSINV(F1659)</f>
        <v>-1.2396902089155</v>
      </c>
      <c r="I1659" s="34" t="n">
        <f aca="false">NORMSINV(G1659)</f>
        <v>1.07040733297739</v>
      </c>
      <c r="J1659" s="59" t="n">
        <f aca="false">mc_s0*EXP((mc_mu-mc_vol^2/2)*mc_t1+mc_vol*SQRT(mc_t1)*H1659)</f>
        <v>1018.25661137366</v>
      </c>
      <c r="K1659" s="59" t="n">
        <f aca="false">J1659*EXP((mc_mu-mc_vol^2/2)*(mc_t2-mc_t1)+mc_vol*SQRT(mc_t2-mc_t1)*I1659)</f>
        <v>1227.43616762185</v>
      </c>
      <c r="L1659" s="31" t="n">
        <f aca="false">(t1_usd*J1659+t2_usd*K1659)/1000</f>
        <v>9459.92499809711</v>
      </c>
    </row>
    <row r="1660" customFormat="false" ht="15" hidden="false" customHeight="false" outlineLevel="0" collapsed="false">
      <c r="E1660" s="54" t="n">
        <v>1656</v>
      </c>
      <c r="F1660" s="61" t="n">
        <v>0.677955</v>
      </c>
      <c r="G1660" s="61" t="n">
        <v>0.85444</v>
      </c>
      <c r="H1660" s="34" t="n">
        <f aca="false">NORMSINV(F1660)</f>
        <v>0.461987896672672</v>
      </c>
      <c r="I1660" s="34" t="n">
        <f aca="false">NORMSINV(G1660)</f>
        <v>1.05566782898861</v>
      </c>
      <c r="J1660" s="59" t="n">
        <f aca="false">mc_s0*EXP((mc_mu-mc_vol^2/2)*mc_t1+mc_vol*SQRT(mc_t1)*H1660)</f>
        <v>1197.98469030099</v>
      </c>
      <c r="K1660" s="59" t="n">
        <f aca="false">J1660*EXP((mc_mu-mc_vol^2/2)*(mc_t2-mc_t1)+mc_vol*SQRT(mc_t2-mc_t1)*I1660)</f>
        <v>1440.73513196915</v>
      </c>
      <c r="L1660" s="31" t="n">
        <f aca="false">(t1_usd*J1660+t2_usd*K1660)/1000</f>
        <v>11123.2895828483</v>
      </c>
    </row>
    <row r="1661" customFormat="false" ht="15" hidden="false" customHeight="false" outlineLevel="0" collapsed="false">
      <c r="E1661" s="54" t="n">
        <v>1657</v>
      </c>
      <c r="F1661" s="61" t="n">
        <v>0.534717</v>
      </c>
      <c r="G1661" s="61" t="n">
        <v>0.210456</v>
      </c>
      <c r="H1661" s="34" t="n">
        <f aca="false">NORMSINV(F1661)</f>
        <v>0.0871327419939887</v>
      </c>
      <c r="I1661" s="34" t="n">
        <f aca="false">NORMSINV(G1661)</f>
        <v>-0.804840027395961</v>
      </c>
      <c r="J1661" s="59" t="n">
        <f aca="false">mc_s0*EXP((mc_mu-mc_vol^2/2)*mc_t1+mc_vol*SQRT(mc_t1)*H1661)</f>
        <v>1155.84718869226</v>
      </c>
      <c r="K1661" s="59" t="n">
        <f aca="false">J1661*EXP((mc_mu-mc_vol^2/2)*(mc_t2-mc_t1)+mc_vol*SQRT(mc_t2-mc_t1)*I1661)</f>
        <v>1036.80405528421</v>
      </c>
      <c r="L1661" s="31" t="n">
        <f aca="false">(t1_usd*J1661+t2_usd*K1661)/1000</f>
        <v>10060.8580258858</v>
      </c>
    </row>
    <row r="1662" customFormat="false" ht="15" hidden="false" customHeight="false" outlineLevel="0" collapsed="false">
      <c r="E1662" s="54" t="n">
        <v>1658</v>
      </c>
      <c r="F1662" s="61" t="n">
        <v>0.772985</v>
      </c>
      <c r="G1662" s="61" t="n">
        <v>0.36352</v>
      </c>
      <c r="H1662" s="34" t="n">
        <f aca="false">NORMSINV(F1662)</f>
        <v>0.748713342546843</v>
      </c>
      <c r="I1662" s="34" t="n">
        <f aca="false">NORMSINV(G1662)</f>
        <v>-0.349065681771231</v>
      </c>
      <c r="J1662" s="59" t="n">
        <f aca="false">mc_s0*EXP((mc_mu-mc_vol^2/2)*mc_t1+mc_vol*SQRT(mc_t1)*H1662)</f>
        <v>1231.24947550801</v>
      </c>
      <c r="K1662" s="59" t="n">
        <f aca="false">J1662*EXP((mc_mu-mc_vol^2/2)*(mc_t2-mc_t1)+mc_vol*SQRT(mc_t2-mc_t1)*I1662)</f>
        <v>1186.68749845824</v>
      </c>
      <c r="L1662" s="31" t="n">
        <f aca="false">(t1_usd*J1662+t2_usd*K1662)/1000</f>
        <v>10873.4525756267</v>
      </c>
    </row>
    <row r="1663" customFormat="false" ht="15" hidden="false" customHeight="false" outlineLevel="0" collapsed="false">
      <c r="E1663" s="54" t="n">
        <v>1659</v>
      </c>
      <c r="F1663" s="61" t="n">
        <v>0.579407</v>
      </c>
      <c r="G1663" s="61" t="n">
        <v>0.268601</v>
      </c>
      <c r="H1663" s="34" t="n">
        <f aca="false">NORMSINV(F1663)</f>
        <v>0.200376675270476</v>
      </c>
      <c r="I1663" s="34" t="n">
        <f aca="false">NORMSINV(G1663)</f>
        <v>-0.6170496159584</v>
      </c>
      <c r="J1663" s="59" t="n">
        <f aca="false">mc_s0*EXP((mc_mu-mc_vol^2/2)*mc_t1+mc_vol*SQRT(mc_t1)*H1663)</f>
        <v>1168.41827165047</v>
      </c>
      <c r="K1663" s="59" t="n">
        <f aca="false">J1663*EXP((mc_mu-mc_vol^2/2)*(mc_t2-mc_t1)+mc_vol*SQRT(mc_t2-mc_t1)*I1663)</f>
        <v>1079.56135673723</v>
      </c>
      <c r="L1663" s="31" t="n">
        <f aca="false">(t1_usd*J1663+t2_usd*K1663)/1000</f>
        <v>10230.094479354</v>
      </c>
    </row>
    <row r="1664" customFormat="false" ht="15" hidden="false" customHeight="false" outlineLevel="0" collapsed="false">
      <c r="E1664" s="54" t="n">
        <v>1660</v>
      </c>
      <c r="F1664" s="61" t="n">
        <v>0.203184</v>
      </c>
      <c r="G1664" s="61" t="n">
        <v>0.024405</v>
      </c>
      <c r="H1664" s="34" t="n">
        <f aca="false">NORMSINV(F1664)</f>
        <v>-0.830302101883851</v>
      </c>
      <c r="I1664" s="34" t="n">
        <f aca="false">NORMSINV(G1664)</f>
        <v>-1.97024760562235</v>
      </c>
      <c r="J1664" s="59" t="n">
        <f aca="false">mc_s0*EXP((mc_mu-mc_vol^2/2)*mc_t1+mc_vol*SQRT(mc_t1)*H1664)</f>
        <v>1058.86521956416</v>
      </c>
      <c r="K1664" s="59" t="n">
        <f aca="false">J1664*EXP((mc_mu-mc_vol^2/2)*(mc_t2-mc_t1)+mc_vol*SQRT(mc_t2-mc_t1)*I1664)</f>
        <v>790.449794524348</v>
      </c>
      <c r="L1664" s="31" t="n">
        <f aca="false">(t1_usd*J1664+t2_usd*K1664)/1000</f>
        <v>8913.91114654535</v>
      </c>
    </row>
    <row r="1665" customFormat="false" ht="15" hidden="false" customHeight="false" outlineLevel="0" collapsed="false">
      <c r="E1665" s="54" t="n">
        <v>1661</v>
      </c>
      <c r="F1665" s="61" t="n">
        <v>0.54435</v>
      </c>
      <c r="G1665" s="61" t="n">
        <v>0.873397</v>
      </c>
      <c r="H1665" s="34" t="n">
        <f aca="false">NORMSINV(F1665)</f>
        <v>0.111398940741389</v>
      </c>
      <c r="I1665" s="34" t="n">
        <f aca="false">NORMSINV(G1665)</f>
        <v>1.1425968837191</v>
      </c>
      <c r="J1665" s="59" t="n">
        <f aca="false">mc_s0*EXP((mc_mu-mc_vol^2/2)*mc_t1+mc_vol*SQRT(mc_t1)*H1665)</f>
        <v>1158.52951654231</v>
      </c>
      <c r="K1665" s="59" t="n">
        <f aca="false">J1665*EXP((mc_mu-mc_vol^2/2)*(mc_t2-mc_t1)+mc_vol*SQRT(mc_t2-mc_t1)*I1665)</f>
        <v>1412.50361319743</v>
      </c>
      <c r="L1665" s="31" t="n">
        <f aca="false">(t1_usd*J1665+t2_usd*K1665)/1000</f>
        <v>10793.4634808713</v>
      </c>
    </row>
    <row r="1666" customFormat="false" ht="15" hidden="false" customHeight="false" outlineLevel="0" collapsed="false">
      <c r="E1666" s="54" t="n">
        <v>1662</v>
      </c>
      <c r="F1666" s="61" t="n">
        <v>0.611765</v>
      </c>
      <c r="G1666" s="61" t="n">
        <v>0.235119</v>
      </c>
      <c r="H1666" s="34" t="n">
        <f aca="false">NORMSINV(F1666)</f>
        <v>0.283922204108951</v>
      </c>
      <c r="I1666" s="34" t="n">
        <f aca="false">NORMSINV(G1666)</f>
        <v>-0.722091864002592</v>
      </c>
      <c r="J1666" s="59" t="n">
        <f aca="false">mc_s0*EXP((mc_mu-mc_vol^2/2)*mc_t1+mc_vol*SQRT(mc_t1)*H1666)</f>
        <v>1177.7801263201</v>
      </c>
      <c r="K1666" s="59" t="n">
        <f aca="false">J1666*EXP((mc_mu-mc_vol^2/2)*(mc_t2-mc_t1)+mc_vol*SQRT(mc_t2-mc_t1)*I1666)</f>
        <v>1070.34534825551</v>
      </c>
      <c r="L1666" s="31" t="n">
        <f aca="false">(t1_usd*J1666+t2_usd*K1666)/1000</f>
        <v>10278.1170459262</v>
      </c>
    </row>
    <row r="1667" customFormat="false" ht="15" hidden="false" customHeight="false" outlineLevel="0" collapsed="false">
      <c r="E1667" s="54" t="n">
        <v>1663</v>
      </c>
      <c r="F1667" s="61" t="n">
        <v>0.221325</v>
      </c>
      <c r="G1667" s="61" t="n">
        <v>0.968944</v>
      </c>
      <c r="H1667" s="34" t="n">
        <f aca="false">NORMSINV(F1667)</f>
        <v>-0.767725976635726</v>
      </c>
      <c r="I1667" s="34" t="n">
        <f aca="false">NORMSINV(G1667)</f>
        <v>1.86549537413432</v>
      </c>
      <c r="J1667" s="59" t="n">
        <f aca="false">mc_s0*EXP((mc_mu-mc_vol^2/2)*mc_t1+mc_vol*SQRT(mc_t1)*H1667)</f>
        <v>1065.21347262417</v>
      </c>
      <c r="K1667" s="59" t="n">
        <f aca="false">J1667*EXP((mc_mu-mc_vol^2/2)*(mc_t2-mc_t1)+mc_vol*SQRT(mc_t2-mc_t1)*I1667)</f>
        <v>1455.44443546421</v>
      </c>
      <c r="L1667" s="31" t="n">
        <f aca="false">(t1_usd*J1667+t2_usd*K1667)/1000</f>
        <v>10221.8387357512</v>
      </c>
    </row>
    <row r="1668" customFormat="false" ht="15" hidden="false" customHeight="false" outlineLevel="0" collapsed="false">
      <c r="E1668" s="54" t="n">
        <v>1664</v>
      </c>
      <c r="F1668" s="61" t="n">
        <v>0.958238</v>
      </c>
      <c r="G1668" s="61" t="n">
        <v>0.457294</v>
      </c>
      <c r="H1668" s="34" t="n">
        <f aca="false">NORMSINV(F1668)</f>
        <v>1.73059513505996</v>
      </c>
      <c r="I1668" s="34" t="n">
        <f aca="false">NORMSINV(G1668)</f>
        <v>-0.107253340289363</v>
      </c>
      <c r="J1668" s="59" t="n">
        <f aca="false">mc_s0*EXP((mc_mu-mc_vol^2/2)*mc_t1+mc_vol*SQRT(mc_t1)*H1668)</f>
        <v>1352.31969969667</v>
      </c>
      <c r="K1668" s="59" t="n">
        <f aca="false">J1668*EXP((mc_mu-mc_vol^2/2)*(mc_t2-mc_t1)+mc_vol*SQRT(mc_t2-mc_t1)*I1668)</f>
        <v>1354.00344370719</v>
      </c>
      <c r="L1668" s="31" t="n">
        <f aca="false">(t1_usd*J1668+t2_usd*K1668)/1000</f>
        <v>12038.8444409203</v>
      </c>
    </row>
    <row r="1669" customFormat="false" ht="15" hidden="false" customHeight="false" outlineLevel="0" collapsed="false">
      <c r="E1669" s="54" t="n">
        <v>1665</v>
      </c>
      <c r="F1669" s="61" t="n">
        <v>0.70203</v>
      </c>
      <c r="G1669" s="61" t="n">
        <v>0.659792</v>
      </c>
      <c r="H1669" s="34" t="n">
        <f aca="false">NORMSINV(F1669)</f>
        <v>0.530247992645604</v>
      </c>
      <c r="I1669" s="34" t="n">
        <f aca="false">NORMSINV(G1669)</f>
        <v>0.411895526275369</v>
      </c>
      <c r="J1669" s="59" t="n">
        <f aca="false">mc_s0*EXP((mc_mu-mc_vol^2/2)*mc_t1+mc_vol*SQRT(mc_t1)*H1669)</f>
        <v>1205.82153182292</v>
      </c>
      <c r="K1669" s="59" t="n">
        <f aca="false">J1669*EXP((mc_mu-mc_vol^2/2)*(mc_t2-mc_t1)+mc_vol*SQRT(mc_t2-mc_t1)*I1669)</f>
        <v>1310.25233191445</v>
      </c>
      <c r="L1669" s="31" t="n">
        <f aca="false">(t1_usd*J1669+t2_usd*K1669)/1000</f>
        <v>10930.2301533979</v>
      </c>
    </row>
    <row r="1670" customFormat="false" ht="15" hidden="false" customHeight="false" outlineLevel="0" collapsed="false">
      <c r="E1670" s="54" t="n">
        <v>1666</v>
      </c>
      <c r="F1670" s="61" t="n">
        <v>0.175763</v>
      </c>
      <c r="G1670" s="61" t="n">
        <v>0.422762</v>
      </c>
      <c r="H1670" s="34" t="n">
        <f aca="false">NORMSINV(F1670)</f>
        <v>-0.931633430784216</v>
      </c>
      <c r="I1670" s="34" t="n">
        <f aca="false">NORMSINV(G1670)</f>
        <v>-0.194832600258071</v>
      </c>
      <c r="J1670" s="59" t="n">
        <f aca="false">mc_s0*EXP((mc_mu-mc_vol^2/2)*mc_t1+mc_vol*SQRT(mc_t1)*H1670)</f>
        <v>1048.66544662965</v>
      </c>
      <c r="K1670" s="59" t="n">
        <f aca="false">J1670*EXP((mc_mu-mc_vol^2/2)*(mc_t2-mc_t1)+mc_vol*SQRT(mc_t2-mc_t1)*I1670)</f>
        <v>1035.57907259587</v>
      </c>
      <c r="L1670" s="31" t="n">
        <f aca="false">(t1_usd*J1670+t2_usd*K1670)/1000</f>
        <v>9308.25836433967</v>
      </c>
    </row>
    <row r="1671" customFormat="false" ht="15" hidden="false" customHeight="false" outlineLevel="0" collapsed="false">
      <c r="E1671" s="54" t="n">
        <v>1667</v>
      </c>
      <c r="F1671" s="61" t="n">
        <v>0.446014</v>
      </c>
      <c r="G1671" s="61" t="n">
        <v>0.972319</v>
      </c>
      <c r="H1671" s="34" t="n">
        <f aca="false">NORMSINV(F1671)</f>
        <v>-0.135738513635983</v>
      </c>
      <c r="I1671" s="34" t="n">
        <f aca="false">NORMSINV(G1671)</f>
        <v>1.91602432132335</v>
      </c>
      <c r="J1671" s="59" t="n">
        <f aca="false">mc_s0*EXP((mc_mu-mc_vol^2/2)*mc_t1+mc_vol*SQRT(mc_t1)*H1671)</f>
        <v>1131.50015648355</v>
      </c>
      <c r="K1671" s="59" t="n">
        <f aca="false">J1671*EXP((mc_mu-mc_vol^2/2)*(mc_t2-mc_t1)+mc_vol*SQRT(mc_t2-mc_t1)*I1671)</f>
        <v>1558.37471357336</v>
      </c>
      <c r="L1671" s="31" t="n">
        <f aca="false">(t1_usd*J1671+t2_usd*K1671)/1000</f>
        <v>10881.4130511743</v>
      </c>
    </row>
    <row r="1672" customFormat="false" ht="15" hidden="false" customHeight="false" outlineLevel="0" collapsed="false">
      <c r="E1672" s="54" t="n">
        <v>1668</v>
      </c>
      <c r="F1672" s="61" t="n">
        <v>0.978887</v>
      </c>
      <c r="G1672" s="61" t="n">
        <v>0.880417</v>
      </c>
      <c r="H1672" s="34" t="n">
        <f aca="false">NORMSINV(F1672)</f>
        <v>2.03128590851086</v>
      </c>
      <c r="I1672" s="34" t="n">
        <f aca="false">NORMSINV(G1672)</f>
        <v>1.17707392873294</v>
      </c>
      <c r="J1672" s="59" t="n">
        <f aca="false">mc_s0*EXP((mc_mu-mc_vol^2/2)*mc_t1+mc_vol*SQRT(mc_t1)*H1672)</f>
        <v>1391.72527981781</v>
      </c>
      <c r="K1672" s="59" t="n">
        <f aca="false">J1672*EXP((mc_mu-mc_vol^2/2)*(mc_t2-mc_t1)+mc_vol*SQRT(mc_t2-mc_t1)*I1672)</f>
        <v>1706.06531372023</v>
      </c>
      <c r="L1672" s="31" t="n">
        <f aca="false">(t1_usd*J1672+t2_usd*K1672)/1000</f>
        <v>12983.6010547931</v>
      </c>
    </row>
    <row r="1673" customFormat="false" ht="15" hidden="false" customHeight="false" outlineLevel="0" collapsed="false">
      <c r="E1673" s="54" t="n">
        <v>1669</v>
      </c>
      <c r="F1673" s="61" t="n">
        <v>0.938112</v>
      </c>
      <c r="G1673" s="61" t="n">
        <v>0.734344</v>
      </c>
      <c r="H1673" s="34" t="n">
        <f aca="false">NORMSINV(F1673)</f>
        <v>1.53911591650586</v>
      </c>
      <c r="I1673" s="34" t="n">
        <f aca="false">NORMSINV(G1673)</f>
        <v>0.626004484341996</v>
      </c>
      <c r="J1673" s="59" t="n">
        <f aca="false">mc_s0*EXP((mc_mu-mc_vol^2/2)*mc_t1+mc_vol*SQRT(mc_t1)*H1673)</f>
        <v>1327.80979789497</v>
      </c>
      <c r="K1673" s="59" t="n">
        <f aca="false">J1673*EXP((mc_mu-mc_vol^2/2)*(mc_t2-mc_t1)+mc_vol*SQRT(mc_t2-mc_t1)*I1673)</f>
        <v>1492.31941898107</v>
      </c>
      <c r="L1673" s="31" t="n">
        <f aca="false">(t1_usd*J1673+t2_usd*K1673)/1000</f>
        <v>12130.0754813289</v>
      </c>
    </row>
    <row r="1674" customFormat="false" ht="15" hidden="false" customHeight="false" outlineLevel="0" collapsed="false">
      <c r="E1674" s="54" t="n">
        <v>1670</v>
      </c>
      <c r="F1674" s="61" t="n">
        <v>0.341168</v>
      </c>
      <c r="G1674" s="61" t="n">
        <v>0.647096</v>
      </c>
      <c r="H1674" s="34" t="n">
        <f aca="false">NORMSINV(F1674)</f>
        <v>-0.409277534762508</v>
      </c>
      <c r="I1674" s="34" t="n">
        <f aca="false">NORMSINV(G1674)</f>
        <v>0.377492011413472</v>
      </c>
      <c r="J1674" s="59" t="n">
        <f aca="false">mc_s0*EXP((mc_mu-mc_vol^2/2)*mc_t1+mc_vol*SQRT(mc_t1)*H1674)</f>
        <v>1102.31791584904</v>
      </c>
      <c r="K1674" s="59" t="n">
        <f aca="false">J1674*EXP((mc_mu-mc_vol^2/2)*(mc_t2-mc_t1)+mc_vol*SQRT(mc_t2-mc_t1)*I1674)</f>
        <v>1191.30820316189</v>
      </c>
      <c r="L1674" s="31" t="n">
        <f aca="false">(t1_usd*J1674+t2_usd*K1674)/1000</f>
        <v>9979.71099695087</v>
      </c>
    </row>
    <row r="1675" customFormat="false" ht="15" hidden="false" customHeight="false" outlineLevel="0" collapsed="false">
      <c r="E1675" s="54" t="n">
        <v>1671</v>
      </c>
      <c r="F1675" s="61" t="n">
        <v>0.288504</v>
      </c>
      <c r="G1675" s="61" t="n">
        <v>0.910489</v>
      </c>
      <c r="H1675" s="34" t="n">
        <f aca="false">NORMSINV(F1675)</f>
        <v>-0.557760410343711</v>
      </c>
      <c r="I1675" s="34" t="n">
        <f aca="false">NORMSINV(G1675)</f>
        <v>1.34377239097282</v>
      </c>
      <c r="J1675" s="59" t="n">
        <f aca="false">mc_s0*EXP((mc_mu-mc_vol^2/2)*mc_t1+mc_vol*SQRT(mc_t1)*H1675)</f>
        <v>1086.79357308541</v>
      </c>
      <c r="K1675" s="59" t="n">
        <f aca="false">J1675*EXP((mc_mu-mc_vol^2/2)*(mc_t2-mc_t1)+mc_vol*SQRT(mc_t2-mc_t1)*I1675)</f>
        <v>1367.72363278819</v>
      </c>
      <c r="L1675" s="31" t="n">
        <f aca="false">(t1_usd*J1675+t2_usd*K1675)/1000</f>
        <v>10206.2299138954</v>
      </c>
    </row>
    <row r="1676" customFormat="false" ht="15" hidden="false" customHeight="false" outlineLevel="0" collapsed="false">
      <c r="E1676" s="54" t="n">
        <v>1672</v>
      </c>
      <c r="F1676" s="61" t="n">
        <v>0.126876</v>
      </c>
      <c r="G1676" s="61" t="n">
        <v>0.052245</v>
      </c>
      <c r="H1676" s="34" t="n">
        <f aca="false">NORMSINV(F1676)</f>
        <v>-1.14128341872092</v>
      </c>
      <c r="I1676" s="34" t="n">
        <f aca="false">NORMSINV(G1676)</f>
        <v>-1.62346518466038</v>
      </c>
      <c r="J1676" s="59" t="n">
        <f aca="false">mc_s0*EXP((mc_mu-mc_vol^2/2)*mc_t1+mc_vol*SQRT(mc_t1)*H1676)</f>
        <v>1027.87342840925</v>
      </c>
      <c r="K1676" s="59" t="n">
        <f aca="false">J1676*EXP((mc_mu-mc_vol^2/2)*(mc_t2-mc_t1)+mc_vol*SQRT(mc_t2-mc_t1)*I1676)</f>
        <v>810.415389682522</v>
      </c>
      <c r="L1676" s="31" t="n">
        <f aca="false">(t1_usd*J1676+t2_usd*K1676)/1000</f>
        <v>8734.90323926156</v>
      </c>
    </row>
    <row r="1677" customFormat="false" ht="15" hidden="false" customHeight="false" outlineLevel="0" collapsed="false">
      <c r="E1677" s="54" t="n">
        <v>1673</v>
      </c>
      <c r="F1677" s="61" t="n">
        <v>0.622984</v>
      </c>
      <c r="G1677" s="61" t="n">
        <v>0.645931</v>
      </c>
      <c r="H1677" s="34" t="n">
        <f aca="false">NORMSINV(F1677)</f>
        <v>0.313327314748646</v>
      </c>
      <c r="I1677" s="34" t="n">
        <f aca="false">NORMSINV(G1677)</f>
        <v>0.374357981235604</v>
      </c>
      <c r="J1677" s="59" t="n">
        <f aca="false">mc_s0*EXP((mc_mu-mc_vol^2/2)*mc_t1+mc_vol*SQRT(mc_t1)*H1677)</f>
        <v>1181.09298848089</v>
      </c>
      <c r="K1677" s="59" t="n">
        <f aca="false">J1677*EXP((mc_mu-mc_vol^2/2)*(mc_t2-mc_t1)+mc_vol*SQRT(mc_t2-mc_t1)*I1677)</f>
        <v>1275.81251719358</v>
      </c>
      <c r="L1677" s="31" t="n">
        <f aca="false">(t1_usd*J1677+t2_usd*K1677)/1000</f>
        <v>10691.694702034</v>
      </c>
    </row>
    <row r="1678" customFormat="false" ht="15" hidden="false" customHeight="false" outlineLevel="0" collapsed="false">
      <c r="E1678" s="54" t="n">
        <v>1674</v>
      </c>
      <c r="F1678" s="61" t="n">
        <v>0.348193</v>
      </c>
      <c r="G1678" s="61" t="n">
        <v>0.423541</v>
      </c>
      <c r="H1678" s="34" t="n">
        <f aca="false">NORMSINV(F1678)</f>
        <v>-0.390203599720322</v>
      </c>
      <c r="I1678" s="34" t="n">
        <f aca="false">NORMSINV(G1678)</f>
        <v>-0.192842905983398</v>
      </c>
      <c r="J1678" s="59" t="n">
        <f aca="false">mc_s0*EXP((mc_mu-mc_vol^2/2)*mc_t1+mc_vol*SQRT(mc_t1)*H1678)</f>
        <v>1104.32816142603</v>
      </c>
      <c r="K1678" s="59" t="n">
        <f aca="false">J1678*EXP((mc_mu-mc_vol^2/2)*(mc_t2-mc_t1)+mc_vol*SQRT(mc_t2-mc_t1)*I1678)</f>
        <v>1090.88917631897</v>
      </c>
      <c r="L1678" s="31" t="n">
        <f aca="false">(t1_usd*J1678+t2_usd*K1678)/1000</f>
        <v>9802.98656498827</v>
      </c>
    </row>
    <row r="1679" customFormat="false" ht="15" hidden="false" customHeight="false" outlineLevel="0" collapsed="false">
      <c r="E1679" s="54" t="n">
        <v>1675</v>
      </c>
      <c r="F1679" s="61" t="n">
        <v>0.235474</v>
      </c>
      <c r="G1679" s="61" t="n">
        <v>0.700984</v>
      </c>
      <c r="H1679" s="34" t="n">
        <f aca="false">NORMSINV(F1679)</f>
        <v>-0.72093745010121</v>
      </c>
      <c r="I1679" s="34" t="n">
        <f aca="false">NORMSINV(G1679)</f>
        <v>0.527232704639855</v>
      </c>
      <c r="J1679" s="59" t="n">
        <f aca="false">mc_s0*EXP((mc_mu-mc_vol^2/2)*mc_t1+mc_vol*SQRT(mc_t1)*H1679)</f>
        <v>1069.98495297614</v>
      </c>
      <c r="K1679" s="59" t="n">
        <f aca="false">J1679*EXP((mc_mu-mc_vol^2/2)*(mc_t2-mc_t1)+mc_vol*SQRT(mc_t2-mc_t1)*I1679)</f>
        <v>1183.97755021803</v>
      </c>
      <c r="L1679" s="31" t="n">
        <f aca="false">(t1_usd*J1679+t2_usd*K1679)/1000</f>
        <v>9739.45201624723</v>
      </c>
    </row>
    <row r="1680" customFormat="false" ht="15" hidden="false" customHeight="false" outlineLevel="0" collapsed="false">
      <c r="E1680" s="54" t="n">
        <v>1676</v>
      </c>
      <c r="F1680" s="61" t="n">
        <v>0.15805</v>
      </c>
      <c r="G1680" s="61" t="n">
        <v>0.559082</v>
      </c>
      <c r="H1680" s="34" t="n">
        <f aca="false">NORMSINV(F1680)</f>
        <v>-1.00250448812685</v>
      </c>
      <c r="I1680" s="34" t="n">
        <f aca="false">NORMSINV(G1680)</f>
        <v>0.148642164643174</v>
      </c>
      <c r="J1680" s="59" t="n">
        <f aca="false">mc_s0*EXP((mc_mu-mc_vol^2/2)*mc_t1+mc_vol*SQRT(mc_t1)*H1680)</f>
        <v>1041.59017841701</v>
      </c>
      <c r="K1680" s="59" t="n">
        <f aca="false">J1680*EXP((mc_mu-mc_vol^2/2)*(mc_t2-mc_t1)+mc_vol*SQRT(mc_t2-mc_t1)*I1680)</f>
        <v>1085.80349172889</v>
      </c>
      <c r="L1680" s="31" t="n">
        <f aca="false">(t1_usd*J1680+t2_usd*K1680)/1000</f>
        <v>9354.15788320394</v>
      </c>
    </row>
    <row r="1681" customFormat="false" ht="15" hidden="false" customHeight="false" outlineLevel="0" collapsed="false">
      <c r="E1681" s="54" t="n">
        <v>1677</v>
      </c>
      <c r="F1681" s="61" t="n">
        <v>0.523444</v>
      </c>
      <c r="G1681" s="61" t="n">
        <v>0.209837</v>
      </c>
      <c r="H1681" s="34" t="n">
        <f aca="false">NORMSINV(F1681)</f>
        <v>0.0587992573347242</v>
      </c>
      <c r="I1681" s="34" t="n">
        <f aca="false">NORMSINV(G1681)</f>
        <v>-0.806986953008361</v>
      </c>
      <c r="J1681" s="59" t="n">
        <f aca="false">mc_s0*EXP((mc_mu-mc_vol^2/2)*mc_t1+mc_vol*SQRT(mc_t1)*H1681)</f>
        <v>1152.72313070255</v>
      </c>
      <c r="K1681" s="59" t="n">
        <f aca="false">J1681*EXP((mc_mu-mc_vol^2/2)*(mc_t2-mc_t1)+mc_vol*SQRT(mc_t2-mc_t1)*I1681)</f>
        <v>1033.6519647176</v>
      </c>
      <c r="L1681" s="31" t="n">
        <f aca="false">(t1_usd*J1681+t2_usd*K1681)/1000</f>
        <v>10033.0006478813</v>
      </c>
    </row>
    <row r="1682" customFormat="false" ht="15" hidden="false" customHeight="false" outlineLevel="0" collapsed="false">
      <c r="E1682" s="54" t="n">
        <v>1678</v>
      </c>
      <c r="F1682" s="61" t="n">
        <v>0.439187</v>
      </c>
      <c r="G1682" s="61" t="n">
        <v>0.063943</v>
      </c>
      <c r="H1682" s="34" t="n">
        <f aca="false">NORMSINV(F1682)</f>
        <v>-0.153030782833627</v>
      </c>
      <c r="I1682" s="34" t="n">
        <f aca="false">NORMSINV(G1682)</f>
        <v>-1.52249139461277</v>
      </c>
      <c r="J1682" s="59" t="n">
        <f aca="false">mc_s0*EXP((mc_mu-mc_vol^2/2)*mc_t1+mc_vol*SQRT(mc_t1)*H1682)</f>
        <v>1129.63268396146</v>
      </c>
      <c r="K1682" s="59" t="n">
        <f aca="false">J1682*EXP((mc_mu-mc_vol^2/2)*(mc_t2-mc_t1)+mc_vol*SQRT(mc_t2-mc_t1)*I1682)</f>
        <v>904.932370065075</v>
      </c>
      <c r="L1682" s="31" t="n">
        <f aca="false">(t1_usd*J1682+t2_usd*K1682)/1000</f>
        <v>9626.80029085389</v>
      </c>
    </row>
    <row r="1683" customFormat="false" ht="15" hidden="false" customHeight="false" outlineLevel="0" collapsed="false">
      <c r="E1683" s="54" t="n">
        <v>1679</v>
      </c>
      <c r="F1683" s="61" t="n">
        <v>0.462046</v>
      </c>
      <c r="G1683" s="61" t="n">
        <v>0.826987</v>
      </c>
      <c r="H1683" s="34" t="n">
        <f aca="false">NORMSINV(F1683)</f>
        <v>-0.0952805389362307</v>
      </c>
      <c r="I1683" s="34" t="n">
        <f aca="false">NORMSINV(G1683)</f>
        <v>0.942325532385806</v>
      </c>
      <c r="J1683" s="59" t="n">
        <f aca="false">mc_s0*EXP((mc_mu-mc_vol^2/2)*mc_t1+mc_vol*SQRT(mc_t1)*H1683)</f>
        <v>1135.88147144766</v>
      </c>
      <c r="K1683" s="59" t="n">
        <f aca="false">J1683*EXP((mc_mu-mc_vol^2/2)*(mc_t2-mc_t1)+mc_vol*SQRT(mc_t2-mc_t1)*I1683)</f>
        <v>1341.86410800034</v>
      </c>
      <c r="L1683" s="31" t="n">
        <f aca="false">(t1_usd*J1683+t2_usd*K1683)/1000</f>
        <v>10500.7121053343</v>
      </c>
    </row>
    <row r="1684" customFormat="false" ht="15" hidden="false" customHeight="false" outlineLevel="0" collapsed="false">
      <c r="E1684" s="54" t="n">
        <v>1680</v>
      </c>
      <c r="F1684" s="61" t="n">
        <v>0.779705</v>
      </c>
      <c r="G1684" s="61" t="n">
        <v>0.158303</v>
      </c>
      <c r="H1684" s="34" t="n">
        <f aca="false">NORMSINV(F1684)</f>
        <v>0.771197290449582</v>
      </c>
      <c r="I1684" s="34" t="n">
        <f aca="false">NORMSINV(G1684)</f>
        <v>-1.00145683204658</v>
      </c>
      <c r="J1684" s="59" t="n">
        <f aca="false">mc_s0*EXP((mc_mu-mc_vol^2/2)*mc_t1+mc_vol*SQRT(mc_t1)*H1684)</f>
        <v>1233.89670342591</v>
      </c>
      <c r="K1684" s="59" t="n">
        <f aca="false">J1684*EXP((mc_mu-mc_vol^2/2)*(mc_t2-mc_t1)+mc_vol*SQRT(mc_t2-mc_t1)*I1684)</f>
        <v>1073.04577997532</v>
      </c>
      <c r="L1684" s="31" t="n">
        <f aca="false">(t1_usd*J1684+t2_usd*K1684)/1000</f>
        <v>10676.0639059345</v>
      </c>
    </row>
    <row r="1685" customFormat="false" ht="15" hidden="false" customHeight="false" outlineLevel="0" collapsed="false">
      <c r="E1685" s="54" t="n">
        <v>1681</v>
      </c>
      <c r="F1685" s="61" t="n">
        <v>0.674845</v>
      </c>
      <c r="G1685" s="61" t="n">
        <v>0.908932</v>
      </c>
      <c r="H1685" s="34" t="n">
        <f aca="false">NORMSINV(F1685)</f>
        <v>0.453331574470537</v>
      </c>
      <c r="I1685" s="34" t="n">
        <f aca="false">NORMSINV(G1685)</f>
        <v>1.3342070795694</v>
      </c>
      <c r="J1685" s="59" t="n">
        <f aca="false">mc_s0*EXP((mc_mu-mc_vol^2/2)*mc_t1+mc_vol*SQRT(mc_t1)*H1685)</f>
        <v>1196.99451659542</v>
      </c>
      <c r="K1685" s="59" t="n">
        <f aca="false">J1685*EXP((mc_mu-mc_vol^2/2)*(mc_t2-mc_t1)+mc_vol*SQRT(mc_t2-mc_t1)*I1685)</f>
        <v>1504.1418084549</v>
      </c>
      <c r="L1685" s="31" t="n">
        <f aca="false">(t1_usd*J1685+t2_usd*K1685)/1000</f>
        <v>11236.8310522322</v>
      </c>
    </row>
    <row r="1686" customFormat="false" ht="15" hidden="false" customHeight="false" outlineLevel="0" collapsed="false">
      <c r="E1686" s="54" t="n">
        <v>1682</v>
      </c>
      <c r="F1686" s="61" t="n">
        <v>0.764979</v>
      </c>
      <c r="G1686" s="61" t="n">
        <v>0.92826</v>
      </c>
      <c r="H1686" s="34" t="n">
        <f aca="false">NORMSINV(F1686)</f>
        <v>0.722410716777994</v>
      </c>
      <c r="I1686" s="34" t="n">
        <f aca="false">NORMSINV(G1686)</f>
        <v>1.46295387716016</v>
      </c>
      <c r="J1686" s="59" t="n">
        <f aca="false">mc_s0*EXP((mc_mu-mc_vol^2/2)*mc_t1+mc_vol*SQRT(mc_t1)*H1686)</f>
        <v>1228.15984925748</v>
      </c>
      <c r="K1686" s="59" t="n">
        <f aca="false">J1686*EXP((mc_mu-mc_vol^2/2)*(mc_t2-mc_t1)+mc_vol*SQRT(mc_t2-mc_t1)*I1686)</f>
        <v>1574.93700458639</v>
      </c>
      <c r="L1686" s="31" t="n">
        <f aca="false">(t1_usd*J1686+t2_usd*K1686)/1000</f>
        <v>11589.4992535165</v>
      </c>
    </row>
    <row r="1687" customFormat="false" ht="15" hidden="false" customHeight="false" outlineLevel="0" collapsed="false">
      <c r="E1687" s="54" t="n">
        <v>1683</v>
      </c>
      <c r="F1687" s="61" t="n">
        <v>0.290072</v>
      </c>
      <c r="G1687" s="61" t="n">
        <v>0.611463</v>
      </c>
      <c r="H1687" s="34" t="n">
        <f aca="false">NORMSINV(F1687)</f>
        <v>-0.553174392487407</v>
      </c>
      <c r="I1687" s="34" t="n">
        <f aca="false">NORMSINV(G1687)</f>
        <v>0.283134155567524</v>
      </c>
      <c r="J1687" s="59" t="n">
        <f aca="false">mc_s0*EXP((mc_mu-mc_vol^2/2)*mc_t1+mc_vol*SQRT(mc_t1)*H1687)</f>
        <v>1087.26976737262</v>
      </c>
      <c r="K1687" s="59" t="n">
        <f aca="false">J1687*EXP((mc_mu-mc_vol^2/2)*(mc_t2-mc_t1)+mc_vol*SQRT(mc_t2-mc_t1)*I1687)</f>
        <v>1157.70138169813</v>
      </c>
      <c r="L1687" s="31" t="n">
        <f aca="false">(t1_usd*J1687+t2_usd*K1687)/1000</f>
        <v>9810.5209968348</v>
      </c>
    </row>
    <row r="1688" customFormat="false" ht="15" hidden="false" customHeight="false" outlineLevel="0" collapsed="false">
      <c r="E1688" s="54" t="n">
        <v>1684</v>
      </c>
      <c r="F1688" s="61" t="n">
        <v>0.998528</v>
      </c>
      <c r="G1688" s="61" t="n">
        <v>0.458963</v>
      </c>
      <c r="H1688" s="34" t="n">
        <f aca="false">NORMSINV(F1688)</f>
        <v>2.97352544110301</v>
      </c>
      <c r="I1688" s="34" t="n">
        <f aca="false">NORMSINV(G1688)</f>
        <v>-0.103046582775137</v>
      </c>
      <c r="J1688" s="59" t="n">
        <f aca="false">mc_s0*EXP((mc_mu-mc_vol^2/2)*mc_t1+mc_vol*SQRT(mc_t1)*H1688)</f>
        <v>1522.79792007044</v>
      </c>
      <c r="K1688" s="59" t="n">
        <f aca="false">J1688*EXP((mc_mu-mc_vol^2/2)*(mc_t2-mc_t1)+mc_vol*SQRT(mc_t2-mc_t1)*I1688)</f>
        <v>1525.70506351618</v>
      </c>
      <c r="L1688" s="31" t="n">
        <f aca="false">(t1_usd*J1688+t2_usd*K1688)/1000</f>
        <v>13558.4250611738</v>
      </c>
    </row>
    <row r="1689" customFormat="false" ht="15" hidden="false" customHeight="false" outlineLevel="0" collapsed="false">
      <c r="E1689" s="54" t="n">
        <v>1685</v>
      </c>
      <c r="F1689" s="61" t="n">
        <v>0.995793</v>
      </c>
      <c r="G1689" s="61" t="n">
        <v>0.434437</v>
      </c>
      <c r="H1689" s="34" t="n">
        <f aca="false">NORMSINV(F1689)</f>
        <v>2.63498903974018</v>
      </c>
      <c r="I1689" s="34" t="n">
        <f aca="false">NORMSINV(G1689)</f>
        <v>-0.165088912261478</v>
      </c>
      <c r="J1689" s="59" t="n">
        <f aca="false">mc_s0*EXP((mc_mu-mc_vol^2/2)*mc_t1+mc_vol*SQRT(mc_t1)*H1689)</f>
        <v>1474.34156555821</v>
      </c>
      <c r="K1689" s="59" t="n">
        <f aca="false">J1689*EXP((mc_mu-mc_vol^2/2)*(mc_t2-mc_t1)+mc_vol*SQRT(mc_t2-mc_t1)*I1689)</f>
        <v>1462.78375963413</v>
      </c>
      <c r="L1689" s="31" t="n">
        <f aca="false">(t1_usd*J1689+t2_usd*K1689)/1000</f>
        <v>13099.6801022123</v>
      </c>
    </row>
    <row r="1690" customFormat="false" ht="15" hidden="false" customHeight="false" outlineLevel="0" collapsed="false">
      <c r="E1690" s="54" t="n">
        <v>1686</v>
      </c>
      <c r="F1690" s="61" t="n">
        <v>0.905752</v>
      </c>
      <c r="G1690" s="61" t="n">
        <v>0.593547</v>
      </c>
      <c r="H1690" s="34" t="n">
        <f aca="false">NORMSINV(F1690)</f>
        <v>1.31504136760221</v>
      </c>
      <c r="I1690" s="34" t="n">
        <f aca="false">NORMSINV(G1690)</f>
        <v>0.23667877793165</v>
      </c>
      <c r="J1690" s="59" t="n">
        <f aca="false">mc_s0*EXP((mc_mu-mc_vol^2/2)*mc_t1+mc_vol*SQRT(mc_t1)*H1690)</f>
        <v>1299.69110822557</v>
      </c>
      <c r="K1690" s="59" t="n">
        <f aca="false">J1690*EXP((mc_mu-mc_vol^2/2)*(mc_t2-mc_t1)+mc_vol*SQRT(mc_t2-mc_t1)*I1690)</f>
        <v>1373.7885578142</v>
      </c>
      <c r="L1690" s="31" t="n">
        <f aca="false">(t1_usd*J1690+t2_usd*K1690)/1000</f>
        <v>11708.036017426</v>
      </c>
    </row>
    <row r="1691" customFormat="false" ht="15" hidden="false" customHeight="false" outlineLevel="0" collapsed="false">
      <c r="E1691" s="54" t="n">
        <v>1687</v>
      </c>
      <c r="F1691" s="61" t="n">
        <v>0.171163</v>
      </c>
      <c r="G1691" s="61" t="n">
        <v>0.286416</v>
      </c>
      <c r="H1691" s="34" t="n">
        <f aca="false">NORMSINV(F1691)</f>
        <v>-0.94957941926262</v>
      </c>
      <c r="I1691" s="34" t="n">
        <f aca="false">NORMSINV(G1691)</f>
        <v>-0.563885586354848</v>
      </c>
      <c r="J1691" s="59" t="n">
        <f aca="false">mc_s0*EXP((mc_mu-mc_vol^2/2)*mc_t1+mc_vol*SQRT(mc_t1)*H1691)</f>
        <v>1046.86931400606</v>
      </c>
      <c r="K1691" s="59" t="n">
        <f aca="false">J1691*EXP((mc_mu-mc_vol^2/2)*(mc_t2-mc_t1)+mc_vol*SQRT(mc_t2-mc_t1)*I1691)</f>
        <v>975.394057597468</v>
      </c>
      <c r="L1691" s="31" t="n">
        <f aca="false">(t1_usd*J1691+t2_usd*K1691)/1000</f>
        <v>9181.33390747758</v>
      </c>
    </row>
    <row r="1692" customFormat="false" ht="15" hidden="false" customHeight="false" outlineLevel="0" collapsed="false">
      <c r="E1692" s="54" t="n">
        <v>1688</v>
      </c>
      <c r="F1692" s="61" t="n">
        <v>0.251672</v>
      </c>
      <c r="G1692" s="61" t="n">
        <v>0.051357</v>
      </c>
      <c r="H1692" s="34" t="n">
        <f aca="false">NORMSINV(F1692)</f>
        <v>-0.669237481910288</v>
      </c>
      <c r="I1692" s="34" t="n">
        <f aca="false">NORMSINV(G1692)</f>
        <v>-1.63183618639525</v>
      </c>
      <c r="J1692" s="59" t="n">
        <f aca="false">mc_s0*EXP((mc_mu-mc_vol^2/2)*mc_t1+mc_vol*SQRT(mc_t1)*H1692)</f>
        <v>1075.28216092511</v>
      </c>
      <c r="K1692" s="59" t="n">
        <f aca="false">J1692*EXP((mc_mu-mc_vol^2/2)*(mc_t2-mc_t1)+mc_vol*SQRT(mc_t2-mc_t1)*I1692)</f>
        <v>846.676594549365</v>
      </c>
      <c r="L1692" s="31" t="n">
        <f aca="false">(t1_usd*J1692+t2_usd*K1692)/1000</f>
        <v>9135.6606561196</v>
      </c>
    </row>
    <row r="1693" customFormat="false" ht="15" hidden="false" customHeight="false" outlineLevel="0" collapsed="false">
      <c r="E1693" s="54" t="n">
        <v>1689</v>
      </c>
      <c r="F1693" s="61" t="n">
        <v>0.681844</v>
      </c>
      <c r="G1693" s="61" t="n">
        <v>0.024897</v>
      </c>
      <c r="H1693" s="34" t="n">
        <f aca="false">NORMSINV(F1693)</f>
        <v>0.472861491537576</v>
      </c>
      <c r="I1693" s="34" t="n">
        <f aca="false">NORMSINV(G1693)</f>
        <v>-1.96172937470664</v>
      </c>
      <c r="J1693" s="59" t="n">
        <f aca="false">mc_s0*EXP((mc_mu-mc_vol^2/2)*mc_t1+mc_vol*SQRT(mc_t1)*H1693)</f>
        <v>1199.22965268559</v>
      </c>
      <c r="K1693" s="59" t="n">
        <f aca="false">J1693*EXP((mc_mu-mc_vol^2/2)*(mc_t2-mc_t1)+mc_vol*SQRT(mc_t2-mc_t1)*I1693)</f>
        <v>896.435340718303</v>
      </c>
      <c r="L1693" s="31" t="n">
        <f aca="false">(t1_usd*J1693+t2_usd*K1693)/1000</f>
        <v>10097.8347161639</v>
      </c>
    </row>
    <row r="1694" customFormat="false" ht="15" hidden="false" customHeight="false" outlineLevel="0" collapsed="false">
      <c r="E1694" s="54" t="n">
        <v>1690</v>
      </c>
      <c r="F1694" s="61" t="n">
        <v>0.49664</v>
      </c>
      <c r="G1694" s="61" t="n">
        <v>0.068254</v>
      </c>
      <c r="H1694" s="34" t="n">
        <f aca="false">NORMSINV(F1694)</f>
        <v>-0.00842237057703827</v>
      </c>
      <c r="I1694" s="34" t="n">
        <f aca="false">NORMSINV(G1694)</f>
        <v>-1.48892165664222</v>
      </c>
      <c r="J1694" s="59" t="n">
        <f aca="false">mc_s0*EXP((mc_mu-mc_vol^2/2)*mc_t1+mc_vol*SQRT(mc_t1)*H1694)</f>
        <v>1145.34499419796</v>
      </c>
      <c r="K1694" s="59" t="n">
        <f aca="false">J1694*EXP((mc_mu-mc_vol^2/2)*(mc_t2-mc_t1)+mc_vol*SQRT(mc_t2-mc_t1)*I1694)</f>
        <v>922.386145937948</v>
      </c>
      <c r="L1694" s="31" t="n">
        <f aca="false">(t1_usd*J1694+t2_usd*K1694)/1000</f>
        <v>9769.94863666779</v>
      </c>
    </row>
    <row r="1695" customFormat="false" ht="15" hidden="false" customHeight="false" outlineLevel="0" collapsed="false">
      <c r="E1695" s="54" t="n">
        <v>1691</v>
      </c>
      <c r="F1695" s="61" t="n">
        <v>0.846839</v>
      </c>
      <c r="G1695" s="61" t="n">
        <v>0.773537</v>
      </c>
      <c r="H1695" s="34" t="n">
        <f aca="false">NORMSINV(F1695)</f>
        <v>1.0229700643265</v>
      </c>
      <c r="I1695" s="34" t="n">
        <f aca="false">NORMSINV(G1695)</f>
        <v>0.750545883751932</v>
      </c>
      <c r="J1695" s="59" t="n">
        <f aca="false">mc_s0*EXP((mc_mu-mc_vol^2/2)*mc_t1+mc_vol*SQRT(mc_t1)*H1695)</f>
        <v>1263.93163692828</v>
      </c>
      <c r="K1695" s="59" t="n">
        <f aca="false">J1695*EXP((mc_mu-mc_vol^2/2)*(mc_t2-mc_t1)+mc_vol*SQRT(mc_t2-mc_t1)*I1695)</f>
        <v>1448.682955989</v>
      </c>
      <c r="L1695" s="31" t="n">
        <f aca="false">(t1_usd*J1695+t2_usd*K1695)/1000</f>
        <v>11600.0190748771</v>
      </c>
    </row>
    <row r="1696" customFormat="false" ht="15" hidden="false" customHeight="false" outlineLevel="0" collapsed="false">
      <c r="E1696" s="54" t="n">
        <v>1692</v>
      </c>
      <c r="F1696" s="61" t="n">
        <v>0.064055</v>
      </c>
      <c r="G1696" s="61" t="n">
        <v>0.872559</v>
      </c>
      <c r="H1696" s="34" t="n">
        <f aca="false">NORMSINV(F1696)</f>
        <v>-1.5215973578444</v>
      </c>
      <c r="I1696" s="34" t="n">
        <f aca="false">NORMSINV(G1696)</f>
        <v>1.13857131099246</v>
      </c>
      <c r="J1696" s="59" t="n">
        <f aca="false">mc_s0*EXP((mc_mu-mc_vol^2/2)*mc_t1+mc_vol*SQRT(mc_t1)*H1696)</f>
        <v>991.202377052655</v>
      </c>
      <c r="K1696" s="59" t="n">
        <f aca="false">J1696*EXP((mc_mu-mc_vol^2/2)*(mc_t2-mc_t1)+mc_vol*SQRT(mc_t2-mc_t1)*I1696)</f>
        <v>1207.7284073061</v>
      </c>
      <c r="L1696" s="31" t="n">
        <f aca="false">(t1_usd*J1696+t2_usd*K1696)/1000</f>
        <v>9233.10061325017</v>
      </c>
    </row>
    <row r="1697" customFormat="false" ht="15" hidden="false" customHeight="false" outlineLevel="0" collapsed="false">
      <c r="E1697" s="54" t="n">
        <v>1693</v>
      </c>
      <c r="F1697" s="61" t="n">
        <v>0.30315</v>
      </c>
      <c r="G1697" s="61" t="n">
        <v>0.957462</v>
      </c>
      <c r="H1697" s="34" t="n">
        <f aca="false">NORMSINV(F1697)</f>
        <v>-0.515362116387259</v>
      </c>
      <c r="I1697" s="34" t="n">
        <f aca="false">NORMSINV(G1697)</f>
        <v>1.72196422120557</v>
      </c>
      <c r="J1697" s="59" t="n">
        <f aca="false">mc_s0*EXP((mc_mu-mc_vol^2/2)*mc_t1+mc_vol*SQRT(mc_t1)*H1697)</f>
        <v>1091.20400817443</v>
      </c>
      <c r="K1697" s="59" t="n">
        <f aca="false">J1697*EXP((mc_mu-mc_vol^2/2)*(mc_t2-mc_t1)+mc_vol*SQRT(mc_t2-mc_t1)*I1697)</f>
        <v>1457.61018171511</v>
      </c>
      <c r="L1697" s="31" t="n">
        <f aca="false">(t1_usd*J1697+t2_usd*K1697)/1000</f>
        <v>10407.8874024797</v>
      </c>
    </row>
    <row r="1698" customFormat="false" ht="15" hidden="false" customHeight="false" outlineLevel="0" collapsed="false">
      <c r="E1698" s="54" t="n">
        <v>1694</v>
      </c>
      <c r="F1698" s="61" t="n">
        <v>0.391276</v>
      </c>
      <c r="G1698" s="61" t="n">
        <v>0.519587</v>
      </c>
      <c r="H1698" s="34" t="n">
        <f aca="false">NORMSINV(F1698)</f>
        <v>-0.275994878352822</v>
      </c>
      <c r="I1698" s="34" t="n">
        <f aca="false">NORMSINV(G1698)</f>
        <v>0.049117069915753</v>
      </c>
      <c r="J1698" s="59" t="n">
        <f aca="false">mc_s0*EXP((mc_mu-mc_vol^2/2)*mc_t1+mc_vol*SQRT(mc_t1)*H1698)</f>
        <v>1116.4418050008</v>
      </c>
      <c r="K1698" s="59" t="n">
        <f aca="false">J1698*EXP((mc_mu-mc_vol^2/2)*(mc_t2-mc_t1)+mc_vol*SQRT(mc_t2-mc_t1)*I1698)</f>
        <v>1145.72071608117</v>
      </c>
      <c r="L1698" s="31" t="n">
        <f aca="false">(t1_usd*J1698+t2_usd*K1698)/1000</f>
        <v>9991.96199555983</v>
      </c>
    </row>
    <row r="1699" customFormat="false" ht="15" hidden="false" customHeight="false" outlineLevel="0" collapsed="false">
      <c r="E1699" s="54" t="n">
        <v>1695</v>
      </c>
      <c r="F1699" s="61" t="n">
        <v>0.899972</v>
      </c>
      <c r="G1699" s="61" t="n">
        <v>0.4023</v>
      </c>
      <c r="H1699" s="34" t="n">
        <f aca="false">NORMSINV(F1699)</f>
        <v>1.28139203617656</v>
      </c>
      <c r="I1699" s="34" t="n">
        <f aca="false">NORMSINV(G1699)</f>
        <v>-0.24739828670008</v>
      </c>
      <c r="J1699" s="59" t="n">
        <f aca="false">mc_s0*EXP((mc_mu-mc_vol^2/2)*mc_t1+mc_vol*SQRT(mc_t1)*H1699)</f>
        <v>1295.52025359592</v>
      </c>
      <c r="K1699" s="59" t="n">
        <f aca="false">J1699*EXP((mc_mu-mc_vol^2/2)*(mc_t2-mc_t1)+mc_vol*SQRT(mc_t2-mc_t1)*I1699)</f>
        <v>1268.79898020507</v>
      </c>
      <c r="L1699" s="31" t="n">
        <f aca="false">(t1_usd*J1699+t2_usd*K1699)/1000</f>
        <v>11479.3598375611</v>
      </c>
    </row>
    <row r="1700" customFormat="false" ht="15" hidden="false" customHeight="false" outlineLevel="0" collapsed="false">
      <c r="E1700" s="54" t="n">
        <v>1696</v>
      </c>
      <c r="F1700" s="61" t="n">
        <v>0.627106</v>
      </c>
      <c r="G1700" s="61" t="n">
        <v>0.501128</v>
      </c>
      <c r="H1700" s="34" t="n">
        <f aca="false">NORMSINV(F1700)</f>
        <v>0.324198179847318</v>
      </c>
      <c r="I1700" s="34" t="n">
        <f aca="false">NORMSINV(G1700)</f>
        <v>0.00282748046123008</v>
      </c>
      <c r="J1700" s="59" t="n">
        <f aca="false">mc_s0*EXP((mc_mu-mc_vol^2/2)*mc_t1+mc_vol*SQRT(mc_t1)*H1700)</f>
        <v>1182.32008847831</v>
      </c>
      <c r="K1700" s="59" t="n">
        <f aca="false">J1700*EXP((mc_mu-mc_vol^2/2)*(mc_t2-mc_t1)+mc_vol*SQRT(mc_t2-mc_t1)*I1700)</f>
        <v>1204.50775014532</v>
      </c>
      <c r="L1700" s="31" t="n">
        <f aca="false">(t1_usd*J1700+t2_usd*K1700)/1000</f>
        <v>10564.8053446243</v>
      </c>
    </row>
    <row r="1701" customFormat="false" ht="15" hidden="false" customHeight="false" outlineLevel="0" collapsed="false">
      <c r="E1701" s="54" t="n">
        <v>1697</v>
      </c>
      <c r="F1701" s="61" t="n">
        <v>0.00145</v>
      </c>
      <c r="G1701" s="61" t="n">
        <v>0.987347</v>
      </c>
      <c r="H1701" s="34" t="n">
        <f aca="false">NORMSINV(F1701)</f>
        <v>-2.97814368442296</v>
      </c>
      <c r="I1701" s="34" t="n">
        <f aca="false">NORMSINV(G1701)</f>
        <v>2.23669929683289</v>
      </c>
      <c r="J1701" s="59" t="n">
        <f aca="false">mc_s0*EXP((mc_mu-mc_vol^2/2)*mc_t1+mc_vol*SQRT(mc_t1)*H1701)</f>
        <v>862.457264855094</v>
      </c>
      <c r="K1701" s="59" t="n">
        <f aca="false">J1701*EXP((mc_mu-mc_vol^2/2)*(mc_t2-mc_t1)+mc_vol*SQRT(mc_t2-mc_t1)*I1701)</f>
        <v>1249.40272796605</v>
      </c>
      <c r="L1701" s="31" t="n">
        <f aca="false">(t1_usd*J1701+t2_usd*K1701)/1000</f>
        <v>8411.06603712116</v>
      </c>
    </row>
    <row r="1702" customFormat="false" ht="15" hidden="false" customHeight="false" outlineLevel="0" collapsed="false">
      <c r="E1702" s="54" t="n">
        <v>1698</v>
      </c>
      <c r="F1702" s="61" t="n">
        <v>0.599016</v>
      </c>
      <c r="G1702" s="61" t="n">
        <v>0.917963</v>
      </c>
      <c r="H1702" s="34" t="n">
        <f aca="false">NORMSINV(F1702)</f>
        <v>0.250800959123145</v>
      </c>
      <c r="I1702" s="34" t="n">
        <f aca="false">NORMSINV(G1702)</f>
        <v>1.39149953682819</v>
      </c>
      <c r="J1702" s="59" t="n">
        <f aca="false">mc_s0*EXP((mc_mu-mc_vol^2/2)*mc_t1+mc_vol*SQRT(mc_t1)*H1702)</f>
        <v>1174.05972072656</v>
      </c>
      <c r="K1702" s="59" t="n">
        <f aca="false">J1702*EXP((mc_mu-mc_vol^2/2)*(mc_t2-mc_t1)+mc_vol*SQRT(mc_t2-mc_t1)*I1702)</f>
        <v>1488.70282599456</v>
      </c>
      <c r="L1702" s="31" t="n">
        <f aca="false">(t1_usd*J1702+t2_usd*K1702)/1000</f>
        <v>11046.9534144756</v>
      </c>
    </row>
    <row r="1703" customFormat="false" ht="15" hidden="false" customHeight="false" outlineLevel="0" collapsed="false">
      <c r="E1703" s="54" t="n">
        <v>1699</v>
      </c>
      <c r="F1703" s="61" t="n">
        <v>0.781726</v>
      </c>
      <c r="G1703" s="61" t="n">
        <v>0.564731</v>
      </c>
      <c r="H1703" s="34" t="n">
        <f aca="false">NORMSINV(F1703)</f>
        <v>0.778035644637269</v>
      </c>
      <c r="I1703" s="34" t="n">
        <f aca="false">NORMSINV(G1703)</f>
        <v>0.16297515061756</v>
      </c>
      <c r="J1703" s="59" t="n">
        <f aca="false">mc_s0*EXP((mc_mu-mc_vol^2/2)*mc_t1+mc_vol*SQRT(mc_t1)*H1703)</f>
        <v>1234.70296970479</v>
      </c>
      <c r="K1703" s="59" t="n">
        <f aca="false">J1703*EXP((mc_mu-mc_vol^2/2)*(mc_t2-mc_t1)+mc_vol*SQRT(mc_t2-mc_t1)*I1703)</f>
        <v>1290.0241086796</v>
      </c>
      <c r="L1703" s="31" t="n">
        <f aca="false">(t1_usd*J1703+t2_usd*K1703)/1000</f>
        <v>11093.9665944248</v>
      </c>
    </row>
    <row r="1704" customFormat="false" ht="15" hidden="false" customHeight="false" outlineLevel="0" collapsed="false">
      <c r="E1704" s="54" t="n">
        <v>1700</v>
      </c>
      <c r="F1704" s="61" t="n">
        <v>0.053865</v>
      </c>
      <c r="G1704" s="61" t="n">
        <v>0.627744</v>
      </c>
      <c r="H1704" s="34" t="n">
        <f aca="false">NORMSINV(F1704)</f>
        <v>-1.60848042503202</v>
      </c>
      <c r="I1704" s="34" t="n">
        <f aca="false">NORMSINV(G1704)</f>
        <v>0.325884160736794</v>
      </c>
      <c r="J1704" s="59" t="n">
        <f aca="false">mc_s0*EXP((mc_mu-mc_vol^2/2)*mc_t1+mc_vol*SQRT(mc_t1)*H1704)</f>
        <v>983.010134449445</v>
      </c>
      <c r="K1704" s="59" t="n">
        <f aca="false">J1704*EXP((mc_mu-mc_vol^2/2)*(mc_t2-mc_t1)+mc_vol*SQRT(mc_t2-mc_t1)*I1704)</f>
        <v>1053.76343422175</v>
      </c>
      <c r="L1704" s="31" t="n">
        <f aca="false">(t1_usd*J1704+t2_usd*K1704)/1000</f>
        <v>8883.22146616744</v>
      </c>
    </row>
    <row r="1705" customFormat="false" ht="15" hidden="false" customHeight="false" outlineLevel="0" collapsed="false">
      <c r="E1705" s="54" t="n">
        <v>1701</v>
      </c>
      <c r="F1705" s="61" t="n">
        <v>0.059171</v>
      </c>
      <c r="G1705" s="61" t="n">
        <v>0.808845</v>
      </c>
      <c r="H1705" s="34" t="n">
        <f aca="false">NORMSINV(F1705)</f>
        <v>-1.56177077027485</v>
      </c>
      <c r="I1705" s="34" t="n">
        <f aca="false">NORMSINV(G1705)</f>
        <v>0.87364795869156</v>
      </c>
      <c r="J1705" s="59" t="n">
        <f aca="false">mc_s0*EXP((mc_mu-mc_vol^2/2)*mc_t1+mc_vol*SQRT(mc_t1)*H1705)</f>
        <v>987.405956831013</v>
      </c>
      <c r="K1705" s="59" t="n">
        <f aca="false">J1705*EXP((mc_mu-mc_vol^2/2)*(mc_t2-mc_t1)+mc_vol*SQRT(mc_t2-mc_t1)*I1705)</f>
        <v>1153.90709440084</v>
      </c>
      <c r="L1705" s="31" t="n">
        <f aca="false">(t1_usd*J1705+t2_usd*K1705)/1000</f>
        <v>9104.2651771787</v>
      </c>
    </row>
    <row r="1706" customFormat="false" ht="15" hidden="false" customHeight="false" outlineLevel="0" collapsed="false">
      <c r="E1706" s="54" t="n">
        <v>1702</v>
      </c>
      <c r="F1706" s="61" t="n">
        <v>0.375348</v>
      </c>
      <c r="G1706" s="61" t="n">
        <v>0.116987</v>
      </c>
      <c r="H1706" s="34" t="n">
        <f aca="false">NORMSINV(F1706)</f>
        <v>-0.317721764960433</v>
      </c>
      <c r="I1706" s="34" t="n">
        <f aca="false">NORMSINV(G1706)</f>
        <v>-1.19018420465456</v>
      </c>
      <c r="J1706" s="59" t="n">
        <f aca="false">mc_s0*EXP((mc_mu-mc_vol^2/2)*mc_t1+mc_vol*SQRT(mc_t1)*H1706)</f>
        <v>1112.00067905246</v>
      </c>
      <c r="K1706" s="59" t="n">
        <f aca="false">J1706*EXP((mc_mu-mc_vol^2/2)*(mc_t2-mc_t1)+mc_vol*SQRT(mc_t2-mc_t1)*I1706)</f>
        <v>938.701793471318</v>
      </c>
      <c r="L1706" s="31" t="n">
        <f aca="false">(t1_usd*J1706+t2_usd*K1706)/1000</f>
        <v>9567.53816096269</v>
      </c>
    </row>
    <row r="1707" customFormat="false" ht="15" hidden="false" customHeight="false" outlineLevel="0" collapsed="false">
      <c r="E1707" s="54" t="n">
        <v>1703</v>
      </c>
      <c r="F1707" s="61" t="n">
        <v>0.258518</v>
      </c>
      <c r="G1707" s="61" t="n">
        <v>0.556087</v>
      </c>
      <c r="H1707" s="34" t="n">
        <f aca="false">NORMSINV(F1707)</f>
        <v>-0.647921073437417</v>
      </c>
      <c r="I1707" s="34" t="n">
        <f aca="false">NORMSINV(G1707)</f>
        <v>0.141055623966442</v>
      </c>
      <c r="J1707" s="59" t="n">
        <f aca="false">mc_s0*EXP((mc_mu-mc_vol^2/2)*mc_t1+mc_vol*SQRT(mc_t1)*H1707)</f>
        <v>1077.47388033607</v>
      </c>
      <c r="K1707" s="59" t="n">
        <f aca="false">J1707*EXP((mc_mu-mc_vol^2/2)*(mc_t2-mc_t1)+mc_vol*SQRT(mc_t2-mc_t1)*I1707)</f>
        <v>1121.86828783692</v>
      </c>
      <c r="L1707" s="31" t="n">
        <f aca="false">(t1_usd*J1707+t2_usd*K1707)/1000</f>
        <v>9673.86690924264</v>
      </c>
    </row>
    <row r="1708" customFormat="false" ht="15" hidden="false" customHeight="false" outlineLevel="0" collapsed="false">
      <c r="E1708" s="54" t="n">
        <v>1704</v>
      </c>
      <c r="F1708" s="61" t="n">
        <v>0.189762</v>
      </c>
      <c r="G1708" s="61" t="n">
        <v>0.967274</v>
      </c>
      <c r="H1708" s="34" t="n">
        <f aca="false">NORMSINV(F1708)</f>
        <v>-0.878773679609527</v>
      </c>
      <c r="I1708" s="34" t="n">
        <f aca="false">NORMSINV(G1708)</f>
        <v>1.84215828679188</v>
      </c>
      <c r="J1708" s="59" t="n">
        <f aca="false">mc_s0*EXP((mc_mu-mc_vol^2/2)*mc_t1+mc_vol*SQRT(mc_t1)*H1708)</f>
        <v>1053.9738660023</v>
      </c>
      <c r="K1708" s="59" t="n">
        <f aca="false">J1708*EXP((mc_mu-mc_vol^2/2)*(mc_t2-mc_t1)+mc_vol*SQRT(mc_t2-mc_t1)*I1708)</f>
        <v>1434.80072726061</v>
      </c>
      <c r="L1708" s="31" t="n">
        <f aca="false">(t1_usd*J1708+t2_usd*K1708)/1000</f>
        <v>10103.9384438112</v>
      </c>
    </row>
    <row r="1709" customFormat="false" ht="15" hidden="false" customHeight="false" outlineLevel="0" collapsed="false">
      <c r="E1709" s="54" t="n">
        <v>1705</v>
      </c>
      <c r="F1709" s="61" t="n">
        <v>0.854386</v>
      </c>
      <c r="G1709" s="61" t="n">
        <v>0.99509</v>
      </c>
      <c r="H1709" s="34" t="n">
        <f aca="false">NORMSINV(F1709)</f>
        <v>1.05543154955324</v>
      </c>
      <c r="I1709" s="34" t="n">
        <f aca="false">NORMSINV(G1709)</f>
        <v>2.58210395597296</v>
      </c>
      <c r="J1709" s="59" t="n">
        <f aca="false">mc_s0*EXP((mc_mu-mc_vol^2/2)*mc_t1+mc_vol*SQRT(mc_t1)*H1709)</f>
        <v>1267.85692672903</v>
      </c>
      <c r="K1709" s="59" t="n">
        <f aca="false">J1709*EXP((mc_mu-mc_vol^2/2)*(mc_t2-mc_t1)+mc_vol*SQRT(mc_t2-mc_t1)*I1709)</f>
        <v>1939.4350898852</v>
      </c>
      <c r="L1709" s="31" t="n">
        <f aca="false">(t1_usd*J1709+t2_usd*K1709)/1000</f>
        <v>12559.9251578851</v>
      </c>
    </row>
    <row r="1710" customFormat="false" ht="15" hidden="false" customHeight="false" outlineLevel="0" collapsed="false">
      <c r="E1710" s="54" t="n">
        <v>1706</v>
      </c>
      <c r="F1710" s="61" t="n">
        <v>0.464272</v>
      </c>
      <c r="G1710" s="61" t="n">
        <v>0.005773</v>
      </c>
      <c r="H1710" s="34" t="n">
        <f aca="false">NORMSINV(F1710)</f>
        <v>-0.089676866144317</v>
      </c>
      <c r="I1710" s="34" t="n">
        <f aca="false">NORMSINV(G1710)</f>
        <v>-2.52572445438441</v>
      </c>
      <c r="J1710" s="59" t="n">
        <f aca="false">mc_s0*EXP((mc_mu-mc_vol^2/2)*mc_t1+mc_vol*SQRT(mc_t1)*H1710)</f>
        <v>1136.48964603904</v>
      </c>
      <c r="K1710" s="59" t="n">
        <f aca="false">J1710*EXP((mc_mu-mc_vol^2/2)*(mc_t2-mc_t1)+mc_vol*SQRT(mc_t2-mc_t1)*I1710)</f>
        <v>777.286677543337</v>
      </c>
      <c r="L1710" s="31" t="n">
        <f aca="false">(t1_usd*J1710+t2_usd*K1710)/1000</f>
        <v>9432.27220960566</v>
      </c>
    </row>
    <row r="1711" customFormat="false" ht="15" hidden="false" customHeight="false" outlineLevel="0" collapsed="false">
      <c r="E1711" s="54" t="n">
        <v>1707</v>
      </c>
      <c r="F1711" s="61" t="n">
        <v>0.942792</v>
      </c>
      <c r="G1711" s="61" t="n">
        <v>0.494344</v>
      </c>
      <c r="H1711" s="34" t="n">
        <f aca="false">NORMSINV(F1711)</f>
        <v>1.57865156558592</v>
      </c>
      <c r="I1711" s="34" t="n">
        <f aca="false">NORMSINV(G1711)</f>
        <v>-0.0141779645034847</v>
      </c>
      <c r="J1711" s="59" t="n">
        <f aca="false">mc_s0*EXP((mc_mu-mc_vol^2/2)*mc_t1+mc_vol*SQRT(mc_t1)*H1711)</f>
        <v>1332.83381739965</v>
      </c>
      <c r="K1711" s="59" t="n">
        <f aca="false">J1711*EXP((mc_mu-mc_vol^2/2)*(mc_t2-mc_t1)+mc_vol*SQRT(mc_t2-mc_t1)*I1711)</f>
        <v>1354.21197305143</v>
      </c>
      <c r="L1711" s="31" t="n">
        <f aca="false">(t1_usd*J1711+t2_usd*K1711)/1000</f>
        <v>11902.8394705953</v>
      </c>
    </row>
    <row r="1712" customFormat="false" ht="15" hidden="false" customHeight="false" outlineLevel="0" collapsed="false">
      <c r="E1712" s="54" t="n">
        <v>1708</v>
      </c>
      <c r="F1712" s="61" t="n">
        <v>0.55108</v>
      </c>
      <c r="G1712" s="61" t="n">
        <v>0.798446</v>
      </c>
      <c r="H1712" s="34" t="n">
        <f aca="false">NORMSINV(F1712)</f>
        <v>0.12839043534827</v>
      </c>
      <c r="I1712" s="34" t="n">
        <f aca="false">NORMSINV(G1712)</f>
        <v>0.836083375711844</v>
      </c>
      <c r="J1712" s="59" t="n">
        <f aca="false">mc_s0*EXP((mc_mu-mc_vol^2/2)*mc_t1+mc_vol*SQRT(mc_t1)*H1712)</f>
        <v>1160.41142037879</v>
      </c>
      <c r="K1712" s="59" t="n">
        <f aca="false">J1712*EXP((mc_mu-mc_vol^2/2)*(mc_t2-mc_t1)+mc_vol*SQRT(mc_t2-mc_t1)*I1712)</f>
        <v>1348.08136423361</v>
      </c>
      <c r="L1712" s="31" t="n">
        <f aca="false">(t1_usd*J1712+t2_usd*K1712)/1000</f>
        <v>10684.2345346954</v>
      </c>
    </row>
    <row r="1713" customFormat="false" ht="15" hidden="false" customHeight="false" outlineLevel="0" collapsed="false">
      <c r="E1713" s="54" t="n">
        <v>1709</v>
      </c>
      <c r="F1713" s="61" t="n">
        <v>0.251682</v>
      </c>
      <c r="G1713" s="61" t="n">
        <v>0.048238</v>
      </c>
      <c r="H1713" s="34" t="n">
        <f aca="false">NORMSINV(F1713)</f>
        <v>-0.669206124439632</v>
      </c>
      <c r="I1713" s="34" t="n">
        <f aca="false">NORMSINV(G1713)</f>
        <v>-1.66218343676041</v>
      </c>
      <c r="J1713" s="59" t="n">
        <f aca="false">mc_s0*EXP((mc_mu-mc_vol^2/2)*mc_t1+mc_vol*SQRT(mc_t1)*H1713)</f>
        <v>1075.28538177412</v>
      </c>
      <c r="K1713" s="59" t="n">
        <f aca="false">J1713*EXP((mc_mu-mc_vol^2/2)*(mc_t2-mc_t1)+mc_vol*SQRT(mc_t2-mc_t1)*I1713)</f>
        <v>842.639537954224</v>
      </c>
      <c r="L1713" s="31" t="n">
        <f aca="false">(t1_usd*J1713+t2_usd*K1713)/1000</f>
        <v>9128.01279453185</v>
      </c>
    </row>
    <row r="1714" customFormat="false" ht="15" hidden="false" customHeight="false" outlineLevel="0" collapsed="false">
      <c r="E1714" s="54" t="n">
        <v>1710</v>
      </c>
      <c r="F1714" s="61" t="n">
        <v>0.862954</v>
      </c>
      <c r="G1714" s="61" t="n">
        <v>0.443909</v>
      </c>
      <c r="H1714" s="34" t="n">
        <f aca="false">NORMSINV(F1714)</f>
        <v>1.0936876331004</v>
      </c>
      <c r="I1714" s="34" t="n">
        <f aca="false">NORMSINV(G1714)</f>
        <v>-0.14106575073179</v>
      </c>
      <c r="J1714" s="59" t="n">
        <f aca="false">mc_s0*EXP((mc_mu-mc_vol^2/2)*mc_t1+mc_vol*SQRT(mc_t1)*H1714)</f>
        <v>1272.49855943563</v>
      </c>
      <c r="K1714" s="59" t="n">
        <f aca="false">J1714*EXP((mc_mu-mc_vol^2/2)*(mc_t2-mc_t1)+mc_vol*SQRT(mc_t2-mc_t1)*I1714)</f>
        <v>1267.31189015854</v>
      </c>
      <c r="L1714" s="31" t="n">
        <f aca="false">(t1_usd*J1714+t2_usd*K1714)/1000</f>
        <v>11315.3825073507</v>
      </c>
    </row>
    <row r="1715" customFormat="false" ht="15" hidden="false" customHeight="false" outlineLevel="0" collapsed="false">
      <c r="E1715" s="54" t="n">
        <v>1711</v>
      </c>
      <c r="F1715" s="61" t="n">
        <v>0.41378</v>
      </c>
      <c r="G1715" s="61" t="n">
        <v>0.125903</v>
      </c>
      <c r="H1715" s="34" t="n">
        <f aca="false">NORMSINV(F1715)</f>
        <v>-0.217832013867728</v>
      </c>
      <c r="I1715" s="34" t="n">
        <f aca="false">NORMSINV(G1715)</f>
        <v>-1.14597378296074</v>
      </c>
      <c r="J1715" s="59" t="n">
        <f aca="false">mc_s0*EXP((mc_mu-mc_vol^2/2)*mc_t1+mc_vol*SQRT(mc_t1)*H1715)</f>
        <v>1122.66187291948</v>
      </c>
      <c r="K1715" s="59" t="n">
        <f aca="false">J1715*EXP((mc_mu-mc_vol^2/2)*(mc_t2-mc_t1)+mc_vol*SQRT(mc_t2-mc_t1)*I1715)</f>
        <v>954.327441818659</v>
      </c>
      <c r="L1715" s="31" t="n">
        <f aca="false">(t1_usd*J1715+t2_usd*K1715)/1000</f>
        <v>9671.85524989184</v>
      </c>
    </row>
    <row r="1716" customFormat="false" ht="15" hidden="false" customHeight="false" outlineLevel="0" collapsed="false">
      <c r="E1716" s="54" t="n">
        <v>1712</v>
      </c>
      <c r="F1716" s="61" t="n">
        <v>0.233214</v>
      </c>
      <c r="G1716" s="61" t="n">
        <v>0.226353</v>
      </c>
      <c r="H1716" s="34" t="n">
        <f aca="false">NORMSINV(F1716)</f>
        <v>-0.728303206380004</v>
      </c>
      <c r="I1716" s="34" t="n">
        <f aca="false">NORMSINV(G1716)</f>
        <v>-0.750911365242039</v>
      </c>
      <c r="J1716" s="59" t="n">
        <f aca="false">mc_s0*EXP((mc_mu-mc_vol^2/2)*mc_t1+mc_vol*SQRT(mc_t1)*H1716)</f>
        <v>1069.23238022557</v>
      </c>
      <c r="K1716" s="59" t="n">
        <f aca="false">J1716*EXP((mc_mu-mc_vol^2/2)*(mc_t2-mc_t1)+mc_vol*SQRT(mc_t2-mc_t1)*I1716)</f>
        <v>967.29589837293</v>
      </c>
      <c r="L1716" s="31" t="n">
        <f aca="false">(t1_usd*J1716+t2_usd*K1716)/1000</f>
        <v>9322.48886848756</v>
      </c>
    </row>
    <row r="1717" customFormat="false" ht="15" hidden="false" customHeight="false" outlineLevel="0" collapsed="false">
      <c r="E1717" s="54" t="n">
        <v>1713</v>
      </c>
      <c r="F1717" s="61" t="n">
        <v>0.499767</v>
      </c>
      <c r="G1717" s="61" t="n">
        <v>0.740338</v>
      </c>
      <c r="H1717" s="34" t="n">
        <f aca="false">NORMSINV(F1717)</f>
        <v>-0.000584044421192672</v>
      </c>
      <c r="I1717" s="34" t="n">
        <f aca="false">NORMSINV(G1717)</f>
        <v>0.644387790306679</v>
      </c>
      <c r="J1717" s="59" t="n">
        <f aca="false">mc_s0*EXP((mc_mu-mc_vol^2/2)*mc_t1+mc_vol*SQRT(mc_t1)*H1717)</f>
        <v>1146.20287806039</v>
      </c>
      <c r="K1717" s="59" t="n">
        <f aca="false">J1717*EXP((mc_mu-mc_vol^2/2)*(mc_t2-mc_t1)+mc_vol*SQRT(mc_t2-mc_t1)*I1717)</f>
        <v>1291.94969446108</v>
      </c>
      <c r="L1717" s="31" t="n">
        <f aca="false">(t1_usd*J1717+t2_usd*K1717)/1000</f>
        <v>10478.1245658988</v>
      </c>
    </row>
    <row r="1718" customFormat="false" ht="15" hidden="false" customHeight="false" outlineLevel="0" collapsed="false">
      <c r="E1718" s="54" t="n">
        <v>1714</v>
      </c>
      <c r="F1718" s="61" t="n">
        <v>0.824322</v>
      </c>
      <c r="G1718" s="61" t="n">
        <v>0.125928</v>
      </c>
      <c r="H1718" s="34" t="n">
        <f aca="false">NORMSINV(F1718)</f>
        <v>0.931962317521996</v>
      </c>
      <c r="I1718" s="34" t="n">
        <f aca="false">NORMSINV(G1718)</f>
        <v>-1.14585295435232</v>
      </c>
      <c r="J1718" s="59" t="n">
        <f aca="false">mc_s0*EXP((mc_mu-mc_vol^2/2)*mc_t1+mc_vol*SQRT(mc_t1)*H1718)</f>
        <v>1252.99152317623</v>
      </c>
      <c r="K1718" s="59" t="n">
        <f aca="false">J1718*EXP((mc_mu-mc_vol^2/2)*(mc_t2-mc_t1)+mc_vol*SQRT(mc_t2-mc_t1)*I1718)</f>
        <v>1065.13545481287</v>
      </c>
      <c r="L1718" s="31" t="n">
        <f aca="false">(t1_usd*J1718+t2_usd*K1718)/1000</f>
        <v>10794.6980263781</v>
      </c>
    </row>
    <row r="1719" customFormat="false" ht="15" hidden="false" customHeight="false" outlineLevel="0" collapsed="false">
      <c r="E1719" s="54" t="n">
        <v>1715</v>
      </c>
      <c r="F1719" s="61" t="n">
        <v>0.452815</v>
      </c>
      <c r="G1719" s="61" t="n">
        <v>0.890878</v>
      </c>
      <c r="H1719" s="34" t="n">
        <f aca="false">NORMSINV(F1719)</f>
        <v>-0.118552372982024</v>
      </c>
      <c r="I1719" s="34" t="n">
        <f aca="false">NORMSINV(G1719)</f>
        <v>1.23121088861268</v>
      </c>
      <c r="J1719" s="59" t="n">
        <f aca="false">mc_s0*EXP((mc_mu-mc_vol^2/2)*mc_t1+mc_vol*SQRT(mc_t1)*H1719)</f>
        <v>1133.3592265632</v>
      </c>
      <c r="K1719" s="59" t="n">
        <f aca="false">J1719*EXP((mc_mu-mc_vol^2/2)*(mc_t2-mc_t1)+mc_vol*SQRT(mc_t2-mc_t1)*I1719)</f>
        <v>1401.24783931181</v>
      </c>
      <c r="L1719" s="31" t="n">
        <f aca="false">(t1_usd*J1719+t2_usd*K1719)/1000</f>
        <v>10595.8854806349</v>
      </c>
    </row>
    <row r="1720" customFormat="false" ht="15" hidden="false" customHeight="false" outlineLevel="0" collapsed="false">
      <c r="E1720" s="54" t="n">
        <v>1716</v>
      </c>
      <c r="F1720" s="61" t="n">
        <v>0.215563</v>
      </c>
      <c r="G1720" s="61" t="n">
        <v>0.085827</v>
      </c>
      <c r="H1720" s="34" t="n">
        <f aca="false">NORMSINV(F1720)</f>
        <v>-0.787266287974901</v>
      </c>
      <c r="I1720" s="34" t="n">
        <f aca="false">NORMSINV(G1720)</f>
        <v>-1.36690845978354</v>
      </c>
      <c r="J1720" s="59" t="n">
        <f aca="false">mc_s0*EXP((mc_mu-mc_vol^2/2)*mc_t1+mc_vol*SQRT(mc_t1)*H1720)</f>
        <v>1063.22706155008</v>
      </c>
      <c r="K1720" s="59" t="n">
        <f aca="false">J1720*EXP((mc_mu-mc_vol^2/2)*(mc_t2-mc_t1)+mc_vol*SQRT(mc_t2-mc_t1)*I1720)</f>
        <v>872.877463738843</v>
      </c>
      <c r="L1720" s="31" t="n">
        <f aca="false">(t1_usd*J1720+t2_usd*K1720)/1000</f>
        <v>9101.05661195436</v>
      </c>
    </row>
    <row r="1721" customFormat="false" ht="15" hidden="false" customHeight="false" outlineLevel="0" collapsed="false">
      <c r="E1721" s="54" t="n">
        <v>1717</v>
      </c>
      <c r="F1721" s="61" t="n">
        <v>0.270066</v>
      </c>
      <c r="G1721" s="61" t="n">
        <v>0.530957</v>
      </c>
      <c r="H1721" s="34" t="n">
        <f aca="false">NORMSINV(F1721)</f>
        <v>-0.61261339368318</v>
      </c>
      <c r="I1721" s="34" t="n">
        <f aca="false">NORMSINV(G1721)</f>
        <v>0.0776757305245222</v>
      </c>
      <c r="J1721" s="59" t="n">
        <f aca="false">mc_s0*EXP((mc_mu-mc_vol^2/2)*mc_t1+mc_vol*SQRT(mc_t1)*H1721)</f>
        <v>1081.11399239644</v>
      </c>
      <c r="K1721" s="59" t="n">
        <f aca="false">J1721*EXP((mc_mu-mc_vol^2/2)*(mc_t2-mc_t1)+mc_vol*SQRT(mc_t2-mc_t1)*I1721)</f>
        <v>1114.47099878189</v>
      </c>
      <c r="L1721" s="31" t="n">
        <f aca="false">(t1_usd*J1721+t2_usd*K1721)/1000</f>
        <v>9685.29284446067</v>
      </c>
    </row>
    <row r="1722" customFormat="false" ht="15" hidden="false" customHeight="false" outlineLevel="0" collapsed="false">
      <c r="E1722" s="54" t="n">
        <v>1718</v>
      </c>
      <c r="F1722" s="61" t="n">
        <v>0.740056</v>
      </c>
      <c r="G1722" s="61" t="n">
        <v>0.375256</v>
      </c>
      <c r="H1722" s="34" t="n">
        <f aca="false">NORMSINV(F1722)</f>
        <v>0.64351805988155</v>
      </c>
      <c r="I1722" s="34" t="n">
        <f aca="false">NORMSINV(G1722)</f>
        <v>-0.317964322561584</v>
      </c>
      <c r="J1722" s="59" t="n">
        <f aca="false">mc_s0*EXP((mc_mu-mc_vol^2/2)*mc_t1+mc_vol*SQRT(mc_t1)*H1722)</f>
        <v>1218.93918251916</v>
      </c>
      <c r="K1722" s="59" t="n">
        <f aca="false">J1722*EXP((mc_mu-mc_vol^2/2)*(mc_t2-mc_t1)+mc_vol*SQRT(mc_t2-mc_t1)*I1722)</f>
        <v>1180.59511261033</v>
      </c>
      <c r="L1722" s="31" t="n">
        <f aca="false">(t1_usd*J1722+t2_usd*K1722)/1000</f>
        <v>10775.7049915938</v>
      </c>
    </row>
    <row r="1723" customFormat="false" ht="15" hidden="false" customHeight="false" outlineLevel="0" collapsed="false">
      <c r="E1723" s="54" t="n">
        <v>1719</v>
      </c>
      <c r="F1723" s="61" t="n">
        <v>0.074152</v>
      </c>
      <c r="G1723" s="61" t="n">
        <v>0.760942</v>
      </c>
      <c r="H1723" s="34" t="n">
        <f aca="false">NORMSINV(F1723)</f>
        <v>-1.4455480735931</v>
      </c>
      <c r="I1723" s="34" t="n">
        <f aca="false">NORMSINV(G1723)</f>
        <v>0.709335989173822</v>
      </c>
      <c r="J1723" s="59" t="n">
        <f aca="false">mc_s0*EXP((mc_mu-mc_vol^2/2)*mc_t1+mc_vol*SQRT(mc_t1)*H1723)</f>
        <v>998.429111898108</v>
      </c>
      <c r="K1723" s="59" t="n">
        <f aca="false">J1723*EXP((mc_mu-mc_vol^2/2)*(mc_t2-mc_t1)+mc_vol*SQRT(mc_t2-mc_t1)*I1723)</f>
        <v>1136.96349239167</v>
      </c>
      <c r="L1723" s="31" t="n">
        <f aca="false">(t1_usd*J1723+t2_usd*K1723)/1000</f>
        <v>9149.23441883092</v>
      </c>
    </row>
    <row r="1724" customFormat="false" ht="15" hidden="false" customHeight="false" outlineLevel="0" collapsed="false">
      <c r="E1724" s="54" t="n">
        <v>1720</v>
      </c>
      <c r="F1724" s="61" t="n">
        <v>0.720089</v>
      </c>
      <c r="G1724" s="61" t="n">
        <v>0.165988</v>
      </c>
      <c r="H1724" s="34" t="n">
        <f aca="false">NORMSINV(F1724)</f>
        <v>0.583105918104362</v>
      </c>
      <c r="I1724" s="34" t="n">
        <f aca="false">NORMSINV(G1724)</f>
        <v>-0.970141430860575</v>
      </c>
      <c r="J1724" s="59" t="n">
        <f aca="false">mc_s0*EXP((mc_mu-mc_vol^2/2)*mc_t1+mc_vol*SQRT(mc_t1)*H1724)</f>
        <v>1211.92527516446</v>
      </c>
      <c r="K1724" s="59" t="n">
        <f aca="false">J1724*EXP((mc_mu-mc_vol^2/2)*(mc_t2-mc_t1)+mc_vol*SQRT(mc_t2-mc_t1)*I1724)</f>
        <v>1059.152691401</v>
      </c>
      <c r="L1724" s="31" t="n">
        <f aca="false">(t1_usd*J1724+t2_usd*K1724)/1000</f>
        <v>10495.8670398131</v>
      </c>
    </row>
    <row r="1725" customFormat="false" ht="15" hidden="false" customHeight="false" outlineLevel="0" collapsed="false">
      <c r="E1725" s="54" t="n">
        <v>1721</v>
      </c>
      <c r="F1725" s="61" t="n">
        <v>0.753865</v>
      </c>
      <c r="G1725" s="61" t="n">
        <v>0.646693</v>
      </c>
      <c r="H1725" s="34" t="n">
        <f aca="false">NORMSINV(F1725)</f>
        <v>0.686702851019625</v>
      </c>
      <c r="I1725" s="34" t="n">
        <f aca="false">NORMSINV(G1725)</f>
        <v>0.376407461136221</v>
      </c>
      <c r="J1725" s="59" t="n">
        <f aca="false">mc_s0*EXP((mc_mu-mc_vol^2/2)*mc_t1+mc_vol*SQRT(mc_t1)*H1725)</f>
        <v>1223.97784395515</v>
      </c>
      <c r="K1725" s="59" t="n">
        <f aca="false">J1725*EXP((mc_mu-mc_vol^2/2)*(mc_t2-mc_t1)+mc_vol*SQRT(mc_t2-mc_t1)*I1725)</f>
        <v>1322.56368621405</v>
      </c>
      <c r="L1725" s="31" t="n">
        <f aca="false">(t1_usd*J1725+t2_usd*K1725)/1000</f>
        <v>11080.7159114927</v>
      </c>
    </row>
    <row r="1726" customFormat="false" ht="15" hidden="false" customHeight="false" outlineLevel="0" collapsed="false">
      <c r="E1726" s="54" t="n">
        <v>1722</v>
      </c>
      <c r="F1726" s="61" t="n">
        <v>0.884989</v>
      </c>
      <c r="G1726" s="61" t="n">
        <v>0.577403</v>
      </c>
      <c r="H1726" s="34" t="n">
        <f aca="false">NORMSINV(F1726)</f>
        <v>1.20030218885152</v>
      </c>
      <c r="I1726" s="34" t="n">
        <f aca="false">NORMSINV(G1726)</f>
        <v>0.195254136169094</v>
      </c>
      <c r="J1726" s="59" t="n">
        <f aca="false">mc_s0*EXP((mc_mu-mc_vol^2/2)*mc_t1+mc_vol*SQRT(mc_t1)*H1726)</f>
        <v>1285.52402864884</v>
      </c>
      <c r="K1726" s="59" t="n">
        <f aca="false">J1726*EXP((mc_mu-mc_vol^2/2)*(mc_t2-mc_t1)+mc_vol*SQRT(mc_t2-mc_t1)*I1726)</f>
        <v>1349.97201758358</v>
      </c>
      <c r="L1726" s="31" t="n">
        <f aca="false">(t1_usd*J1726+t2_usd*K1726)/1000</f>
        <v>11563.6150339507</v>
      </c>
    </row>
    <row r="1727" customFormat="false" ht="15" hidden="false" customHeight="false" outlineLevel="0" collapsed="false">
      <c r="E1727" s="54" t="n">
        <v>1723</v>
      </c>
      <c r="F1727" s="61" t="n">
        <v>0.055519</v>
      </c>
      <c r="G1727" s="61" t="n">
        <v>0.403476</v>
      </c>
      <c r="H1727" s="34" t="n">
        <f aca="false">NORMSINV(F1727)</f>
        <v>-1.593544918188</v>
      </c>
      <c r="I1727" s="34" t="n">
        <f aca="false">NORMSINV(G1727)</f>
        <v>-0.244360023539121</v>
      </c>
      <c r="J1727" s="59" t="n">
        <f aca="false">mc_s0*EXP((mc_mu-mc_vol^2/2)*mc_t1+mc_vol*SQRT(mc_t1)*H1727)</f>
        <v>984.413575081407</v>
      </c>
      <c r="K1727" s="59" t="n">
        <f aca="false">J1727*EXP((mc_mu-mc_vol^2/2)*(mc_t2-mc_t1)+mc_vol*SQRT(mc_t2-mc_t1)*I1727)</f>
        <v>964.570892721392</v>
      </c>
      <c r="L1727" s="31" t="n">
        <f aca="false">(t1_usd*J1727+t2_usd*K1727)/1000</f>
        <v>8723.57972174049</v>
      </c>
    </row>
    <row r="1728" customFormat="false" ht="15" hidden="false" customHeight="false" outlineLevel="0" collapsed="false">
      <c r="E1728" s="54" t="n">
        <v>1724</v>
      </c>
      <c r="F1728" s="61" t="n">
        <v>0.869271</v>
      </c>
      <c r="G1728" s="61" t="n">
        <v>0.793338</v>
      </c>
      <c r="H1728" s="34" t="n">
        <f aca="false">NORMSINV(F1728)</f>
        <v>1.12295171966821</v>
      </c>
      <c r="I1728" s="34" t="n">
        <f aca="false">NORMSINV(G1728)</f>
        <v>0.818058121964999</v>
      </c>
      <c r="J1728" s="59" t="n">
        <f aca="false">mc_s0*EXP((mc_mu-mc_vol^2/2)*mc_t1+mc_vol*SQRT(mc_t1)*H1728)</f>
        <v>1276.0606558682</v>
      </c>
      <c r="K1728" s="59" t="n">
        <f aca="false">J1728*EXP((mc_mu-mc_vol^2/2)*(mc_t2-mc_t1)+mc_vol*SQRT(mc_t2-mc_t1)*I1728)</f>
        <v>1478.22909995665</v>
      </c>
      <c r="L1728" s="31" t="n">
        <f aca="false">(t1_usd*J1728+t2_usd*K1728)/1000</f>
        <v>11741.059880995</v>
      </c>
    </row>
    <row r="1729" customFormat="false" ht="15" hidden="false" customHeight="false" outlineLevel="0" collapsed="false">
      <c r="E1729" s="54" t="n">
        <v>1725</v>
      </c>
      <c r="F1729" s="61" t="n">
        <v>0.723785</v>
      </c>
      <c r="G1729" s="61" t="n">
        <v>0.460735</v>
      </c>
      <c r="H1729" s="34" t="n">
        <f aca="false">NORMSINV(F1729)</f>
        <v>0.594122773580902</v>
      </c>
      <c r="I1729" s="34" t="n">
        <f aca="false">NORMSINV(G1729)</f>
        <v>-0.0985822044204123</v>
      </c>
      <c r="J1729" s="59" t="n">
        <f aca="false">mc_s0*EXP((mc_mu-mc_vol^2/2)*mc_t1+mc_vol*SQRT(mc_t1)*H1729)</f>
        <v>1213.20132689643</v>
      </c>
      <c r="K1729" s="59" t="n">
        <f aca="false">J1729*EXP((mc_mu-mc_vol^2/2)*(mc_t2-mc_t1)+mc_vol*SQRT(mc_t2-mc_t1)*I1729)</f>
        <v>1216.3729106773</v>
      </c>
      <c r="L1729" s="31" t="n">
        <f aca="false">(t1_usd*J1729+t2_usd*K1729)/1000</f>
        <v>10803.5178185619</v>
      </c>
    </row>
    <row r="1730" customFormat="false" ht="15" hidden="false" customHeight="false" outlineLevel="0" collapsed="false">
      <c r="E1730" s="54" t="n">
        <v>1726</v>
      </c>
      <c r="F1730" s="61" t="n">
        <v>0.072365</v>
      </c>
      <c r="G1730" s="61" t="n">
        <v>0.637718</v>
      </c>
      <c r="H1730" s="34" t="n">
        <f aca="false">NORMSINV(F1730)</f>
        <v>-1.45840116408919</v>
      </c>
      <c r="I1730" s="34" t="n">
        <f aca="false">NORMSINV(G1730)</f>
        <v>0.352365729258545</v>
      </c>
      <c r="J1730" s="59" t="n">
        <f aca="false">mc_s0*EXP((mc_mu-mc_vol^2/2)*mc_t1+mc_vol*SQRT(mc_t1)*H1730)</f>
        <v>997.204031834159</v>
      </c>
      <c r="K1730" s="59" t="n">
        <f aca="false">J1730*EXP((mc_mu-mc_vol^2/2)*(mc_t2-mc_t1)+mc_vol*SQRT(mc_t2-mc_t1)*I1730)</f>
        <v>1073.44946185308</v>
      </c>
      <c r="L1730" s="31" t="n">
        <f aca="false">(t1_usd*J1730+t2_usd*K1730)/1000</f>
        <v>9019.98220035998</v>
      </c>
    </row>
    <row r="1731" customFormat="false" ht="15" hidden="false" customHeight="false" outlineLevel="0" collapsed="false">
      <c r="E1731" s="54" t="n">
        <v>1727</v>
      </c>
      <c r="F1731" s="61" t="n">
        <v>0.116938</v>
      </c>
      <c r="G1731" s="61" t="n">
        <v>0.786898</v>
      </c>
      <c r="H1731" s="34" t="n">
        <f aca="false">NORMSINV(F1731)</f>
        <v>-1.19043363419994</v>
      </c>
      <c r="I1731" s="34" t="n">
        <f aca="false">NORMSINV(G1731)</f>
        <v>0.795704174355115</v>
      </c>
      <c r="J1731" s="59" t="n">
        <f aca="false">mc_s0*EXP((mc_mu-mc_vol^2/2)*mc_t1+mc_vol*SQRT(mc_t1)*H1731)</f>
        <v>1023.0589170417</v>
      </c>
      <c r="K1731" s="59" t="n">
        <f aca="false">J1731*EXP((mc_mu-mc_vol^2/2)*(mc_t2-mc_t1)+mc_vol*SQRT(mc_t2-mc_t1)*I1731)</f>
        <v>1180.97615337507</v>
      </c>
      <c r="L1731" s="31" t="n">
        <f aca="false">(t1_usd*J1731+t2_usd*K1731)/1000</f>
        <v>9405.26711070453</v>
      </c>
    </row>
    <row r="1732" customFormat="false" ht="15" hidden="false" customHeight="false" outlineLevel="0" collapsed="false">
      <c r="E1732" s="54" t="n">
        <v>1728</v>
      </c>
      <c r="F1732" s="61" t="n">
        <v>0.215685</v>
      </c>
      <c r="G1732" s="61" t="n">
        <v>0.536802</v>
      </c>
      <c r="H1732" s="34" t="n">
        <f aca="false">NORMSINV(F1732)</f>
        <v>-0.786849453322322</v>
      </c>
      <c r="I1732" s="34" t="n">
        <f aca="false">NORMSINV(G1732)</f>
        <v>0.0923801625693306</v>
      </c>
      <c r="J1732" s="59" t="n">
        <f aca="false">mc_s0*EXP((mc_mu-mc_vol^2/2)*mc_t1+mc_vol*SQRT(mc_t1)*H1732)</f>
        <v>1063.26939705396</v>
      </c>
      <c r="K1732" s="59" t="n">
        <f aca="false">J1732*EXP((mc_mu-mc_vol^2/2)*(mc_t2-mc_t1)+mc_vol*SQRT(mc_t2-mc_t1)*I1732)</f>
        <v>1098.61872307507</v>
      </c>
      <c r="L1732" s="31" t="n">
        <f aca="false">(t1_usd*J1732+t2_usd*K1732)/1000</f>
        <v>9530.26135322038</v>
      </c>
    </row>
    <row r="1733" customFormat="false" ht="15" hidden="false" customHeight="false" outlineLevel="0" collapsed="false">
      <c r="E1733" s="54" t="n">
        <v>1729</v>
      </c>
      <c r="F1733" s="61" t="n">
        <v>0.585224</v>
      </c>
      <c r="G1733" s="61" t="n">
        <v>0.35751</v>
      </c>
      <c r="H1733" s="34" t="n">
        <f aca="false">NORMSINV(F1733)</f>
        <v>0.215276179815405</v>
      </c>
      <c r="I1733" s="34" t="n">
        <f aca="false">NORMSINV(G1733)</f>
        <v>-0.36512245455931</v>
      </c>
      <c r="J1733" s="59" t="n">
        <f aca="false">mc_s0*EXP((mc_mu-mc_vol^2/2)*mc_t1+mc_vol*SQRT(mc_t1)*H1733)</f>
        <v>1170.08239496576</v>
      </c>
      <c r="K1733" s="59" t="n">
        <f aca="false">J1733*EXP((mc_mu-mc_vol^2/2)*(mc_t2-mc_t1)+mc_vol*SQRT(mc_t2-mc_t1)*I1733)</f>
        <v>1124.88415226163</v>
      </c>
      <c r="L1733" s="31" t="n">
        <f aca="false">(t1_usd*J1733+t2_usd*K1733)/1000</f>
        <v>10327.8566540574</v>
      </c>
    </row>
    <row r="1734" customFormat="false" ht="15" hidden="false" customHeight="false" outlineLevel="0" collapsed="false">
      <c r="E1734" s="54" t="n">
        <v>1730</v>
      </c>
      <c r="F1734" s="61" t="n">
        <v>0.293179</v>
      </c>
      <c r="G1734" s="61" t="n">
        <v>0.2692</v>
      </c>
      <c r="H1734" s="34" t="n">
        <f aca="false">NORMSINV(F1734)</f>
        <v>-0.544121305693482</v>
      </c>
      <c r="I1734" s="34" t="n">
        <f aca="false">NORMSINV(G1734)</f>
        <v>-0.615234298440823</v>
      </c>
      <c r="J1734" s="59" t="n">
        <f aca="false">mc_s0*EXP((mc_mu-mc_vol^2/2)*mc_t1+mc_vol*SQRT(mc_t1)*H1734)</f>
        <v>1088.21041733508</v>
      </c>
      <c r="K1734" s="59" t="n">
        <f aca="false">J1734*EXP((mc_mu-mc_vol^2/2)*(mc_t2-mc_t1)+mc_vol*SQRT(mc_t2-mc_t1)*I1734)</f>
        <v>1005.74090377989</v>
      </c>
      <c r="L1734" s="31" t="n">
        <f aca="false">(t1_usd*J1734+t2_usd*K1734)/1000</f>
        <v>9528.38063852735</v>
      </c>
    </row>
    <row r="1735" customFormat="false" ht="15" hidden="false" customHeight="false" outlineLevel="0" collapsed="false">
      <c r="E1735" s="54" t="n">
        <v>1731</v>
      </c>
      <c r="F1735" s="61" t="n">
        <v>0.371018</v>
      </c>
      <c r="G1735" s="61" t="n">
        <v>0.084137</v>
      </c>
      <c r="H1735" s="34" t="n">
        <f aca="false">NORMSINV(F1735)</f>
        <v>-0.329158352972496</v>
      </c>
      <c r="I1735" s="34" t="n">
        <f aca="false">NORMSINV(G1735)</f>
        <v>-1.37777100759097</v>
      </c>
      <c r="J1735" s="59" t="n">
        <f aca="false">mc_s0*EXP((mc_mu-mc_vol^2/2)*mc_t1+mc_vol*SQRT(mc_t1)*H1735)</f>
        <v>1110.78653399382</v>
      </c>
      <c r="K1735" s="59" t="n">
        <f aca="false">J1735*EXP((mc_mu-mc_vol^2/2)*(mc_t2-mc_t1)+mc_vol*SQRT(mc_t2-mc_t1)*I1735)</f>
        <v>910.36260995227</v>
      </c>
      <c r="L1735" s="31" t="n">
        <f aca="false">(t1_usd*J1735+t2_usd*K1735)/1000</f>
        <v>9505.19469686606</v>
      </c>
    </row>
    <row r="1736" customFormat="false" ht="15" hidden="false" customHeight="false" outlineLevel="0" collapsed="false">
      <c r="E1736" s="54" t="n">
        <v>1732</v>
      </c>
      <c r="F1736" s="61" t="n">
        <v>0.536464</v>
      </c>
      <c r="G1736" s="61" t="n">
        <v>0.184551</v>
      </c>
      <c r="H1736" s="34" t="n">
        <f aca="false">NORMSINV(F1736)</f>
        <v>0.0915293326095219</v>
      </c>
      <c r="I1736" s="34" t="n">
        <f aca="false">NORMSINV(G1736)</f>
        <v>-0.898156726550744</v>
      </c>
      <c r="J1736" s="59" t="n">
        <f aca="false">mc_s0*EXP((mc_mu-mc_vol^2/2)*mc_t1+mc_vol*SQRT(mc_t1)*H1736)</f>
        <v>1156.33271626504</v>
      </c>
      <c r="K1736" s="59" t="n">
        <f aca="false">J1736*EXP((mc_mu-mc_vol^2/2)*(mc_t2-mc_t1)+mc_vol*SQRT(mc_t2-mc_t1)*I1736)</f>
        <v>1022.09746552169</v>
      </c>
      <c r="L1736" s="31" t="n">
        <f aca="false">(t1_usd*J1736+t2_usd*K1736)/1000</f>
        <v>10036.3141983465</v>
      </c>
    </row>
    <row r="1737" customFormat="false" ht="15" hidden="false" customHeight="false" outlineLevel="0" collapsed="false">
      <c r="E1737" s="54" t="n">
        <v>1733</v>
      </c>
      <c r="F1737" s="61" t="n">
        <v>0.115837</v>
      </c>
      <c r="G1737" s="61" t="n">
        <v>0.649385</v>
      </c>
      <c r="H1737" s="34" t="n">
        <f aca="false">NORMSINV(F1737)</f>
        <v>-1.19605781054217</v>
      </c>
      <c r="I1737" s="34" t="n">
        <f aca="false">NORMSINV(G1737)</f>
        <v>0.38366062491782</v>
      </c>
      <c r="J1737" s="59" t="n">
        <f aca="false">mc_s0*EXP((mc_mu-mc_vol^2/2)*mc_t1+mc_vol*SQRT(mc_t1)*H1737)</f>
        <v>1022.50944048325</v>
      </c>
      <c r="K1737" s="59" t="n">
        <f aca="false">J1737*EXP((mc_mu-mc_vol^2/2)*(mc_t2-mc_t1)+mc_vol*SQRT(mc_t2-mc_t1)*I1737)</f>
        <v>1106.13156072765</v>
      </c>
      <c r="L1737" s="31" t="n">
        <f aca="false">(t1_usd*J1737+t2_usd*K1737)/1000</f>
        <v>9259.21604876531</v>
      </c>
    </row>
    <row r="1738" customFormat="false" ht="15" hidden="false" customHeight="false" outlineLevel="0" collapsed="false">
      <c r="E1738" s="54" t="n">
        <v>1734</v>
      </c>
      <c r="F1738" s="61" t="n">
        <v>0.325524</v>
      </c>
      <c r="G1738" s="61" t="n">
        <v>0.588933</v>
      </c>
      <c r="H1738" s="34" t="n">
        <f aca="false">NORMSINV(F1738)</f>
        <v>-0.452306769282311</v>
      </c>
      <c r="I1738" s="34" t="n">
        <f aca="false">NORMSINV(G1738)</f>
        <v>0.224801113243832</v>
      </c>
      <c r="J1738" s="59" t="n">
        <f aca="false">mc_s0*EXP((mc_mu-mc_vol^2/2)*mc_t1+mc_vol*SQRT(mc_t1)*H1738)</f>
        <v>1097.79639530606</v>
      </c>
      <c r="K1738" s="59" t="n">
        <f aca="false">J1738*EXP((mc_mu-mc_vol^2/2)*(mc_t2-mc_t1)+mc_vol*SQRT(mc_t2-mc_t1)*I1738)</f>
        <v>1158.21348767367</v>
      </c>
      <c r="L1738" s="31" t="n">
        <f aca="false">(t1_usd*J1738+t2_usd*K1738)/1000</f>
        <v>9885.18039372238</v>
      </c>
    </row>
    <row r="1739" customFormat="false" ht="15" hidden="false" customHeight="false" outlineLevel="0" collapsed="false">
      <c r="E1739" s="54" t="n">
        <v>1735</v>
      </c>
      <c r="F1739" s="61" t="n">
        <v>0.719493</v>
      </c>
      <c r="G1739" s="61" t="n">
        <v>0.405332</v>
      </c>
      <c r="H1739" s="34" t="n">
        <f aca="false">NORMSINV(F1739)</f>
        <v>0.581336032985739</v>
      </c>
      <c r="I1739" s="34" t="n">
        <f aca="false">NORMSINV(G1739)</f>
        <v>-0.239569515143834</v>
      </c>
      <c r="J1739" s="59" t="n">
        <f aca="false">mc_s0*EXP((mc_mu-mc_vol^2/2)*mc_t1+mc_vol*SQRT(mc_t1)*H1739)</f>
        <v>1211.7203994606</v>
      </c>
      <c r="K1739" s="59" t="n">
        <f aca="false">J1739*EXP((mc_mu-mc_vol^2/2)*(mc_t2-mc_t1)+mc_vol*SQRT(mc_t2-mc_t1)*I1739)</f>
        <v>1188.19261557549</v>
      </c>
      <c r="L1739" s="31" t="n">
        <f aca="false">(t1_usd*J1739+t2_usd*K1739)/1000</f>
        <v>10739.6087658176</v>
      </c>
    </row>
    <row r="1740" customFormat="false" ht="15" hidden="false" customHeight="false" outlineLevel="0" collapsed="false">
      <c r="E1740" s="54" t="n">
        <v>1736</v>
      </c>
      <c r="F1740" s="61" t="n">
        <v>0.169706</v>
      </c>
      <c r="G1740" s="61" t="n">
        <v>0.299175</v>
      </c>
      <c r="H1740" s="34" t="n">
        <f aca="false">NORMSINV(F1740)</f>
        <v>-0.955327707331608</v>
      </c>
      <c r="I1740" s="34" t="n">
        <f aca="false">NORMSINV(G1740)</f>
        <v>-0.526774777900586</v>
      </c>
      <c r="J1740" s="59" t="n">
        <f aca="false">mc_s0*EXP((mc_mu-mc_vol^2/2)*mc_t1+mc_vol*SQRT(mc_t1)*H1740)</f>
        <v>1046.29464468195</v>
      </c>
      <c r="K1740" s="59" t="n">
        <f aca="false">J1740*EXP((mc_mu-mc_vol^2/2)*(mc_t2-mc_t1)+mc_vol*SQRT(mc_t2-mc_t1)*I1740)</f>
        <v>980.57670242788</v>
      </c>
      <c r="L1740" s="31" t="n">
        <f aca="false">(t1_usd*J1740+t2_usd*K1740)/1000</f>
        <v>9187.15824738661</v>
      </c>
    </row>
    <row r="1741" customFormat="false" ht="15" hidden="false" customHeight="false" outlineLevel="0" collapsed="false">
      <c r="E1741" s="54" t="n">
        <v>1737</v>
      </c>
      <c r="F1741" s="61" t="n">
        <v>0.431916</v>
      </c>
      <c r="G1741" s="61" t="n">
        <v>0.553667</v>
      </c>
      <c r="H1741" s="34" t="n">
        <f aca="false">NORMSINV(F1741)</f>
        <v>-0.171498258084223</v>
      </c>
      <c r="I1741" s="34" t="n">
        <f aca="false">NORMSINV(G1741)</f>
        <v>0.134931542865565</v>
      </c>
      <c r="J1741" s="59" t="n">
        <f aca="false">mc_s0*EXP((mc_mu-mc_vol^2/2)*mc_t1+mc_vol*SQRT(mc_t1)*H1741)</f>
        <v>1127.64169881714</v>
      </c>
      <c r="K1741" s="59" t="n">
        <f aca="false">J1741*EXP((mc_mu-mc_vol^2/2)*(mc_t2-mc_t1)+mc_vol*SQRT(mc_t2-mc_t1)*I1741)</f>
        <v>1172.97053988291</v>
      </c>
      <c r="L1741" s="31" t="n">
        <f aca="false">(t1_usd*J1741+t2_usd*K1741)/1000</f>
        <v>10122.1359174975</v>
      </c>
    </row>
    <row r="1742" customFormat="false" ht="15" hidden="false" customHeight="false" outlineLevel="0" collapsed="false">
      <c r="E1742" s="54" t="n">
        <v>1738</v>
      </c>
      <c r="F1742" s="61" t="n">
        <v>0.874758</v>
      </c>
      <c r="G1742" s="61" t="n">
        <v>0.557702</v>
      </c>
      <c r="H1742" s="34" t="n">
        <f aca="false">NORMSINV(F1742)</f>
        <v>1.1491745811423</v>
      </c>
      <c r="I1742" s="34" t="n">
        <f aca="false">NORMSINV(G1742)</f>
        <v>0.145145493446248</v>
      </c>
      <c r="J1742" s="59" t="n">
        <f aca="false">mc_s0*EXP((mc_mu-mc_vol^2/2)*mc_t1+mc_vol*SQRT(mc_t1)*H1742)</f>
        <v>1279.26103690985</v>
      </c>
      <c r="K1742" s="59" t="n">
        <f aca="false">J1742*EXP((mc_mu-mc_vol^2/2)*(mc_t2-mc_t1)+mc_vol*SQRT(mc_t2-mc_t1)*I1742)</f>
        <v>1332.82831892573</v>
      </c>
      <c r="L1742" s="31" t="n">
        <f aca="false">(t1_usd*J1742+t2_usd*K1742)/1000</f>
        <v>11487.2010643278</v>
      </c>
    </row>
    <row r="1743" customFormat="false" ht="15" hidden="false" customHeight="false" outlineLevel="0" collapsed="false">
      <c r="E1743" s="54" t="n">
        <v>1739</v>
      </c>
      <c r="F1743" s="61" t="n">
        <v>0.346537</v>
      </c>
      <c r="G1743" s="61" t="n">
        <v>0.269051</v>
      </c>
      <c r="H1743" s="34" t="n">
        <f aca="false">NORMSINV(F1743)</f>
        <v>-0.394686861813448</v>
      </c>
      <c r="I1743" s="34" t="n">
        <f aca="false">NORMSINV(G1743)</f>
        <v>-0.615685665252708</v>
      </c>
      <c r="J1743" s="59" t="n">
        <f aca="false">mc_s0*EXP((mc_mu-mc_vol^2/2)*mc_t1+mc_vol*SQRT(mc_t1)*H1743)</f>
        <v>1103.85533086998</v>
      </c>
      <c r="K1743" s="59" t="n">
        <f aca="false">J1743*EXP((mc_mu-mc_vol^2/2)*(mc_t2-mc_t1)+mc_vol*SQRT(mc_t2-mc_t1)*I1743)</f>
        <v>1020.12760827203</v>
      </c>
      <c r="L1743" s="31" t="n">
        <f aca="false">(t1_usd*J1743+t2_usd*K1743)/1000</f>
        <v>9665.22977180669</v>
      </c>
    </row>
    <row r="1744" customFormat="false" ht="15" hidden="false" customHeight="false" outlineLevel="0" collapsed="false">
      <c r="E1744" s="54" t="n">
        <v>1740</v>
      </c>
      <c r="F1744" s="61" t="n">
        <v>0.19216</v>
      </c>
      <c r="G1744" s="61" t="n">
        <v>0.976561</v>
      </c>
      <c r="H1744" s="34" t="n">
        <f aca="false">NORMSINV(F1744)</f>
        <v>-0.869964142934406</v>
      </c>
      <c r="I1744" s="34" t="n">
        <f aca="false">NORMSINV(G1744)</f>
        <v>1.9874007919511</v>
      </c>
      <c r="J1744" s="59" t="n">
        <f aca="false">mc_s0*EXP((mc_mu-mc_vol^2/2)*mc_t1+mc_vol*SQRT(mc_t1)*H1744)</f>
        <v>1054.86116890851</v>
      </c>
      <c r="K1744" s="59" t="n">
        <f aca="false">J1744*EXP((mc_mu-mc_vol^2/2)*(mc_t2-mc_t1)+mc_vol*SQRT(mc_t2-mc_t1)*I1744)</f>
        <v>1469.25682932084</v>
      </c>
      <c r="L1744" s="31" t="n">
        <f aca="false">(t1_usd*J1744+t2_usd*K1744)/1000</f>
        <v>10175.6161580691</v>
      </c>
    </row>
    <row r="1745" customFormat="false" ht="15" hidden="false" customHeight="false" outlineLevel="0" collapsed="false">
      <c r="E1745" s="54" t="n">
        <v>1741</v>
      </c>
      <c r="F1745" s="61" t="n">
        <v>0.425768</v>
      </c>
      <c r="G1745" s="61" t="n">
        <v>0.651077</v>
      </c>
      <c r="H1745" s="34" t="n">
        <f aca="false">NORMSINV(F1745)</f>
        <v>-0.187158961764654</v>
      </c>
      <c r="I1745" s="34" t="n">
        <f aca="false">NORMSINV(G1745)</f>
        <v>0.388229775793054</v>
      </c>
      <c r="J1745" s="59" t="n">
        <f aca="false">mc_s0*EXP((mc_mu-mc_vol^2/2)*mc_t1+mc_vol*SQRT(mc_t1)*H1745)</f>
        <v>1125.95606262477</v>
      </c>
      <c r="K1745" s="59" t="n">
        <f aca="false">J1745*EXP((mc_mu-mc_vol^2/2)*(mc_t2-mc_t1)+mc_vol*SQRT(mc_t2-mc_t1)*I1745)</f>
        <v>1218.91556404052</v>
      </c>
      <c r="L1745" s="31" t="n">
        <f aca="false">(t1_usd*J1745+t2_usd*K1745)/1000</f>
        <v>10197.6320100503</v>
      </c>
    </row>
    <row r="1746" customFormat="false" ht="15" hidden="false" customHeight="false" outlineLevel="0" collapsed="false">
      <c r="E1746" s="54" t="n">
        <v>1742</v>
      </c>
      <c r="F1746" s="61" t="n">
        <v>0.920471</v>
      </c>
      <c r="G1746" s="61" t="n">
        <v>0.662362</v>
      </c>
      <c r="H1746" s="34" t="n">
        <f aca="false">NORMSINV(F1746)</f>
        <v>1.40824680903512</v>
      </c>
      <c r="I1746" s="34" t="n">
        <f aca="false">NORMSINV(G1746)</f>
        <v>0.418918084276583</v>
      </c>
      <c r="J1746" s="59" t="n">
        <f aca="false">mc_s0*EXP((mc_mu-mc_vol^2/2)*mc_t1+mc_vol*SQRT(mc_t1)*H1746)</f>
        <v>1311.31421990154</v>
      </c>
      <c r="K1746" s="59" t="n">
        <f aca="false">J1746*EXP((mc_mu-mc_vol^2/2)*(mc_t2-mc_t1)+mc_vol*SQRT(mc_t2-mc_t1)*I1746)</f>
        <v>1426.45906857833</v>
      </c>
      <c r="L1746" s="31" t="n">
        <f aca="false">(t1_usd*J1746+t2_usd*K1746)/1000</f>
        <v>11889.4717696096</v>
      </c>
    </row>
    <row r="1747" customFormat="false" ht="15" hidden="false" customHeight="false" outlineLevel="0" collapsed="false">
      <c r="E1747" s="54" t="n">
        <v>1743</v>
      </c>
      <c r="F1747" s="61" t="n">
        <v>0.029967</v>
      </c>
      <c r="G1747" s="61" t="n">
        <v>0.395542</v>
      </c>
      <c r="H1747" s="34" t="n">
        <f aca="false">NORMSINV(F1747)</f>
        <v>-1.88127882441358</v>
      </c>
      <c r="I1747" s="34" t="n">
        <f aca="false">NORMSINV(G1747)</f>
        <v>-0.26490324300977</v>
      </c>
      <c r="J1747" s="59" t="n">
        <f aca="false">mc_s0*EXP((mc_mu-mc_vol^2/2)*mc_t1+mc_vol*SQRT(mc_t1)*H1747)</f>
        <v>957.725316207211</v>
      </c>
      <c r="K1747" s="59" t="n">
        <f aca="false">J1747*EXP((mc_mu-mc_vol^2/2)*(mc_t2-mc_t1)+mc_vol*SQRT(mc_t2-mc_t1)*I1747)</f>
        <v>935.387387757143</v>
      </c>
      <c r="L1747" s="31" t="n">
        <f aca="false">(t1_usd*J1747+t2_usd*K1747)/1000</f>
        <v>8481.31325018905</v>
      </c>
    </row>
    <row r="1748" customFormat="false" ht="15" hidden="false" customHeight="false" outlineLevel="0" collapsed="false">
      <c r="E1748" s="54" t="n">
        <v>1744</v>
      </c>
      <c r="F1748" s="61" t="n">
        <v>0.317374</v>
      </c>
      <c r="G1748" s="61" t="n">
        <v>0.5637</v>
      </c>
      <c r="H1748" s="34" t="n">
        <f aca="false">NORMSINV(F1748)</f>
        <v>-0.475054679736193</v>
      </c>
      <c r="I1748" s="34" t="n">
        <f aca="false">NORMSINV(G1748)</f>
        <v>0.16035682257588</v>
      </c>
      <c r="J1748" s="59" t="n">
        <f aca="false">mc_s0*EXP((mc_mu-mc_vol^2/2)*mc_t1+mc_vol*SQRT(mc_t1)*H1748)</f>
        <v>1095.41353931055</v>
      </c>
      <c r="K1748" s="59" t="n">
        <f aca="false">J1748*EXP((mc_mu-mc_vol^2/2)*(mc_t2-mc_t1)+mc_vol*SQRT(mc_t2-mc_t1)*I1748)</f>
        <v>1144.02162878117</v>
      </c>
      <c r="L1748" s="31" t="n">
        <f aca="false">(t1_usd*J1748+t2_usd*K1748)/1000</f>
        <v>9841.53586985808</v>
      </c>
    </row>
    <row r="1749" customFormat="false" ht="15" hidden="false" customHeight="false" outlineLevel="0" collapsed="false">
      <c r="E1749" s="54" t="n">
        <v>1745</v>
      </c>
      <c r="F1749" s="61" t="n">
        <v>0.375623</v>
      </c>
      <c r="G1749" s="61" t="n">
        <v>0.41141</v>
      </c>
      <c r="H1749" s="34" t="n">
        <f aca="false">NORMSINV(F1749)</f>
        <v>-0.316996840023666</v>
      </c>
      <c r="I1749" s="34" t="n">
        <f aca="false">NORMSINV(G1749)</f>
        <v>-0.223919425663113</v>
      </c>
      <c r="J1749" s="59" t="n">
        <f aca="false">mc_s0*EXP((mc_mu-mc_vol^2/2)*mc_t1+mc_vol*SQRT(mc_t1)*H1749)</f>
        <v>1112.07768413272</v>
      </c>
      <c r="K1749" s="59" t="n">
        <f aca="false">J1749*EXP((mc_mu-mc_vol^2/2)*(mc_t2-mc_t1)+mc_vol*SQRT(mc_t2-mc_t1)*I1749)</f>
        <v>1093.17748077038</v>
      </c>
      <c r="L1749" s="31" t="n">
        <f aca="false">(t1_usd*J1749+t2_usd*K1749)/1000</f>
        <v>9861.58100239278</v>
      </c>
    </row>
    <row r="1750" customFormat="false" ht="15" hidden="false" customHeight="false" outlineLevel="0" collapsed="false">
      <c r="E1750" s="54" t="n">
        <v>1746</v>
      </c>
      <c r="F1750" s="61" t="n">
        <v>0.936833</v>
      </c>
      <c r="G1750" s="61" t="n">
        <v>0.468448</v>
      </c>
      <c r="H1750" s="34" t="n">
        <f aca="false">NORMSINV(F1750)</f>
        <v>1.52871948400507</v>
      </c>
      <c r="I1750" s="34" t="n">
        <f aca="false">NORMSINV(G1750)</f>
        <v>-0.0791717679476095</v>
      </c>
      <c r="J1750" s="59" t="n">
        <f aca="false">mc_s0*EXP((mc_mu-mc_vol^2/2)*mc_t1+mc_vol*SQRT(mc_t1)*H1750)</f>
        <v>1326.49181180542</v>
      </c>
      <c r="K1750" s="59" t="n">
        <f aca="false">J1750*EXP((mc_mu-mc_vol^2/2)*(mc_t2-mc_t1)+mc_vol*SQRT(mc_t2-mc_t1)*I1750)</f>
        <v>1334.03407483857</v>
      </c>
      <c r="L1750" s="31" t="n">
        <f aca="false">(t1_usd*J1750+t2_usd*K1750)/1000</f>
        <v>11820.1074248312</v>
      </c>
    </row>
    <row r="1751" customFormat="false" ht="15" hidden="false" customHeight="false" outlineLevel="0" collapsed="false">
      <c r="E1751" s="54" t="n">
        <v>1747</v>
      </c>
      <c r="F1751" s="61" t="n">
        <v>0.163381</v>
      </c>
      <c r="G1751" s="61" t="n">
        <v>0.357007</v>
      </c>
      <c r="H1751" s="34" t="n">
        <f aca="false">NORMSINV(F1751)</f>
        <v>-0.9806568284822</v>
      </c>
      <c r="I1751" s="34" t="n">
        <f aca="false">NORMSINV(G1751)</f>
        <v>-0.366470528720316</v>
      </c>
      <c r="J1751" s="59" t="n">
        <f aca="false">mc_s0*EXP((mc_mu-mc_vol^2/2)*mc_t1+mc_vol*SQRT(mc_t1)*H1751)</f>
        <v>1043.76619048805</v>
      </c>
      <c r="K1751" s="59" t="n">
        <f aca="false">J1751*EXP((mc_mu-mc_vol^2/2)*(mc_t2-mc_t1)+mc_vol*SQRT(mc_t2-mc_t1)*I1751)</f>
        <v>1003.23416546062</v>
      </c>
      <c r="L1751" s="31" t="n">
        <f aca="false">(t1_usd*J1751+t2_usd*K1751)/1000</f>
        <v>9212.50824779154</v>
      </c>
    </row>
    <row r="1752" customFormat="false" ht="15" hidden="false" customHeight="false" outlineLevel="0" collapsed="false">
      <c r="E1752" s="54" t="n">
        <v>1748</v>
      </c>
      <c r="F1752" s="61" t="n">
        <v>0.472637</v>
      </c>
      <c r="G1752" s="61" t="n">
        <v>0.942011</v>
      </c>
      <c r="H1752" s="34" t="n">
        <f aca="false">NORMSINV(F1752)</f>
        <v>-0.0686427368320473</v>
      </c>
      <c r="I1752" s="34" t="n">
        <f aca="false">NORMSINV(G1752)</f>
        <v>1.57188165404176</v>
      </c>
      <c r="J1752" s="59" t="n">
        <f aca="false">mc_s0*EXP((mc_mu-mc_vol^2/2)*mc_t1+mc_vol*SQRT(mc_t1)*H1752)</f>
        <v>1138.77541665348</v>
      </c>
      <c r="K1752" s="59" t="n">
        <f aca="false">J1752*EXP((mc_mu-mc_vol^2/2)*(mc_t2-mc_t1)+mc_vol*SQRT(mc_t2-mc_t1)*I1752)</f>
        <v>1485.59898629101</v>
      </c>
      <c r="L1752" s="31" t="n">
        <f aca="false">(t1_usd*J1752+t2_usd*K1752)/1000</f>
        <v>10794.0659905273</v>
      </c>
    </row>
    <row r="1753" customFormat="false" ht="15" hidden="false" customHeight="false" outlineLevel="0" collapsed="false">
      <c r="E1753" s="54" t="n">
        <v>1749</v>
      </c>
      <c r="F1753" s="61" t="n">
        <v>0.68625</v>
      </c>
      <c r="G1753" s="61" t="n">
        <v>0.553956</v>
      </c>
      <c r="H1753" s="34" t="n">
        <f aca="false">NORMSINV(F1753)</f>
        <v>0.48524861595813</v>
      </c>
      <c r="I1753" s="34" t="n">
        <f aca="false">NORMSINV(G1753)</f>
        <v>0.135662619210439</v>
      </c>
      <c r="J1753" s="59" t="n">
        <f aca="false">mc_s0*EXP((mc_mu-mc_vol^2/2)*mc_t1+mc_vol*SQRT(mc_t1)*H1753)</f>
        <v>1200.64948178425</v>
      </c>
      <c r="K1753" s="59" t="n">
        <f aca="false">J1753*EXP((mc_mu-mc_vol^2/2)*(mc_t2-mc_t1)+mc_vol*SQRT(mc_t2-mc_t1)*I1753)</f>
        <v>1249.05698212686</v>
      </c>
      <c r="L1753" s="31" t="n">
        <f aca="false">(t1_usd*J1753+t2_usd*K1753)/1000</f>
        <v>10777.7546385308</v>
      </c>
    </row>
    <row r="1754" customFormat="false" ht="15" hidden="false" customHeight="false" outlineLevel="0" collapsed="false">
      <c r="E1754" s="54" t="n">
        <v>1750</v>
      </c>
      <c r="F1754" s="61" t="n">
        <v>0.528502</v>
      </c>
      <c r="G1754" s="61" t="n">
        <v>0.474163</v>
      </c>
      <c r="H1754" s="34" t="n">
        <f aca="false">NORMSINV(F1754)</f>
        <v>0.0715048056435889</v>
      </c>
      <c r="I1754" s="34" t="n">
        <f aca="false">NORMSINV(G1754)</f>
        <v>-0.0648090948917267</v>
      </c>
      <c r="J1754" s="59" t="n">
        <f aca="false">mc_s0*EXP((mc_mu-mc_vol^2/2)*mc_t1+mc_vol*SQRT(mc_t1)*H1754)</f>
        <v>1154.12300242264</v>
      </c>
      <c r="K1754" s="59" t="n">
        <f aca="false">J1754*EXP((mc_mu-mc_vol^2/2)*(mc_t2-mc_t1)+mc_vol*SQRT(mc_t2-mc_t1)*I1754)</f>
        <v>1163.31533795401</v>
      </c>
      <c r="L1754" s="31" t="n">
        <f aca="false">(t1_usd*J1754+t2_usd*K1754)/1000</f>
        <v>10289.1601590711</v>
      </c>
    </row>
    <row r="1755" customFormat="false" ht="15" hidden="false" customHeight="false" outlineLevel="0" collapsed="false">
      <c r="E1755" s="54" t="n">
        <v>1751</v>
      </c>
      <c r="F1755" s="61" t="n">
        <v>0.176563</v>
      </c>
      <c r="G1755" s="61" t="n">
        <v>0.599002</v>
      </c>
      <c r="H1755" s="34" t="n">
        <f aca="false">NORMSINV(F1755)</f>
        <v>-0.928542948814527</v>
      </c>
      <c r="I1755" s="34" t="n">
        <f aca="false">NORMSINV(G1755)</f>
        <v>0.250764745264454</v>
      </c>
      <c r="J1755" s="59" t="n">
        <f aca="false">mc_s0*EXP((mc_mu-mc_vol^2/2)*mc_t1+mc_vol*SQRT(mc_t1)*H1755)</f>
        <v>1048.97506985301</v>
      </c>
      <c r="K1755" s="59" t="n">
        <f aca="false">J1755*EXP((mc_mu-mc_vol^2/2)*(mc_t2-mc_t1)+mc_vol*SQRT(mc_t2-mc_t1)*I1755)</f>
        <v>1111.2428602844</v>
      </c>
      <c r="L1755" s="31" t="n">
        <f aca="false">(t1_usd*J1755+t2_usd*K1755)/1000</f>
        <v>9454.18692351143</v>
      </c>
    </row>
    <row r="1756" customFormat="false" ht="15" hidden="false" customHeight="false" outlineLevel="0" collapsed="false">
      <c r="E1756" s="54" t="n">
        <v>1752</v>
      </c>
      <c r="F1756" s="61" t="n">
        <v>0.996405</v>
      </c>
      <c r="G1756" s="61" t="n">
        <v>0.536595</v>
      </c>
      <c r="H1756" s="34" t="n">
        <f aca="false">NORMSINV(F1756)</f>
        <v>2.68791358999738</v>
      </c>
      <c r="I1756" s="34" t="n">
        <f aca="false">NORMSINV(G1756)</f>
        <v>0.0918590842527463</v>
      </c>
      <c r="J1756" s="59" t="n">
        <f aca="false">mc_s0*EXP((mc_mu-mc_vol^2/2)*mc_t1+mc_vol*SQRT(mc_t1)*H1756)</f>
        <v>1481.81395991279</v>
      </c>
      <c r="K1756" s="59" t="n">
        <f aca="false">J1756*EXP((mc_mu-mc_vol^2/2)*(mc_t2-mc_t1)+mc_vol*SQRT(mc_t2-mc_t1)*I1756)</f>
        <v>1530.95244342018</v>
      </c>
      <c r="L1756" s="31" t="n">
        <f aca="false">(t1_usd*J1756+t2_usd*K1756)/1000</f>
        <v>13281.5073618879</v>
      </c>
    </row>
    <row r="1757" customFormat="false" ht="15" hidden="false" customHeight="false" outlineLevel="0" collapsed="false">
      <c r="E1757" s="54" t="n">
        <v>1753</v>
      </c>
      <c r="F1757" s="61" t="n">
        <v>0.13196</v>
      </c>
      <c r="G1757" s="61" t="n">
        <v>0.426747</v>
      </c>
      <c r="H1757" s="34" t="n">
        <f aca="false">NORMSINV(F1757)</f>
        <v>-1.11717384826015</v>
      </c>
      <c r="I1757" s="34" t="n">
        <f aca="false">NORMSINV(G1757)</f>
        <v>-0.184662195203721</v>
      </c>
      <c r="J1757" s="59" t="n">
        <f aca="false">mc_s0*EXP((mc_mu-mc_vol^2/2)*mc_t1+mc_vol*SQRT(mc_t1)*H1757)</f>
        <v>1030.24335857888</v>
      </c>
      <c r="K1757" s="59" t="n">
        <f aca="false">J1757*EXP((mc_mu-mc_vol^2/2)*(mc_t2-mc_t1)+mc_vol*SQRT(mc_t2-mc_t1)*I1757)</f>
        <v>1019.01883676614</v>
      </c>
      <c r="L1757" s="31" t="n">
        <f aca="false">(t1_usd*J1757+t2_usd*K1757)/1000</f>
        <v>9147.83929990779</v>
      </c>
    </row>
    <row r="1758" customFormat="false" ht="15" hidden="false" customHeight="false" outlineLevel="0" collapsed="false">
      <c r="E1758" s="54" t="n">
        <v>1754</v>
      </c>
      <c r="F1758" s="61" t="n">
        <v>0.370551</v>
      </c>
      <c r="G1758" s="61" t="n">
        <v>0.794828</v>
      </c>
      <c r="H1758" s="34" t="n">
        <f aca="false">NORMSINV(F1758)</f>
        <v>-0.330394363395477</v>
      </c>
      <c r="I1758" s="34" t="n">
        <f aca="false">NORMSINV(G1758)</f>
        <v>0.823288415136117</v>
      </c>
      <c r="J1758" s="59" t="n">
        <f aca="false">mc_s0*EXP((mc_mu-mc_vol^2/2)*mc_t1+mc_vol*SQRT(mc_t1)*H1758)</f>
        <v>1110.65539454595</v>
      </c>
      <c r="K1758" s="59" t="n">
        <f aca="false">J1758*EXP((mc_mu-mc_vol^2/2)*(mc_t2-mc_t1)+mc_vol*SQRT(mc_t2-mc_t1)*I1758)</f>
        <v>1287.67934734208</v>
      </c>
      <c r="L1758" s="31" t="n">
        <f aca="false">(t1_usd*J1758+t2_usd*K1758)/1000</f>
        <v>10221.1785217716</v>
      </c>
    </row>
    <row r="1759" customFormat="false" ht="15" hidden="false" customHeight="false" outlineLevel="0" collapsed="false">
      <c r="E1759" s="54" t="n">
        <v>1755</v>
      </c>
      <c r="F1759" s="61" t="n">
        <v>0.513894</v>
      </c>
      <c r="G1759" s="61" t="n">
        <v>0.002905</v>
      </c>
      <c r="H1759" s="34" t="n">
        <f aca="false">NORMSINV(F1759)</f>
        <v>0.0348341366884109</v>
      </c>
      <c r="I1759" s="34" t="n">
        <f aca="false">NORMSINV(G1759)</f>
        <v>-2.75831601940893</v>
      </c>
      <c r="J1759" s="59" t="n">
        <f aca="false">mc_s0*EXP((mc_mu-mc_vol^2/2)*mc_t1+mc_vol*SQRT(mc_t1)*H1759)</f>
        <v>1150.08732207166</v>
      </c>
      <c r="K1759" s="59" t="n">
        <f aca="false">J1759*EXP((mc_mu-mc_vol^2/2)*(mc_t2-mc_t1)+mc_vol*SQRT(mc_t2-mc_t1)*I1759)</f>
        <v>758.276432395327</v>
      </c>
      <c r="L1759" s="31" t="n">
        <f aca="false">(t1_usd*J1759+t2_usd*K1759)/1000</f>
        <v>9491.33647605277</v>
      </c>
    </row>
    <row r="1760" customFormat="false" ht="15" hidden="false" customHeight="false" outlineLevel="0" collapsed="false">
      <c r="E1760" s="54" t="n">
        <v>1756</v>
      </c>
      <c r="F1760" s="61" t="n">
        <v>0.089584</v>
      </c>
      <c r="G1760" s="61" t="n">
        <v>0.665458</v>
      </c>
      <c r="H1760" s="34" t="n">
        <f aca="false">NORMSINV(F1760)</f>
        <v>-1.34332117010746</v>
      </c>
      <c r="I1760" s="34" t="n">
        <f aca="false">NORMSINV(G1760)</f>
        <v>0.42740550289767</v>
      </c>
      <c r="J1760" s="59" t="n">
        <f aca="false">mc_s0*EXP((mc_mu-mc_vol^2/2)*mc_t1+mc_vol*SQRT(mc_t1)*H1760)</f>
        <v>1008.22651225449</v>
      </c>
      <c r="K1760" s="59" t="n">
        <f aca="false">J1760*EXP((mc_mu-mc_vol^2/2)*(mc_t2-mc_t1)+mc_vol*SQRT(mc_t2-mc_t1)*I1760)</f>
        <v>1098.22557141341</v>
      </c>
      <c r="L1760" s="31" t="n">
        <f aca="false">(t1_usd*J1760+t2_usd*K1760)/1000</f>
        <v>9144.21417146689</v>
      </c>
    </row>
    <row r="1761" customFormat="false" ht="15" hidden="false" customHeight="false" outlineLevel="0" collapsed="false">
      <c r="E1761" s="54" t="n">
        <v>1757</v>
      </c>
      <c r="F1761" s="61" t="n">
        <v>0.613599</v>
      </c>
      <c r="G1761" s="61" t="n">
        <v>0.92915</v>
      </c>
      <c r="H1761" s="34" t="n">
        <f aca="false">NORMSINV(F1761)</f>
        <v>0.288711711114839</v>
      </c>
      <c r="I1761" s="34" t="n">
        <f aca="false">NORMSINV(G1761)</f>
        <v>1.46948974981417</v>
      </c>
      <c r="J1761" s="59" t="n">
        <f aca="false">mc_s0*EXP((mc_mu-mc_vol^2/2)*mc_t1+mc_vol*SQRT(mc_t1)*H1761)</f>
        <v>1178.31909140777</v>
      </c>
      <c r="K1761" s="59" t="n">
        <f aca="false">J1761*EXP((mc_mu-mc_vol^2/2)*(mc_t2-mc_t1)+mc_vol*SQRT(mc_t2-mc_t1)*I1761)</f>
        <v>1512.58062595683</v>
      </c>
      <c r="L1761" s="31" t="n">
        <f aca="false">(t1_usd*J1761+t2_usd*K1761)/1000</f>
        <v>11122.1368291724</v>
      </c>
    </row>
    <row r="1762" customFormat="false" ht="15" hidden="false" customHeight="false" outlineLevel="0" collapsed="false">
      <c r="E1762" s="54" t="n">
        <v>1758</v>
      </c>
      <c r="F1762" s="61" t="n">
        <v>0.759579</v>
      </c>
      <c r="G1762" s="61" t="n">
        <v>0.891794</v>
      </c>
      <c r="H1762" s="34" t="n">
        <f aca="false">NORMSINV(F1762)</f>
        <v>0.70494895976217</v>
      </c>
      <c r="I1762" s="34" t="n">
        <f aca="false">NORMSINV(G1762)</f>
        <v>1.23612527825731</v>
      </c>
      <c r="J1762" s="59" t="n">
        <f aca="false">mc_s0*EXP((mc_mu-mc_vol^2/2)*mc_t1+mc_vol*SQRT(mc_t1)*H1762)</f>
        <v>1226.11299492937</v>
      </c>
      <c r="K1762" s="59" t="n">
        <f aca="false">J1762*EXP((mc_mu-mc_vol^2/2)*(mc_t2-mc_t1)+mc_vol*SQRT(mc_t2-mc_t1)*I1762)</f>
        <v>1517.10002908806</v>
      </c>
      <c r="L1762" s="31" t="n">
        <f aca="false">(t1_usd*J1762+t2_usd*K1762)/1000</f>
        <v>11465.2810197729</v>
      </c>
    </row>
    <row r="1763" customFormat="false" ht="15" hidden="false" customHeight="false" outlineLevel="0" collapsed="false">
      <c r="E1763" s="54" t="n">
        <v>1759</v>
      </c>
      <c r="F1763" s="61" t="n">
        <v>0.036517</v>
      </c>
      <c r="G1763" s="61" t="n">
        <v>0.828431</v>
      </c>
      <c r="H1763" s="34" t="n">
        <f aca="false">NORMSINV(F1763)</f>
        <v>-1.79261816394289</v>
      </c>
      <c r="I1763" s="34" t="n">
        <f aca="false">NORMSINV(G1763)</f>
        <v>0.947983213495354</v>
      </c>
      <c r="J1763" s="59" t="n">
        <f aca="false">mc_s0*EXP((mc_mu-mc_vol^2/2)*mc_t1+mc_vol*SQRT(mc_t1)*H1763)</f>
        <v>965.870830657665</v>
      </c>
      <c r="K1763" s="59" t="n">
        <f aca="false">J1763*EXP((mc_mu-mc_vol^2/2)*(mc_t2-mc_t1)+mc_vol*SQRT(mc_t2-mc_t1)*I1763)</f>
        <v>1142.04125860555</v>
      </c>
      <c r="L1763" s="31" t="n">
        <f aca="false">(t1_usd*J1763+t2_usd*K1763)/1000</f>
        <v>8930.9742059542</v>
      </c>
    </row>
    <row r="1764" customFormat="false" ht="15" hidden="false" customHeight="false" outlineLevel="0" collapsed="false">
      <c r="E1764" s="54" t="n">
        <v>1760</v>
      </c>
      <c r="F1764" s="61" t="n">
        <v>0.750681</v>
      </c>
      <c r="G1764" s="61" t="n">
        <v>0.609294</v>
      </c>
      <c r="H1764" s="34" t="n">
        <f aca="false">NORMSINV(F1764)</f>
        <v>0.676634317256241</v>
      </c>
      <c r="I1764" s="34" t="n">
        <f aca="false">NORMSINV(G1764)</f>
        <v>0.277479427951676</v>
      </c>
      <c r="J1764" s="59" t="n">
        <f aca="false">mc_s0*EXP((mc_mu-mc_vol^2/2)*mc_t1+mc_vol*SQRT(mc_t1)*H1764)</f>
        <v>1222.80122129818</v>
      </c>
      <c r="K1764" s="59" t="n">
        <f aca="false">J1764*EXP((mc_mu-mc_vol^2/2)*(mc_t2-mc_t1)+mc_vol*SQRT(mc_t2-mc_t1)*I1764)</f>
        <v>1300.85258159555</v>
      </c>
      <c r="L1764" s="31" t="n">
        <f aca="false">(t1_usd*J1764+t2_usd*K1764)/1000</f>
        <v>11031.2284541188</v>
      </c>
    </row>
    <row r="1765" customFormat="false" ht="15" hidden="false" customHeight="false" outlineLevel="0" collapsed="false">
      <c r="E1765" s="54" t="n">
        <v>1761</v>
      </c>
      <c r="F1765" s="61" t="n">
        <v>0.65678</v>
      </c>
      <c r="G1765" s="61" t="n">
        <v>0.180681</v>
      </c>
      <c r="H1765" s="34" t="n">
        <f aca="false">NORMSINV(F1765)</f>
        <v>0.403690943749644</v>
      </c>
      <c r="I1765" s="34" t="n">
        <f aca="false">NORMSINV(G1765)</f>
        <v>-0.912772888547878</v>
      </c>
      <c r="J1765" s="59" t="n">
        <f aca="false">mc_s0*EXP((mc_mu-mc_vol^2/2)*mc_t1+mc_vol*SQRT(mc_t1)*H1765)</f>
        <v>1191.33203975911</v>
      </c>
      <c r="K1765" s="59" t="n">
        <f aca="false">J1765*EXP((mc_mu-mc_vol^2/2)*(mc_t2-mc_t1)+mc_vol*SQRT(mc_t2-mc_t1)*I1765)</f>
        <v>1050.61104604142</v>
      </c>
      <c r="L1765" s="31" t="n">
        <f aca="false">(t1_usd*J1765+t2_usd*K1765)/1000</f>
        <v>10335.4852657925</v>
      </c>
    </row>
    <row r="1766" customFormat="false" ht="15" hidden="false" customHeight="false" outlineLevel="0" collapsed="false">
      <c r="E1766" s="54" t="n">
        <v>1762</v>
      </c>
      <c r="F1766" s="61" t="n">
        <v>0.50248</v>
      </c>
      <c r="G1766" s="61" t="n">
        <v>0.937512</v>
      </c>
      <c r="H1766" s="34" t="n">
        <f aca="false">NORMSINV(F1766)</f>
        <v>0.00621647815973894</v>
      </c>
      <c r="I1766" s="34" t="n">
        <f aca="false">NORMSINV(G1766)</f>
        <v>1.53421812536759</v>
      </c>
      <c r="J1766" s="59" t="n">
        <f aca="false">mc_s0*EXP((mc_mu-mc_vol^2/2)*mc_t1+mc_vol*SQRT(mc_t1)*H1766)</f>
        <v>1146.9476976631</v>
      </c>
      <c r="K1766" s="59" t="n">
        <f aca="false">J1766*EXP((mc_mu-mc_vol^2/2)*(mc_t2-mc_t1)+mc_vol*SQRT(mc_t2-mc_t1)*I1766)</f>
        <v>1487.40543224547</v>
      </c>
      <c r="L1766" s="31" t="n">
        <f aca="false">(t1_usd*J1766+t2_usd*K1766)/1000</f>
        <v>10854.7042049081</v>
      </c>
    </row>
    <row r="1767" customFormat="false" ht="15" hidden="false" customHeight="false" outlineLevel="0" collapsed="false">
      <c r="E1767" s="54" t="n">
        <v>1763</v>
      </c>
      <c r="F1767" s="61" t="n">
        <v>0.894913</v>
      </c>
      <c r="G1767" s="61" t="n">
        <v>0.519455</v>
      </c>
      <c r="H1767" s="34" t="n">
        <f aca="false">NORMSINV(F1767)</f>
        <v>1.25308712800424</v>
      </c>
      <c r="I1767" s="34" t="n">
        <f aca="false">NORMSINV(G1767)</f>
        <v>0.0487857983160571</v>
      </c>
      <c r="J1767" s="59" t="n">
        <f aca="false">mc_s0*EXP((mc_mu-mc_vol^2/2)*mc_t1+mc_vol*SQRT(mc_t1)*H1767)</f>
        <v>1292.02220994224</v>
      </c>
      <c r="K1767" s="59" t="n">
        <f aca="false">J1767*EXP((mc_mu-mc_vol^2/2)*(mc_t2-mc_t1)+mc_vol*SQRT(mc_t2-mc_t1)*I1767)</f>
        <v>1325.83653385787</v>
      </c>
      <c r="L1767" s="31" t="n">
        <f aca="false">(t1_usd*J1767+t2_usd*K1767)/1000</f>
        <v>11563.2448839256</v>
      </c>
    </row>
    <row r="1768" customFormat="false" ht="15" hidden="false" customHeight="false" outlineLevel="0" collapsed="false">
      <c r="E1768" s="54" t="n">
        <v>1764</v>
      </c>
      <c r="F1768" s="61" t="n">
        <v>0.802075</v>
      </c>
      <c r="G1768" s="61" t="n">
        <v>0.180985</v>
      </c>
      <c r="H1768" s="34" t="n">
        <f aca="false">NORMSINV(F1768)</f>
        <v>0.849056237686874</v>
      </c>
      <c r="I1768" s="34" t="n">
        <f aca="false">NORMSINV(G1768)</f>
        <v>-0.911617702866997</v>
      </c>
      <c r="J1768" s="59" t="n">
        <f aca="false">mc_s0*EXP((mc_mu-mc_vol^2/2)*mc_t1+mc_vol*SQRT(mc_t1)*H1768)</f>
        <v>1243.10776251906</v>
      </c>
      <c r="K1768" s="59" t="n">
        <f aca="false">J1768*EXP((mc_mu-mc_vol^2/2)*(mc_t2-mc_t1)+mc_vol*SQRT(mc_t2-mc_t1)*I1768)</f>
        <v>1096.47057699937</v>
      </c>
      <c r="L1768" s="31" t="n">
        <f aca="false">(t1_usd*J1768+t2_usd*K1768)/1000</f>
        <v>10785.0484339322</v>
      </c>
    </row>
    <row r="1769" customFormat="false" ht="15" hidden="false" customHeight="false" outlineLevel="0" collapsed="false">
      <c r="E1769" s="54" t="n">
        <v>1765</v>
      </c>
      <c r="F1769" s="61" t="n">
        <v>0.187302</v>
      </c>
      <c r="G1769" s="61" t="n">
        <v>0.412293</v>
      </c>
      <c r="H1769" s="34" t="n">
        <f aca="false">NORMSINV(F1769)</f>
        <v>-0.887882423928355</v>
      </c>
      <c r="I1769" s="34" t="n">
        <f aca="false">NORMSINV(G1769)</f>
        <v>-0.221650457388102</v>
      </c>
      <c r="J1769" s="59" t="n">
        <f aca="false">mc_s0*EXP((mc_mu-mc_vol^2/2)*mc_t1+mc_vol*SQRT(mc_t1)*H1769)</f>
        <v>1053.05721149318</v>
      </c>
      <c r="K1769" s="59" t="n">
        <f aca="false">J1769*EXP((mc_mu-mc_vol^2/2)*(mc_t2-mc_t1)+mc_vol*SQRT(mc_t2-mc_t1)*I1769)</f>
        <v>1035.53029706636</v>
      </c>
      <c r="L1769" s="31" t="n">
        <f aca="false">(t1_usd*J1769+t2_usd*K1769)/1000</f>
        <v>9338.90804487835</v>
      </c>
    </row>
    <row r="1770" customFormat="false" ht="15" hidden="false" customHeight="false" outlineLevel="0" collapsed="false">
      <c r="E1770" s="54" t="n">
        <v>1766</v>
      </c>
      <c r="F1770" s="61" t="n">
        <v>0.709688</v>
      </c>
      <c r="G1770" s="61" t="n">
        <v>0.730699</v>
      </c>
      <c r="H1770" s="34" t="n">
        <f aca="false">NORMSINV(F1770)</f>
        <v>0.552473478890383</v>
      </c>
      <c r="I1770" s="34" t="n">
        <f aca="false">NORMSINV(G1770)</f>
        <v>0.614928409655719</v>
      </c>
      <c r="J1770" s="59" t="n">
        <f aca="false">mc_s0*EXP((mc_mu-mc_vol^2/2)*mc_t1+mc_vol*SQRT(mc_t1)*H1770)</f>
        <v>1208.384254714</v>
      </c>
      <c r="K1770" s="59" t="n">
        <f aca="false">J1770*EXP((mc_mu-mc_vol^2/2)*(mc_t2-mc_t1)+mc_vol*SQRT(mc_t2-mc_t1)*I1770)</f>
        <v>1355.72908112368</v>
      </c>
      <c r="L1770" s="31" t="n">
        <f aca="false">(t1_usd*J1770+t2_usd*K1770)/1000</f>
        <v>11034.575037133</v>
      </c>
    </row>
    <row r="1771" customFormat="false" ht="15" hidden="false" customHeight="false" outlineLevel="0" collapsed="false">
      <c r="E1771" s="54" t="n">
        <v>1767</v>
      </c>
      <c r="F1771" s="61" t="n">
        <v>0.140771</v>
      </c>
      <c r="G1771" s="61" t="n">
        <v>0.769992</v>
      </c>
      <c r="H1771" s="34" t="n">
        <f aca="false">NORMSINV(F1771)</f>
        <v>-1.07686182496363</v>
      </c>
      <c r="I1771" s="34" t="n">
        <f aca="false">NORMSINV(G1771)</f>
        <v>0.738820503153214</v>
      </c>
      <c r="J1771" s="59" t="n">
        <f aca="false">mc_s0*EXP((mc_mu-mc_vol^2/2)*mc_t1+mc_vol*SQRT(mc_t1)*H1771)</f>
        <v>1034.21817530415</v>
      </c>
      <c r="K1771" s="59" t="n">
        <f aca="false">J1771*EXP((mc_mu-mc_vol^2/2)*(mc_t2-mc_t1)+mc_vol*SQRT(mc_t2-mc_t1)*I1771)</f>
        <v>1183.20344351862</v>
      </c>
      <c r="L1771" s="31" t="n">
        <f aca="false">(t1_usd*J1771+t2_usd*K1771)/1000</f>
        <v>9487.61376981443</v>
      </c>
    </row>
    <row r="1772" customFormat="false" ht="15" hidden="false" customHeight="false" outlineLevel="0" collapsed="false">
      <c r="E1772" s="54" t="n">
        <v>1768</v>
      </c>
      <c r="F1772" s="61" t="n">
        <v>0.925183</v>
      </c>
      <c r="G1772" s="61" t="n">
        <v>0.808888</v>
      </c>
      <c r="H1772" s="34" t="n">
        <f aca="false">NORMSINV(F1772)</f>
        <v>1.44082545559051</v>
      </c>
      <c r="I1772" s="34" t="n">
        <f aca="false">NORMSINV(G1772)</f>
        <v>0.873805839124987</v>
      </c>
      <c r="J1772" s="59" t="n">
        <f aca="false">mc_s0*EXP((mc_mu-mc_vol^2/2)*mc_t1+mc_vol*SQRT(mc_t1)*H1772)</f>
        <v>1315.40138324886</v>
      </c>
      <c r="K1772" s="59" t="n">
        <f aca="false">J1772*EXP((mc_mu-mc_vol^2/2)*(mc_t2-mc_t1)+mc_vol*SQRT(mc_t2-mc_t1)*I1772)</f>
        <v>1537.24893348742</v>
      </c>
      <c r="L1772" s="31" t="n">
        <f aca="false">(t1_usd*J1772+t2_usd*K1772)/1000</f>
        <v>12128.5826563681</v>
      </c>
    </row>
    <row r="1773" customFormat="false" ht="15" hidden="false" customHeight="false" outlineLevel="0" collapsed="false">
      <c r="E1773" s="54" t="n">
        <v>1769</v>
      </c>
      <c r="F1773" s="61" t="n">
        <v>0.904372</v>
      </c>
      <c r="G1773" s="61" t="n">
        <v>0.887362</v>
      </c>
      <c r="H1773" s="34" t="n">
        <f aca="false">NORMSINV(F1773)</f>
        <v>1.30687255053451</v>
      </c>
      <c r="I1773" s="34" t="n">
        <f aca="false">NORMSINV(G1773)</f>
        <v>1.21261774831143</v>
      </c>
      <c r="J1773" s="59" t="n">
        <f aca="false">mc_s0*EXP((mc_mu-mc_vol^2/2)*mc_t1+mc_vol*SQRT(mc_t1)*H1773)</f>
        <v>1298.6773459242</v>
      </c>
      <c r="K1773" s="59" t="n">
        <f aca="false">J1773*EXP((mc_mu-mc_vol^2/2)*(mc_t2-mc_t1)+mc_vol*SQRT(mc_t2-mc_t1)*I1773)</f>
        <v>1600.94380207345</v>
      </c>
      <c r="L1773" s="31" t="n">
        <f aca="false">(t1_usd*J1773+t2_usd*K1773)/1000</f>
        <v>12132.534645409</v>
      </c>
    </row>
    <row r="1774" customFormat="false" ht="15" hidden="false" customHeight="false" outlineLevel="0" collapsed="false">
      <c r="E1774" s="54" t="n">
        <v>1770</v>
      </c>
      <c r="F1774" s="61" t="n">
        <v>0.596132</v>
      </c>
      <c r="G1774" s="61" t="n">
        <v>0.684223</v>
      </c>
      <c r="H1774" s="34" t="n">
        <f aca="false">NORMSINV(F1774)</f>
        <v>0.243347771595682</v>
      </c>
      <c r="I1774" s="34" t="n">
        <f aca="false">NORMSINV(G1774)</f>
        <v>0.479540729815175</v>
      </c>
      <c r="J1774" s="59" t="n">
        <f aca="false">mc_s0*EXP((mc_mu-mc_vol^2/2)*mc_t1+mc_vol*SQRT(mc_t1)*H1774)</f>
        <v>1173.2241486886</v>
      </c>
      <c r="K1774" s="59" t="n">
        <f aca="false">J1774*EXP((mc_mu-mc_vol^2/2)*(mc_t2-mc_t1)+mc_vol*SQRT(mc_t2-mc_t1)*I1774)</f>
        <v>1288.49478042474</v>
      </c>
      <c r="L1774" s="31" t="n">
        <f aca="false">(t1_usd*J1774+t2_usd*K1774)/1000</f>
        <v>10660.7091236272</v>
      </c>
    </row>
    <row r="1775" customFormat="false" ht="15" hidden="false" customHeight="false" outlineLevel="0" collapsed="false">
      <c r="E1775" s="54" t="n">
        <v>1771</v>
      </c>
      <c r="F1775" s="61" t="n">
        <v>0.647001</v>
      </c>
      <c r="G1775" s="61" t="n">
        <v>0.030469</v>
      </c>
      <c r="H1775" s="34" t="n">
        <f aca="false">NORMSINV(F1775)</f>
        <v>0.377236308242925</v>
      </c>
      <c r="I1775" s="34" t="n">
        <f aca="false">NORMSINV(G1775)</f>
        <v>-1.87394504491888</v>
      </c>
      <c r="J1775" s="59" t="n">
        <f aca="false">mc_s0*EXP((mc_mu-mc_vol^2/2)*mc_t1+mc_vol*SQRT(mc_t1)*H1775)</f>
        <v>1188.32532496634</v>
      </c>
      <c r="K1775" s="59" t="n">
        <f aca="false">J1775*EXP((mc_mu-mc_vol^2/2)*(mc_t2-mc_t1)+mc_vol*SQRT(mc_t2-mc_t1)*I1775)</f>
        <v>900.658363724823</v>
      </c>
      <c r="L1775" s="31" t="n">
        <f aca="false">(t1_usd*J1775+t2_usd*K1775)/1000</f>
        <v>10029.5281658416</v>
      </c>
    </row>
    <row r="1776" customFormat="false" ht="15" hidden="false" customHeight="false" outlineLevel="0" collapsed="false">
      <c r="E1776" s="54" t="n">
        <v>1772</v>
      </c>
      <c r="F1776" s="61" t="n">
        <v>0.438077</v>
      </c>
      <c r="G1776" s="61" t="n">
        <v>0.615741</v>
      </c>
      <c r="H1776" s="34" t="n">
        <f aca="false">NORMSINV(F1776)</f>
        <v>-0.155846521186781</v>
      </c>
      <c r="I1776" s="34" t="n">
        <f aca="false">NORMSINV(G1776)</f>
        <v>0.294313968212353</v>
      </c>
      <c r="J1776" s="59" t="n">
        <f aca="false">mc_s0*EXP((mc_mu-mc_vol^2/2)*mc_t1+mc_vol*SQRT(mc_t1)*H1776)</f>
        <v>1129.32889122139</v>
      </c>
      <c r="K1776" s="59" t="n">
        <f aca="false">J1776*EXP((mc_mu-mc_vol^2/2)*(mc_t2-mc_t1)+mc_vol*SQRT(mc_t2-mc_t1)*I1776)</f>
        <v>1204.60550966596</v>
      </c>
      <c r="L1776" s="31" t="n">
        <f aca="false">(t1_usd*J1776+t2_usd*K1776)/1000</f>
        <v>10194.052706915</v>
      </c>
    </row>
    <row r="1777" customFormat="false" ht="15" hidden="false" customHeight="false" outlineLevel="0" collapsed="false">
      <c r="E1777" s="54" t="n">
        <v>1773</v>
      </c>
      <c r="F1777" s="61" t="n">
        <v>0.986058</v>
      </c>
      <c r="G1777" s="61" t="n">
        <v>0.033624</v>
      </c>
      <c r="H1777" s="34" t="n">
        <f aca="false">NORMSINV(F1777)</f>
        <v>2.19891453355414</v>
      </c>
      <c r="I1777" s="34" t="n">
        <f aca="false">NORMSINV(G1777)</f>
        <v>-1.83001296615744</v>
      </c>
      <c r="J1777" s="59" t="n">
        <f aca="false">mc_s0*EXP((mc_mu-mc_vol^2/2)*mc_t1+mc_vol*SQRT(mc_t1)*H1777)</f>
        <v>1414.1894106664</v>
      </c>
      <c r="K1777" s="59" t="n">
        <f aca="false">J1777*EXP((mc_mu-mc_vol^2/2)*(mc_t2-mc_t1)+mc_vol*SQRT(mc_t2-mc_t1)*I1777)</f>
        <v>1079.29237200722</v>
      </c>
      <c r="L1777" s="31" t="n">
        <f aca="false">(t1_usd*J1777+t2_usd*K1777)/1000</f>
        <v>11949.9813814785</v>
      </c>
    </row>
    <row r="1778" customFormat="false" ht="15" hidden="false" customHeight="false" outlineLevel="0" collapsed="false">
      <c r="E1778" s="54" t="n">
        <v>1774</v>
      </c>
      <c r="F1778" s="61" t="n">
        <v>0.252689</v>
      </c>
      <c r="G1778" s="61" t="n">
        <v>0.161032</v>
      </c>
      <c r="H1778" s="34" t="n">
        <f aca="false">NORMSINV(F1778)</f>
        <v>-0.666051786630278</v>
      </c>
      <c r="I1778" s="34" t="n">
        <f aca="false">NORMSINV(G1778)</f>
        <v>-0.990225318439344</v>
      </c>
      <c r="J1778" s="59" t="n">
        <f aca="false">mc_s0*EXP((mc_mu-mc_vol^2/2)*mc_t1+mc_vol*SQRT(mc_t1)*H1778)</f>
        <v>1075.60942550445</v>
      </c>
      <c r="K1778" s="59" t="n">
        <f aca="false">J1778*EXP((mc_mu-mc_vol^2/2)*(mc_t2-mc_t1)+mc_vol*SQRT(mc_t2-mc_t1)*I1778)</f>
        <v>937.049971720954</v>
      </c>
      <c r="L1778" s="31" t="n">
        <f aca="false">(t1_usd*J1778+t2_usd*K1778)/1000</f>
        <v>9309.66092480096</v>
      </c>
    </row>
    <row r="1779" customFormat="false" ht="15" hidden="false" customHeight="false" outlineLevel="0" collapsed="false">
      <c r="E1779" s="54" t="n">
        <v>1775</v>
      </c>
      <c r="F1779" s="61" t="n">
        <v>0.746388</v>
      </c>
      <c r="G1779" s="61" t="n">
        <v>0.319079</v>
      </c>
      <c r="H1779" s="34" t="n">
        <f aca="false">NORMSINV(F1779)</f>
        <v>0.663166381548523</v>
      </c>
      <c r="I1779" s="34" t="n">
        <f aca="false">NORMSINV(G1779)</f>
        <v>-0.470275778790428</v>
      </c>
      <c r="J1779" s="59" t="n">
        <f aca="false">mc_s0*EXP((mc_mu-mc_vol^2/2)*mc_t1+mc_vol*SQRT(mc_t1)*H1779)</f>
        <v>1221.22910807994</v>
      </c>
      <c r="K1779" s="59" t="n">
        <f aca="false">J1779*EXP((mc_mu-mc_vol^2/2)*(mc_t2-mc_t1)+mc_vol*SQRT(mc_t2-mc_t1)*I1779)</f>
        <v>1154.75968070047</v>
      </c>
      <c r="L1779" s="31" t="n">
        <f aca="false">(t1_usd*J1779+t2_usd*K1779)/1000</f>
        <v>10742.6471498905</v>
      </c>
    </row>
    <row r="1780" customFormat="false" ht="15" hidden="false" customHeight="false" outlineLevel="0" collapsed="false">
      <c r="E1780" s="54" t="n">
        <v>1776</v>
      </c>
      <c r="F1780" s="61" t="n">
        <v>0.835406</v>
      </c>
      <c r="G1780" s="61" t="n">
        <v>0.202782</v>
      </c>
      <c r="H1780" s="34" t="n">
        <f aca="false">NORMSINV(F1780)</f>
        <v>0.975750742217234</v>
      </c>
      <c r="I1780" s="34" t="n">
        <f aca="false">NORMSINV(G1780)</f>
        <v>-0.831725329507611</v>
      </c>
      <c r="J1780" s="59" t="n">
        <f aca="false">mc_s0*EXP((mc_mu-mc_vol^2/2)*mc_t1+mc_vol*SQRT(mc_t1)*H1780)</f>
        <v>1258.24349394935</v>
      </c>
      <c r="K1780" s="59" t="n">
        <f aca="false">J1780*EXP((mc_mu-mc_vol^2/2)*(mc_t2-mc_t1)+mc_vol*SQRT(mc_t2-mc_t1)*I1780)</f>
        <v>1123.88242435161</v>
      </c>
      <c r="L1780" s="31" t="n">
        <f aca="false">(t1_usd*J1780+t2_usd*K1780)/1000</f>
        <v>10943.0810639135</v>
      </c>
    </row>
    <row r="1781" customFormat="false" ht="15" hidden="false" customHeight="false" outlineLevel="0" collapsed="false">
      <c r="E1781" s="54" t="n">
        <v>1777</v>
      </c>
      <c r="F1781" s="61" t="n">
        <v>0.770872</v>
      </c>
      <c r="G1781" s="61" t="n">
        <v>0.906858</v>
      </c>
      <c r="H1781" s="34" t="n">
        <f aca="false">NORMSINV(F1781)</f>
        <v>0.741721649507407</v>
      </c>
      <c r="I1781" s="34" t="n">
        <f aca="false">NORMSINV(G1781)</f>
        <v>1.32165217767415</v>
      </c>
      <c r="J1781" s="59" t="n">
        <f aca="false">mc_s0*EXP((mc_mu-mc_vol^2/2)*mc_t1+mc_vol*SQRT(mc_t1)*H1781)</f>
        <v>1230.42744176714</v>
      </c>
      <c r="K1781" s="59" t="n">
        <f aca="false">J1781*EXP((mc_mu-mc_vol^2/2)*(mc_t2-mc_t1)+mc_vol*SQRT(mc_t2-mc_t1)*I1781)</f>
        <v>1543.09743599796</v>
      </c>
      <c r="L1781" s="31" t="n">
        <f aca="false">(t1_usd*J1781+t2_usd*K1781)/1000</f>
        <v>11544.8772207661</v>
      </c>
    </row>
    <row r="1782" customFormat="false" ht="15" hidden="false" customHeight="false" outlineLevel="0" collapsed="false">
      <c r="E1782" s="54" t="n">
        <v>1778</v>
      </c>
      <c r="F1782" s="61" t="n">
        <v>0.185622</v>
      </c>
      <c r="G1782" s="61" t="n">
        <v>0.326162</v>
      </c>
      <c r="H1782" s="34" t="n">
        <f aca="false">NORMSINV(F1782)</f>
        <v>-0.894145588896338</v>
      </c>
      <c r="I1782" s="34" t="n">
        <f aca="false">NORMSINV(G1782)</f>
        <v>-0.450536003186267</v>
      </c>
      <c r="J1782" s="59" t="n">
        <f aca="false">mc_s0*EXP((mc_mu-mc_vol^2/2)*mc_t1+mc_vol*SQRT(mc_t1)*H1782)</f>
        <v>1052.42738320933</v>
      </c>
      <c r="K1782" s="59" t="n">
        <f aca="false">J1782*EXP((mc_mu-mc_vol^2/2)*(mc_t2-mc_t1)+mc_vol*SQRT(mc_t2-mc_t1)*I1782)</f>
        <v>998.246120290996</v>
      </c>
      <c r="L1782" s="31" t="n">
        <f aca="false">(t1_usd*J1782+t2_usd*K1782)/1000</f>
        <v>9263.65931101821</v>
      </c>
    </row>
    <row r="1783" customFormat="false" ht="15" hidden="false" customHeight="false" outlineLevel="0" collapsed="false">
      <c r="E1783" s="54" t="n">
        <v>1779</v>
      </c>
      <c r="F1783" s="61" t="n">
        <v>0.04668</v>
      </c>
      <c r="G1783" s="61" t="n">
        <v>0.065784</v>
      </c>
      <c r="H1783" s="34" t="n">
        <f aca="false">NORMSINV(F1783)</f>
        <v>-1.67793391897591</v>
      </c>
      <c r="I1783" s="34" t="n">
        <f aca="false">NORMSINV(G1783)</f>
        <v>-1.5079473603245</v>
      </c>
      <c r="J1783" s="59" t="n">
        <f aca="false">mc_s0*EXP((mc_mu-mc_vol^2/2)*mc_t1+mc_vol*SQRT(mc_t1)*H1783)</f>
        <v>976.510057439036</v>
      </c>
      <c r="K1783" s="59" t="n">
        <f aca="false">J1783*EXP((mc_mu-mc_vol^2/2)*(mc_t2-mc_t1)+mc_vol*SQRT(mc_t2-mc_t1)*I1783)</f>
        <v>784.063100080968</v>
      </c>
      <c r="L1783" s="31" t="n">
        <f aca="false">(t1_usd*J1783+t2_usd*K1783)/1000</f>
        <v>8325.29029222709</v>
      </c>
    </row>
    <row r="1784" customFormat="false" ht="15" hidden="false" customHeight="false" outlineLevel="0" collapsed="false">
      <c r="E1784" s="54" t="n">
        <v>1780</v>
      </c>
      <c r="F1784" s="61" t="n">
        <v>0.300315</v>
      </c>
      <c r="G1784" s="61" t="n">
        <v>0.070166</v>
      </c>
      <c r="H1784" s="34" t="n">
        <f aca="false">NORMSINV(F1784)</f>
        <v>-0.523494755073818</v>
      </c>
      <c r="I1784" s="34" t="n">
        <f aca="false">NORMSINV(G1784)</f>
        <v>-1.47455582029448</v>
      </c>
      <c r="J1784" s="59" t="n">
        <f aca="false">mc_s0*EXP((mc_mu-mc_vol^2/2)*mc_t1+mc_vol*SQRT(mc_t1)*H1784)</f>
        <v>1090.35663443711</v>
      </c>
      <c r="K1784" s="59" t="n">
        <f aca="false">J1784*EXP((mc_mu-mc_vol^2/2)*(mc_t2-mc_t1)+mc_vol*SQRT(mc_t2-mc_t1)*I1784)</f>
        <v>880.092346397316</v>
      </c>
      <c r="L1784" s="31" t="n">
        <f aca="false">(t1_usd*J1784+t2_usd*K1784)/1000</f>
        <v>9304.67189921466</v>
      </c>
    </row>
    <row r="1785" customFormat="false" ht="15" hidden="false" customHeight="false" outlineLevel="0" collapsed="false">
      <c r="E1785" s="54" t="n">
        <v>1781</v>
      </c>
      <c r="F1785" s="61" t="n">
        <v>0.262502</v>
      </c>
      <c r="G1785" s="61" t="n">
        <v>0.209326</v>
      </c>
      <c r="H1785" s="34" t="n">
        <f aca="false">NORMSINV(F1785)</f>
        <v>-0.635650878061933</v>
      </c>
      <c r="I1785" s="34" t="n">
        <f aca="false">NORMSINV(G1785)</f>
        <v>-0.808762100503844</v>
      </c>
      <c r="J1785" s="59" t="n">
        <f aca="false">mc_s0*EXP((mc_mu-mc_vol^2/2)*mc_t1+mc_vol*SQRT(mc_t1)*H1785)</f>
        <v>1078.73750768623</v>
      </c>
      <c r="K1785" s="59" t="n">
        <f aca="false">J1785*EXP((mc_mu-mc_vol^2/2)*(mc_t2-mc_t1)+mc_vol*SQRT(mc_t2-mc_t1)*I1785)</f>
        <v>967.038159175699</v>
      </c>
      <c r="L1785" s="31" t="n">
        <f aca="false">(t1_usd*J1785+t2_usd*K1785)/1000</f>
        <v>9388.53505623744</v>
      </c>
    </row>
    <row r="1786" customFormat="false" ht="15" hidden="false" customHeight="false" outlineLevel="0" collapsed="false">
      <c r="E1786" s="54" t="n">
        <v>1782</v>
      </c>
      <c r="F1786" s="61" t="n">
        <v>0.019201</v>
      </c>
      <c r="G1786" s="61" t="n">
        <v>0.583788</v>
      </c>
      <c r="H1786" s="34" t="n">
        <f aca="false">NORMSINV(F1786)</f>
        <v>-2.07053790747624</v>
      </c>
      <c r="I1786" s="34" t="n">
        <f aca="false">NORMSINV(G1786)</f>
        <v>0.211593731687019</v>
      </c>
      <c r="J1786" s="59" t="n">
        <f aca="false">mc_s0*EXP((mc_mu-mc_vol^2/2)*mc_t1+mc_vol*SQRT(mc_t1)*H1786)</f>
        <v>940.566624905086</v>
      </c>
      <c r="K1786" s="59" t="n">
        <f aca="false">J1786*EXP((mc_mu-mc_vol^2/2)*(mc_t2-mc_t1)+mc_vol*SQRT(mc_t2-mc_t1)*I1786)</f>
        <v>990.267313331282</v>
      </c>
      <c r="L1786" s="31" t="n">
        <f aca="false">(t1_usd*J1786+t2_usd*K1786)/1000</f>
        <v>8465.47426966503</v>
      </c>
    </row>
    <row r="1787" customFormat="false" ht="15" hidden="false" customHeight="false" outlineLevel="0" collapsed="false">
      <c r="E1787" s="54" t="n">
        <v>1783</v>
      </c>
      <c r="F1787" s="61" t="n">
        <v>0.680032</v>
      </c>
      <c r="G1787" s="61" t="n">
        <v>0.294809</v>
      </c>
      <c r="H1787" s="34" t="n">
        <f aca="false">NORMSINV(F1787)</f>
        <v>0.467788283705836</v>
      </c>
      <c r="I1787" s="34" t="n">
        <f aca="false">NORMSINV(G1787)</f>
        <v>-0.539389680603785</v>
      </c>
      <c r="J1787" s="59" t="n">
        <f aca="false">mc_s0*EXP((mc_mu-mc_vol^2/2)*mc_t1+mc_vol*SQRT(mc_t1)*H1787)</f>
        <v>1198.64863943718</v>
      </c>
      <c r="K1787" s="59" t="n">
        <f aca="false">J1787*EXP((mc_mu-mc_vol^2/2)*(mc_t2-mc_t1)+mc_vol*SQRT(mc_t2-mc_t1)*I1787)</f>
        <v>1121.13026762815</v>
      </c>
      <c r="L1787" s="31" t="n">
        <f aca="false">(t1_usd*J1787+t2_usd*K1787)/1000</f>
        <v>10520.6879845538</v>
      </c>
    </row>
    <row r="1788" customFormat="false" ht="15" hidden="false" customHeight="false" outlineLevel="0" collapsed="false">
      <c r="E1788" s="54" t="n">
        <v>1784</v>
      </c>
      <c r="F1788" s="61" t="n">
        <v>0.257111</v>
      </c>
      <c r="G1788" s="61" t="n">
        <v>0.937408</v>
      </c>
      <c r="H1788" s="34" t="n">
        <f aca="false">NORMSINV(F1788)</f>
        <v>-0.652277766928393</v>
      </c>
      <c r="I1788" s="34" t="n">
        <f aca="false">NORMSINV(G1788)</f>
        <v>1.53337290808315</v>
      </c>
      <c r="J1788" s="59" t="n">
        <f aca="false">mc_s0*EXP((mc_mu-mc_vol^2/2)*mc_t1+mc_vol*SQRT(mc_t1)*H1788)</f>
        <v>1077.02556908158</v>
      </c>
      <c r="K1788" s="59" t="n">
        <f aca="false">J1788*EXP((mc_mu-mc_vol^2/2)*(mc_t2-mc_t1)+mc_vol*SQRT(mc_t2-mc_t1)*I1788)</f>
        <v>1396.54172191523</v>
      </c>
      <c r="L1788" s="31" t="n">
        <f aca="false">(t1_usd*J1788+t2_usd*K1788)/1000</f>
        <v>10192.60825521</v>
      </c>
    </row>
    <row r="1789" customFormat="false" ht="15" hidden="false" customHeight="false" outlineLevel="0" collapsed="false">
      <c r="E1789" s="54" t="n">
        <v>1785</v>
      </c>
      <c r="F1789" s="61" t="n">
        <v>0.052007</v>
      </c>
      <c r="G1789" s="61" t="n">
        <v>0.687688</v>
      </c>
      <c r="H1789" s="34" t="n">
        <f aca="false">NORMSINV(F1789)</f>
        <v>-1.62569760408465</v>
      </c>
      <c r="I1789" s="34" t="n">
        <f aca="false">NORMSINV(G1789)</f>
        <v>0.489307517062422</v>
      </c>
      <c r="J1789" s="59" t="n">
        <f aca="false">mc_s0*EXP((mc_mu-mc_vol^2/2)*mc_t1+mc_vol*SQRT(mc_t1)*H1789)</f>
        <v>981.394775051913</v>
      </c>
      <c r="K1789" s="59" t="n">
        <f aca="false">J1789*EXP((mc_mu-mc_vol^2/2)*(mc_t2-mc_t1)+mc_vol*SQRT(mc_t2-mc_t1)*I1789)</f>
        <v>1079.47818099235</v>
      </c>
      <c r="L1789" s="31" t="n">
        <f aca="false">(t1_usd*J1789+t2_usd*K1789)/1000</f>
        <v>8920.77196924886</v>
      </c>
    </row>
    <row r="1790" customFormat="false" ht="15" hidden="false" customHeight="false" outlineLevel="0" collapsed="false">
      <c r="E1790" s="54" t="n">
        <v>1786</v>
      </c>
      <c r="F1790" s="61" t="n">
        <v>0.602466</v>
      </c>
      <c r="G1790" s="61" t="n">
        <v>0.822041</v>
      </c>
      <c r="H1790" s="34" t="n">
        <f aca="false">NORMSINV(F1790)</f>
        <v>0.259735249957171</v>
      </c>
      <c r="I1790" s="34" t="n">
        <f aca="false">NORMSINV(G1790)</f>
        <v>0.923171190081282</v>
      </c>
      <c r="J1790" s="59" t="n">
        <f aca="false">mc_s0*EXP((mc_mu-mc_vol^2/2)*mc_t1+mc_vol*SQRT(mc_t1)*H1790)</f>
        <v>1175.06212256889</v>
      </c>
      <c r="K1790" s="59" t="n">
        <f aca="false">J1790*EXP((mc_mu-mc_vol^2/2)*(mc_t2-mc_t1)+mc_vol*SQRT(mc_t2-mc_t1)*I1790)</f>
        <v>1383.96590069272</v>
      </c>
      <c r="L1790" s="31" t="n">
        <f aca="false">(t1_usd*J1790+t2_usd*K1790)/1000</f>
        <v>10854.9700692984</v>
      </c>
    </row>
    <row r="1791" customFormat="false" ht="15" hidden="false" customHeight="false" outlineLevel="0" collapsed="false">
      <c r="E1791" s="54" t="n">
        <v>1787</v>
      </c>
      <c r="F1791" s="61" t="n">
        <v>0.83326</v>
      </c>
      <c r="G1791" s="61" t="n">
        <v>0.860625</v>
      </c>
      <c r="H1791" s="34" t="n">
        <f aca="false">NORMSINV(F1791)</f>
        <v>0.967128099425883</v>
      </c>
      <c r="I1791" s="34" t="n">
        <f aca="false">NORMSINV(G1791)</f>
        <v>1.08313163296442</v>
      </c>
      <c r="J1791" s="59" t="n">
        <f aca="false">mc_s0*EXP((mc_mu-mc_vol^2/2)*mc_t1+mc_vol*SQRT(mc_t1)*H1791)</f>
        <v>1257.20755897622</v>
      </c>
      <c r="K1791" s="59" t="n">
        <f aca="false">J1791*EXP((mc_mu-mc_vol^2/2)*(mc_t2-mc_t1)+mc_vol*SQRT(mc_t2-mc_t1)*I1791)</f>
        <v>1518.51657163886</v>
      </c>
      <c r="L1791" s="31" t="n">
        <f aca="false">(t1_usd*J1791+t2_usd*K1791)/1000</f>
        <v>11685.6343989474</v>
      </c>
    </row>
    <row r="1792" customFormat="false" ht="15" hidden="false" customHeight="false" outlineLevel="0" collapsed="false">
      <c r="E1792" s="54" t="n">
        <v>1788</v>
      </c>
      <c r="F1792" s="61" t="n">
        <v>0.248957</v>
      </c>
      <c r="G1792" s="61" t="n">
        <v>0.915998</v>
      </c>
      <c r="H1792" s="34" t="n">
        <f aca="false">NORMSINV(F1792)</f>
        <v>-0.677775574802171</v>
      </c>
      <c r="I1792" s="34" t="n">
        <f aca="false">NORMSINV(G1792)</f>
        <v>1.37864576137623</v>
      </c>
      <c r="J1792" s="59" t="n">
        <f aca="false">mc_s0*EXP((mc_mu-mc_vol^2/2)*mc_t1+mc_vol*SQRT(mc_t1)*H1792)</f>
        <v>1074.40553870141</v>
      </c>
      <c r="K1792" s="59" t="n">
        <f aca="false">J1792*EXP((mc_mu-mc_vol^2/2)*(mc_t2-mc_t1)+mc_vol*SQRT(mc_t2-mc_t1)*I1792)</f>
        <v>1359.58488075622</v>
      </c>
      <c r="L1792" s="31" t="n">
        <f aca="false">(t1_usd*J1792+t2_usd*K1792)/1000</f>
        <v>10104.0500443467</v>
      </c>
    </row>
    <row r="1793" customFormat="false" ht="15" hidden="false" customHeight="false" outlineLevel="0" collapsed="false">
      <c r="E1793" s="54" t="n">
        <v>1789</v>
      </c>
      <c r="F1793" s="61" t="n">
        <v>0.125042</v>
      </c>
      <c r="G1793" s="61" t="n">
        <v>0.343513</v>
      </c>
      <c r="H1793" s="34" t="n">
        <f aca="false">NORMSINV(F1793)</f>
        <v>-1.15014537575078</v>
      </c>
      <c r="I1793" s="34" t="n">
        <f aca="false">NORMSINV(G1793)</f>
        <v>-0.402894279255202</v>
      </c>
      <c r="J1793" s="59" t="n">
        <f aca="false">mc_s0*EXP((mc_mu-mc_vol^2/2)*mc_t1+mc_vol*SQRT(mc_t1)*H1793)</f>
        <v>1027.00368384645</v>
      </c>
      <c r="K1793" s="59" t="n">
        <f aca="false">J1793*EXP((mc_mu-mc_vol^2/2)*(mc_t2-mc_t1)+mc_vol*SQRT(mc_t2-mc_t1)*I1793)</f>
        <v>981.472602514613</v>
      </c>
      <c r="L1793" s="31" t="n">
        <f aca="false">(t1_usd*J1793+t2_usd*K1793)/1000</f>
        <v>9053.82373170289</v>
      </c>
    </row>
    <row r="1794" customFormat="false" ht="15" hidden="false" customHeight="false" outlineLevel="0" collapsed="false">
      <c r="E1794" s="54" t="n">
        <v>1790</v>
      </c>
      <c r="F1794" s="61" t="n">
        <v>0.827487</v>
      </c>
      <c r="G1794" s="61" t="n">
        <v>0.933759</v>
      </c>
      <c r="H1794" s="34" t="n">
        <f aca="false">NORMSINV(F1794)</f>
        <v>0.94428114199067</v>
      </c>
      <c r="I1794" s="34" t="n">
        <f aca="false">NORMSINV(G1794)</f>
        <v>1.50438602691052</v>
      </c>
      <c r="J1794" s="59" t="n">
        <f aca="false">mc_s0*EXP((mc_mu-mc_vol^2/2)*mc_t1+mc_vol*SQRT(mc_t1)*H1794)</f>
        <v>1254.46681928562</v>
      </c>
      <c r="K1794" s="59" t="n">
        <f aca="false">J1794*EXP((mc_mu-mc_vol^2/2)*(mc_t2-mc_t1)+mc_vol*SQRT(mc_t2-mc_t1)*I1794)</f>
        <v>1619.2099496425</v>
      </c>
      <c r="L1794" s="31" t="n">
        <f aca="false">(t1_usd*J1794+t2_usd*K1794)/1000</f>
        <v>11857.7666393201</v>
      </c>
    </row>
    <row r="1795" customFormat="false" ht="15" hidden="false" customHeight="false" outlineLevel="0" collapsed="false">
      <c r="E1795" s="54" t="n">
        <v>1791</v>
      </c>
      <c r="F1795" s="61" t="n">
        <v>0.579809</v>
      </c>
      <c r="G1795" s="61" t="n">
        <v>0.448482</v>
      </c>
      <c r="H1795" s="34" t="n">
        <f aca="false">NORMSINV(F1795)</f>
        <v>0.201404879626667</v>
      </c>
      <c r="I1795" s="34" t="n">
        <f aca="false">NORMSINV(G1795)</f>
        <v>-0.129497503801438</v>
      </c>
      <c r="J1795" s="59" t="n">
        <f aca="false">mc_s0*EXP((mc_mu-mc_vol^2/2)*mc_t1+mc_vol*SQRT(mc_t1)*H1795)</f>
        <v>1168.53303556577</v>
      </c>
      <c r="K1795" s="59" t="n">
        <f aca="false">J1795*EXP((mc_mu-mc_vol^2/2)*(mc_t2-mc_t1)+mc_vol*SQRT(mc_t2-mc_t1)*I1795)</f>
        <v>1165.89370465308</v>
      </c>
      <c r="L1795" s="31" t="n">
        <f aca="false">(t1_usd*J1795+t2_usd*K1795)/1000</f>
        <v>10394.9292878013</v>
      </c>
    </row>
    <row r="1796" customFormat="false" ht="15" hidden="false" customHeight="false" outlineLevel="0" collapsed="false">
      <c r="E1796" s="54" t="n">
        <v>1792</v>
      </c>
      <c r="F1796" s="61" t="n">
        <v>0.769628</v>
      </c>
      <c r="G1796" s="61" t="n">
        <v>0.152648</v>
      </c>
      <c r="H1796" s="34" t="n">
        <f aca="false">NORMSINV(F1796)</f>
        <v>0.737622300592055</v>
      </c>
      <c r="I1796" s="34" t="n">
        <f aca="false">NORMSINV(G1796)</f>
        <v>-1.02514240377798</v>
      </c>
      <c r="J1796" s="59" t="n">
        <f aca="false">mc_s0*EXP((mc_mu-mc_vol^2/2)*mc_t1+mc_vol*SQRT(mc_t1)*H1796)</f>
        <v>1229.94572461003</v>
      </c>
      <c r="K1796" s="59" t="n">
        <f aca="false">J1796*EXP((mc_mu-mc_vol^2/2)*(mc_t2-mc_t1)+mc_vol*SQRT(mc_t2-mc_t1)*I1796)</f>
        <v>1065.62477670299</v>
      </c>
      <c r="L1796" s="31" t="n">
        <f aca="false">(t1_usd*J1796+t2_usd*K1796)/1000</f>
        <v>10634.3071480059</v>
      </c>
    </row>
    <row r="1797" customFormat="false" ht="15" hidden="false" customHeight="false" outlineLevel="0" collapsed="false">
      <c r="E1797" s="54" t="n">
        <v>1793</v>
      </c>
      <c r="F1797" s="61" t="n">
        <v>0.348498</v>
      </c>
      <c r="G1797" s="61" t="n">
        <v>0.21216</v>
      </c>
      <c r="H1797" s="34" t="n">
        <f aca="false">NORMSINV(F1797)</f>
        <v>-0.389378735401307</v>
      </c>
      <c r="I1797" s="34" t="n">
        <f aca="false">NORMSINV(G1797)</f>
        <v>-0.798948973727131</v>
      </c>
      <c r="J1797" s="59" t="n">
        <f aca="false">mc_s0*EXP((mc_mu-mc_vol^2/2)*mc_t1+mc_vol*SQRT(mc_t1)*H1797)</f>
        <v>1104.41517840954</v>
      </c>
      <c r="K1797" s="59" t="n">
        <f aca="false">J1797*EXP((mc_mu-mc_vol^2/2)*(mc_t2-mc_t1)+mc_vol*SQRT(mc_t2-mc_t1)*I1797)</f>
        <v>991.589290311629</v>
      </c>
      <c r="L1797" s="31" t="n">
        <f aca="false">(t1_usd*J1797+t2_usd*K1797)/1000</f>
        <v>9614.9259004589</v>
      </c>
    </row>
    <row r="1798" customFormat="false" ht="15" hidden="false" customHeight="false" outlineLevel="0" collapsed="false">
      <c r="E1798" s="54" t="n">
        <v>1794</v>
      </c>
      <c r="F1798" s="61" t="n">
        <v>0.399439</v>
      </c>
      <c r="G1798" s="61" t="n">
        <v>0.20092</v>
      </c>
      <c r="H1798" s="34" t="n">
        <f aca="false">NORMSINV(F1798)</f>
        <v>-0.254799450118866</v>
      </c>
      <c r="I1798" s="34" t="n">
        <f aca="false">NORMSINV(G1798)</f>
        <v>-0.838339602399714</v>
      </c>
      <c r="J1798" s="59" t="n">
        <f aca="false">mc_s0*EXP((mc_mu-mc_vol^2/2)*mc_t1+mc_vol*SQRT(mc_t1)*H1798)</f>
        <v>1118.7044908188</v>
      </c>
      <c r="K1798" s="59" t="n">
        <f aca="false">J1798*EXP((mc_mu-mc_vol^2/2)*(mc_t2-mc_t1)+mc_vol*SQRT(mc_t2-mc_t1)*I1798)</f>
        <v>998.203008665588</v>
      </c>
      <c r="L1798" s="31" t="n">
        <f aca="false">(t1_usd*J1798+t2_usd*K1798)/1000</f>
        <v>9727.51715219624</v>
      </c>
    </row>
    <row r="1799" customFormat="false" ht="15" hidden="false" customHeight="false" outlineLevel="0" collapsed="false">
      <c r="E1799" s="54" t="n">
        <v>1795</v>
      </c>
      <c r="F1799" s="61" t="n">
        <v>0.081892</v>
      </c>
      <c r="G1799" s="61" t="n">
        <v>0.183913</v>
      </c>
      <c r="H1799" s="34" t="n">
        <f aca="false">NORMSINV(F1799)</f>
        <v>-1.39245717892516</v>
      </c>
      <c r="I1799" s="34" t="n">
        <f aca="false">NORMSINV(G1799)</f>
        <v>-0.90055306325204</v>
      </c>
      <c r="J1799" s="59" t="n">
        <f aca="false">mc_s0*EXP((mc_mu-mc_vol^2/2)*mc_t1+mc_vol*SQRT(mc_t1)*H1799)</f>
        <v>1003.50538794277</v>
      </c>
      <c r="K1799" s="59" t="n">
        <f aca="false">J1799*EXP((mc_mu-mc_vol^2/2)*(mc_t2-mc_t1)+mc_vol*SQRT(mc_t2-mc_t1)*I1799)</f>
        <v>886.676497099791</v>
      </c>
      <c r="L1799" s="31" t="n">
        <f aca="false">(t1_usd*J1799+t2_usd*K1799)/1000</f>
        <v>8709.22306008901</v>
      </c>
    </row>
    <row r="1800" customFormat="false" ht="15" hidden="false" customHeight="false" outlineLevel="0" collapsed="false">
      <c r="E1800" s="54" t="n">
        <v>1796</v>
      </c>
      <c r="F1800" s="61" t="n">
        <v>0.720158</v>
      </c>
      <c r="G1800" s="61" t="n">
        <v>0.362556</v>
      </c>
      <c r="H1800" s="34" t="n">
        <f aca="false">NORMSINV(F1800)</f>
        <v>0.583310938829954</v>
      </c>
      <c r="I1800" s="34" t="n">
        <f aca="false">NORMSINV(G1800)</f>
        <v>-0.351635017704806</v>
      </c>
      <c r="J1800" s="59" t="n">
        <f aca="false">mc_s0*EXP((mc_mu-mc_vol^2/2)*mc_t1+mc_vol*SQRT(mc_t1)*H1800)</f>
        <v>1211.94900988437</v>
      </c>
      <c r="K1800" s="59" t="n">
        <f aca="false">J1800*EXP((mc_mu-mc_vol^2/2)*(mc_t2-mc_t1)+mc_vol*SQRT(mc_t2-mc_t1)*I1800)</f>
        <v>1167.61269099794</v>
      </c>
      <c r="L1800" s="31" t="n">
        <f aca="false">(t1_usd*J1800+t2_usd*K1800)/1000</f>
        <v>10702.1071820867</v>
      </c>
    </row>
    <row r="1801" customFormat="false" ht="15" hidden="false" customHeight="false" outlineLevel="0" collapsed="false">
      <c r="E1801" s="54" t="n">
        <v>1797</v>
      </c>
      <c r="F1801" s="61" t="n">
        <v>0.707877</v>
      </c>
      <c r="G1801" s="61" t="n">
        <v>0.884508</v>
      </c>
      <c r="H1801" s="34" t="n">
        <f aca="false">NORMSINV(F1801)</f>
        <v>0.547193210773395</v>
      </c>
      <c r="I1801" s="34" t="n">
        <f aca="false">NORMSINV(G1801)</f>
        <v>1.19782795958817</v>
      </c>
      <c r="J1801" s="59" t="n">
        <f aca="false">mc_s0*EXP((mc_mu-mc_vol^2/2)*mc_t1+mc_vol*SQRT(mc_t1)*H1801)</f>
        <v>1207.7749174178</v>
      </c>
      <c r="K1801" s="59" t="n">
        <f aca="false">J1801*EXP((mc_mu-mc_vol^2/2)*(mc_t2-mc_t1)+mc_vol*SQRT(mc_t2-mc_t1)*I1801)</f>
        <v>1485.41767702494</v>
      </c>
      <c r="L1801" s="31" t="n">
        <f aca="false">(t1_usd*J1801+t2_usd*K1801)/1000</f>
        <v>11276.718008272</v>
      </c>
    </row>
    <row r="1802" customFormat="false" ht="15" hidden="false" customHeight="false" outlineLevel="0" collapsed="false">
      <c r="E1802" s="54" t="n">
        <v>1798</v>
      </c>
      <c r="F1802" s="61" t="n">
        <v>0.698562</v>
      </c>
      <c r="G1802" s="61" t="n">
        <v>0.798099</v>
      </c>
      <c r="H1802" s="34" t="n">
        <f aca="false">NORMSINV(F1802)</f>
        <v>0.520269142399883</v>
      </c>
      <c r="I1802" s="34" t="n">
        <f aca="false">NORMSINV(G1802)</f>
        <v>0.834850301423461</v>
      </c>
      <c r="J1802" s="59" t="n">
        <f aca="false">mc_s0*EXP((mc_mu-mc_vol^2/2)*mc_t1+mc_vol*SQRT(mc_t1)*H1802)</f>
        <v>1204.67268316982</v>
      </c>
      <c r="K1802" s="59" t="n">
        <f aca="false">J1802*EXP((mc_mu-mc_vol^2/2)*(mc_t2-mc_t1)+mc_vol*SQRT(mc_t2-mc_t1)*I1802)</f>
        <v>1399.22894119915</v>
      </c>
      <c r="L1802" s="31" t="n">
        <f aca="false">(t1_usd*J1802+t2_usd*K1802)/1000</f>
        <v>11091.2437704672</v>
      </c>
    </row>
    <row r="1803" customFormat="false" ht="15" hidden="false" customHeight="false" outlineLevel="0" collapsed="false">
      <c r="E1803" s="54" t="n">
        <v>1799</v>
      </c>
      <c r="F1803" s="61" t="n">
        <v>0.677116</v>
      </c>
      <c r="G1803" s="61" t="n">
        <v>0.859155</v>
      </c>
      <c r="H1803" s="34" t="n">
        <f aca="false">NORMSINV(F1803)</f>
        <v>0.459649253267906</v>
      </c>
      <c r="I1803" s="34" t="n">
        <f aca="false">NORMSINV(G1803)</f>
        <v>1.07653065192284</v>
      </c>
      <c r="J1803" s="59" t="n">
        <f aca="false">mc_s0*EXP((mc_mu-mc_vol^2/2)*mc_t1+mc_vol*SQRT(mc_t1)*H1803)</f>
        <v>1197.71709836923</v>
      </c>
      <c r="K1803" s="59" t="n">
        <f aca="false">J1803*EXP((mc_mu-mc_vol^2/2)*(mc_t2-mc_t1)+mc_vol*SQRT(mc_t2-mc_t1)*I1803)</f>
        <v>1445.15695824492</v>
      </c>
      <c r="L1803" s="31" t="n">
        <f aca="false">(t1_usd*J1803+t2_usd*K1803)/1000</f>
        <v>11129.8179092499</v>
      </c>
    </row>
    <row r="1804" customFormat="false" ht="15" hidden="false" customHeight="false" outlineLevel="0" collapsed="false">
      <c r="E1804" s="54" t="n">
        <v>1800</v>
      </c>
      <c r="F1804" s="61" t="n">
        <v>0.463128</v>
      </c>
      <c r="G1804" s="61" t="n">
        <v>0.983945</v>
      </c>
      <c r="H1804" s="34" t="n">
        <f aca="false">NORMSINV(F1804)</f>
        <v>-0.0925563782965086</v>
      </c>
      <c r="I1804" s="34" t="n">
        <f aca="false">NORMSINV(G1804)</f>
        <v>2.1430385876848</v>
      </c>
      <c r="J1804" s="59" t="n">
        <f aca="false">mc_s0*EXP((mc_mu-mc_vol^2/2)*mc_t1+mc_vol*SQRT(mc_t1)*H1804)</f>
        <v>1136.17708782147</v>
      </c>
      <c r="K1804" s="59" t="n">
        <f aca="false">J1804*EXP((mc_mu-mc_vol^2/2)*(mc_t2-mc_t1)+mc_vol*SQRT(mc_t2-mc_t1)*I1804)</f>
        <v>1621.8122605091</v>
      </c>
      <c r="L1804" s="31" t="n">
        <f aca="false">(t1_usd*J1804+t2_usd*K1804)/1000</f>
        <v>11034.6829097176</v>
      </c>
    </row>
    <row r="1805" customFormat="false" ht="15" hidden="false" customHeight="false" outlineLevel="0" collapsed="false">
      <c r="E1805" s="54" t="n">
        <v>1801</v>
      </c>
      <c r="F1805" s="61" t="n">
        <v>0.829635</v>
      </c>
      <c r="G1805" s="61" t="n">
        <v>0.149305</v>
      </c>
      <c r="H1805" s="34" t="n">
        <f aca="false">NORMSINV(F1805)</f>
        <v>0.952723861774036</v>
      </c>
      <c r="I1805" s="34" t="n">
        <f aca="false">NORMSINV(G1805)</f>
        <v>-1.03941880926842</v>
      </c>
      <c r="J1805" s="59" t="n">
        <f aca="false">mc_s0*EXP((mc_mu-mc_vol^2/2)*mc_t1+mc_vol*SQRT(mc_t1)*H1805)</f>
        <v>1255.47891815049</v>
      </c>
      <c r="K1805" s="59" t="n">
        <f aca="false">J1805*EXP((mc_mu-mc_vol^2/2)*(mc_t2-mc_t1)+mc_vol*SQRT(mc_t2-mc_t1)*I1805)</f>
        <v>1085.30219975373</v>
      </c>
      <c r="L1805" s="31" t="n">
        <f aca="false">(t1_usd*J1805+t2_usd*K1805)/1000</f>
        <v>10850.4266065855</v>
      </c>
    </row>
    <row r="1806" customFormat="false" ht="15" hidden="false" customHeight="false" outlineLevel="0" collapsed="false">
      <c r="E1806" s="54" t="n">
        <v>1802</v>
      </c>
      <c r="F1806" s="61" t="n">
        <v>0.934705</v>
      </c>
      <c r="G1806" s="61" t="n">
        <v>0.179017</v>
      </c>
      <c r="H1806" s="34" t="n">
        <f aca="false">NORMSINV(F1806)</f>
        <v>1.5117793671808</v>
      </c>
      <c r="I1806" s="34" t="n">
        <f aca="false">NORMSINV(G1806)</f>
        <v>-0.919117723239075</v>
      </c>
      <c r="J1806" s="59" t="n">
        <f aca="false">mc_s0*EXP((mc_mu-mc_vol^2/2)*mc_t1+mc_vol*SQRT(mc_t1)*H1806)</f>
        <v>1324.34706568334</v>
      </c>
      <c r="K1806" s="59" t="n">
        <f aca="false">J1806*EXP((mc_mu-mc_vol^2/2)*(mc_t2-mc_t1)+mc_vol*SQRT(mc_t2-mc_t1)*I1806)</f>
        <v>1166.74702477521</v>
      </c>
      <c r="L1806" s="31" t="n">
        <f aca="false">(t1_usd*J1806+t2_usd*K1806)/1000</f>
        <v>11487.2488068562</v>
      </c>
    </row>
    <row r="1807" customFormat="false" ht="15" hidden="false" customHeight="false" outlineLevel="0" collapsed="false">
      <c r="E1807" s="54" t="n">
        <v>1803</v>
      </c>
      <c r="F1807" s="61" t="n">
        <v>0.550372</v>
      </c>
      <c r="G1807" s="61" t="n">
        <v>0.241732</v>
      </c>
      <c r="H1807" s="34" t="n">
        <f aca="false">NORMSINV(F1807)</f>
        <v>0.126601259534315</v>
      </c>
      <c r="I1807" s="34" t="n">
        <f aca="false">NORMSINV(G1807)</f>
        <v>-0.70074206403846</v>
      </c>
      <c r="J1807" s="59" t="n">
        <f aca="false">mc_s0*EXP((mc_mu-mc_vol^2/2)*mc_t1+mc_vol*SQRT(mc_t1)*H1807)</f>
        <v>1160.21311515667</v>
      </c>
      <c r="K1807" s="59" t="n">
        <f aca="false">J1807*EXP((mc_mu-mc_vol^2/2)*(mc_t2-mc_t1)+mc_vol*SQRT(mc_t2-mc_t1)*I1807)</f>
        <v>1057.93429177926</v>
      </c>
      <c r="L1807" s="31" t="n">
        <f aca="false">(t1_usd*J1807+t2_usd*K1807)/1000</f>
        <v>10131.5669604773</v>
      </c>
    </row>
    <row r="1808" customFormat="false" ht="15" hidden="false" customHeight="false" outlineLevel="0" collapsed="false">
      <c r="E1808" s="54" t="n">
        <v>1804</v>
      </c>
      <c r="F1808" s="61" t="n">
        <v>0.148316</v>
      </c>
      <c r="G1808" s="61" t="n">
        <v>0.261152</v>
      </c>
      <c r="H1808" s="34" t="n">
        <f aca="false">NORMSINV(F1808)</f>
        <v>-1.04368316773892</v>
      </c>
      <c r="I1808" s="34" t="n">
        <f aca="false">NORMSINV(G1808)</f>
        <v>-0.639797897000351</v>
      </c>
      <c r="J1808" s="59" t="n">
        <f aca="false">mc_s0*EXP((mc_mu-mc_vol^2/2)*mc_t1+mc_vol*SQRT(mc_t1)*H1808)</f>
        <v>1037.5011354454</v>
      </c>
      <c r="K1808" s="59" t="n">
        <f aca="false">J1808*EXP((mc_mu-mc_vol^2/2)*(mc_t2-mc_t1)+mc_vol*SQRT(mc_t2-mc_t1)*I1808)</f>
        <v>955.169918704213</v>
      </c>
      <c r="L1808" s="31" t="n">
        <f aca="false">(t1_usd*J1808+t2_usd*K1808)/1000</f>
        <v>9077.33079365578</v>
      </c>
    </row>
    <row r="1809" customFormat="false" ht="15" hidden="false" customHeight="false" outlineLevel="0" collapsed="false">
      <c r="E1809" s="54" t="n">
        <v>1805</v>
      </c>
      <c r="F1809" s="61" t="n">
        <v>0.876636</v>
      </c>
      <c r="G1809" s="61" t="n">
        <v>0.569247</v>
      </c>
      <c r="H1809" s="34" t="n">
        <f aca="false">NORMSINV(F1809)</f>
        <v>1.15833341535121</v>
      </c>
      <c r="I1809" s="34" t="n">
        <f aca="false">NORMSINV(G1809)</f>
        <v>0.174457409153093</v>
      </c>
      <c r="J1809" s="59" t="n">
        <f aca="false">mc_s0*EXP((mc_mu-mc_vol^2/2)*mc_t1+mc_vol*SQRT(mc_t1)*H1809)</f>
        <v>1280.38072126529</v>
      </c>
      <c r="K1809" s="59" t="n">
        <f aca="false">J1809*EXP((mc_mu-mc_vol^2/2)*(mc_t2-mc_t1)+mc_vol*SQRT(mc_t2-mc_t1)*I1809)</f>
        <v>1340.17134388129</v>
      </c>
      <c r="L1809" s="31" t="n">
        <f aca="false">(t1_usd*J1809+t2_usd*K1809)/1000</f>
        <v>11508.9906022315</v>
      </c>
    </row>
    <row r="1810" customFormat="false" ht="15" hidden="false" customHeight="false" outlineLevel="0" collapsed="false">
      <c r="E1810" s="54" t="n">
        <v>1806</v>
      </c>
      <c r="F1810" s="61" t="n">
        <v>0.069557</v>
      </c>
      <c r="G1810" s="61" t="n">
        <v>0.134408</v>
      </c>
      <c r="H1810" s="34" t="n">
        <f aca="false">NORMSINV(F1810)</f>
        <v>-1.47909846652418</v>
      </c>
      <c r="I1810" s="34" t="n">
        <f aca="false">NORMSINV(G1810)</f>
        <v>-1.10579328993177</v>
      </c>
      <c r="J1810" s="59" t="n">
        <f aca="false">mc_s0*EXP((mc_mu-mc_vol^2/2)*mc_t1+mc_vol*SQRT(mc_t1)*H1810)</f>
        <v>995.234446606766</v>
      </c>
      <c r="K1810" s="59" t="n">
        <f aca="false">J1810*EXP((mc_mu-mc_vol^2/2)*(mc_t2-mc_t1)+mc_vol*SQRT(mc_t2-mc_t1)*I1810)</f>
        <v>851.38082620954</v>
      </c>
      <c r="L1810" s="31" t="n">
        <f aca="false">(t1_usd*J1810+t2_usd*K1810)/1000</f>
        <v>8584.26469604548</v>
      </c>
    </row>
    <row r="1811" customFormat="false" ht="15" hidden="false" customHeight="false" outlineLevel="0" collapsed="false">
      <c r="E1811" s="54" t="n">
        <v>1807</v>
      </c>
      <c r="F1811" s="61" t="n">
        <v>0.252957</v>
      </c>
      <c r="G1811" s="61" t="n">
        <v>0.554902</v>
      </c>
      <c r="H1811" s="34" t="n">
        <f aca="false">NORMSINV(F1811)</f>
        <v>-0.665213417150159</v>
      </c>
      <c r="I1811" s="34" t="n">
        <f aca="false">NORMSINV(G1811)</f>
        <v>0.138056201971451</v>
      </c>
      <c r="J1811" s="59" t="n">
        <f aca="false">mc_s0*EXP((mc_mu-mc_vol^2/2)*mc_t1+mc_vol*SQRT(mc_t1)*H1811)</f>
        <v>1075.69556725605</v>
      </c>
      <c r="K1811" s="59" t="n">
        <f aca="false">J1811*EXP((mc_mu-mc_vol^2/2)*(mc_t2-mc_t1)+mc_vol*SQRT(mc_t2-mc_t1)*I1811)</f>
        <v>1119.48741023953</v>
      </c>
      <c r="L1811" s="31" t="n">
        <f aca="false">(t1_usd*J1811+t2_usd*K1811)/1000</f>
        <v>9656.89505024747</v>
      </c>
    </row>
    <row r="1812" customFormat="false" ht="15" hidden="false" customHeight="false" outlineLevel="0" collapsed="false">
      <c r="E1812" s="54" t="n">
        <v>1808</v>
      </c>
      <c r="F1812" s="61" t="n">
        <v>0.074713</v>
      </c>
      <c r="G1812" s="61" t="n">
        <v>0.381079</v>
      </c>
      <c r="H1812" s="34" t="n">
        <f aca="false">NORMSINV(F1812)</f>
        <v>-1.4415619112462</v>
      </c>
      <c r="I1812" s="34" t="n">
        <f aca="false">NORMSINV(G1812)</f>
        <v>-0.302648170795203</v>
      </c>
      <c r="J1812" s="59" t="n">
        <f aca="false">mc_s0*EXP((mc_mu-mc_vol^2/2)*mc_t1+mc_vol*SQRT(mc_t1)*H1812)</f>
        <v>998.809354832506</v>
      </c>
      <c r="K1812" s="59" t="n">
        <f aca="false">J1812*EXP((mc_mu-mc_vol^2/2)*(mc_t2-mc_t1)+mc_vol*SQRT(mc_t2-mc_t1)*I1812)</f>
        <v>969.727720801728</v>
      </c>
      <c r="L1812" s="31" t="n">
        <f aca="false">(t1_usd*J1812+t2_usd*K1812)/1000</f>
        <v>8834.14815335083</v>
      </c>
    </row>
    <row r="1813" customFormat="false" ht="15" hidden="false" customHeight="false" outlineLevel="0" collapsed="false">
      <c r="E1813" s="54" t="n">
        <v>1809</v>
      </c>
      <c r="F1813" s="61" t="n">
        <v>0.665788</v>
      </c>
      <c r="G1813" s="61" t="n">
        <v>0.203669</v>
      </c>
      <c r="H1813" s="34" t="n">
        <f aca="false">NORMSINV(F1813)</f>
        <v>0.428311977276874</v>
      </c>
      <c r="I1813" s="34" t="n">
        <f aca="false">NORMSINV(G1813)</f>
        <v>-0.82858725907053</v>
      </c>
      <c r="J1813" s="59" t="n">
        <f aca="false">mc_s0*EXP((mc_mu-mc_vol^2/2)*mc_t1+mc_vol*SQRT(mc_t1)*H1813)</f>
        <v>1194.13719016389</v>
      </c>
      <c r="K1813" s="59" t="n">
        <f aca="false">J1813*EXP((mc_mu-mc_vol^2/2)*(mc_t2-mc_t1)+mc_vol*SQRT(mc_t2-mc_t1)*I1813)</f>
        <v>1067.1493046883</v>
      </c>
      <c r="L1813" s="31" t="n">
        <f aca="false">(t1_usd*J1813+t2_usd*K1813)/1000</f>
        <v>10386.544010055</v>
      </c>
    </row>
    <row r="1814" customFormat="false" ht="15" hidden="false" customHeight="false" outlineLevel="0" collapsed="false">
      <c r="E1814" s="54" t="n">
        <v>1810</v>
      </c>
      <c r="F1814" s="61" t="n">
        <v>0.411023</v>
      </c>
      <c r="G1814" s="61" t="n">
        <v>0.78821</v>
      </c>
      <c r="H1814" s="34" t="n">
        <f aca="false">NORMSINV(F1814)</f>
        <v>-0.224914228657086</v>
      </c>
      <c r="I1814" s="34" t="n">
        <f aca="false">NORMSINV(G1814)</f>
        <v>0.800225772859432</v>
      </c>
      <c r="J1814" s="59" t="n">
        <f aca="false">mc_s0*EXP((mc_mu-mc_vol^2/2)*mc_t1+mc_vol*SQRT(mc_t1)*H1814)</f>
        <v>1121.90263581807</v>
      </c>
      <c r="K1814" s="59" t="n">
        <f aca="false">J1814*EXP((mc_mu-mc_vol^2/2)*(mc_t2-mc_t1)+mc_vol*SQRT(mc_t2-mc_t1)*I1814)</f>
        <v>1296.00034813789</v>
      </c>
      <c r="L1814" s="31" t="n">
        <f aca="false">(t1_usd*J1814+t2_usd*K1814)/1000</f>
        <v>10315.7191121885</v>
      </c>
    </row>
    <row r="1815" customFormat="false" ht="15" hidden="false" customHeight="false" outlineLevel="0" collapsed="false">
      <c r="E1815" s="54" t="n">
        <v>1811</v>
      </c>
      <c r="F1815" s="61" t="n">
        <v>0.884423</v>
      </c>
      <c r="G1815" s="61" t="n">
        <v>0.610333</v>
      </c>
      <c r="H1815" s="34" t="n">
        <f aca="false">NORMSINV(F1815)</f>
        <v>1.19739148755123</v>
      </c>
      <c r="I1815" s="34" t="n">
        <f aca="false">NORMSINV(G1815)</f>
        <v>0.280187051998642</v>
      </c>
      <c r="J1815" s="59" t="n">
        <f aca="false">mc_s0*EXP((mc_mu-mc_vol^2/2)*mc_t1+mc_vol*SQRT(mc_t1)*H1815)</f>
        <v>1285.16665402258</v>
      </c>
      <c r="K1815" s="59" t="n">
        <f aca="false">J1815*EXP((mc_mu-mc_vol^2/2)*(mc_t2-mc_t1)+mc_vol*SQRT(mc_t2-mc_t1)*I1815)</f>
        <v>1367.78231026486</v>
      </c>
      <c r="L1815" s="31" t="n">
        <f aca="false">(t1_usd*J1815+t2_usd*K1815)/1000</f>
        <v>11594.9529676613</v>
      </c>
    </row>
    <row r="1816" customFormat="false" ht="15" hidden="false" customHeight="false" outlineLevel="0" collapsed="false">
      <c r="E1816" s="54" t="n">
        <v>1812</v>
      </c>
      <c r="F1816" s="61" t="n">
        <v>0.309452</v>
      </c>
      <c r="G1816" s="61" t="n">
        <v>0.547671</v>
      </c>
      <c r="H1816" s="34" t="n">
        <f aca="false">NORMSINV(F1816)</f>
        <v>-0.497404262975527</v>
      </c>
      <c r="I1816" s="34" t="n">
        <f aca="false">NORMSINV(G1816)</f>
        <v>0.119779274851739</v>
      </c>
      <c r="J1816" s="59" t="n">
        <f aca="false">mc_s0*EXP((mc_mu-mc_vol^2/2)*mc_t1+mc_vol*SQRT(mc_t1)*H1816)</f>
        <v>1093.07744549499</v>
      </c>
      <c r="K1816" s="59" t="n">
        <f aca="false">J1816*EXP((mc_mu-mc_vol^2/2)*(mc_t2-mc_t1)+mc_vol*SQRT(mc_t2-mc_t1)*I1816)</f>
        <v>1134.30503862725</v>
      </c>
      <c r="L1816" s="31" t="n">
        <f aca="false">(t1_usd*J1816+t2_usd*K1816)/1000</f>
        <v>9806.72169185672</v>
      </c>
    </row>
    <row r="1817" customFormat="false" ht="15" hidden="false" customHeight="false" outlineLevel="0" collapsed="false">
      <c r="E1817" s="54" t="n">
        <v>1813</v>
      </c>
      <c r="F1817" s="61" t="n">
        <v>0.969812</v>
      </c>
      <c r="G1817" s="61" t="n">
        <v>0.13809</v>
      </c>
      <c r="H1817" s="34" t="n">
        <f aca="false">NORMSINV(F1817)</f>
        <v>1.87803775775043</v>
      </c>
      <c r="I1817" s="34" t="n">
        <f aca="false">NORMSINV(G1817)</f>
        <v>-1.08894078332004</v>
      </c>
      <c r="J1817" s="59" t="n">
        <f aca="false">mc_s0*EXP((mc_mu-mc_vol^2/2)*mc_t1+mc_vol*SQRT(mc_t1)*H1817)</f>
        <v>1371.50067056053</v>
      </c>
      <c r="K1817" s="59" t="n">
        <f aca="false">J1817*EXP((mc_mu-mc_vol^2/2)*(mc_t2-mc_t1)+mc_vol*SQRT(mc_t2-mc_t1)*I1817)</f>
        <v>1176.38074455143</v>
      </c>
      <c r="L1817" s="31" t="n">
        <f aca="false">(t1_usd*J1817+t2_usd*K1817)/1000</f>
        <v>11835.6281085714</v>
      </c>
    </row>
    <row r="1818" customFormat="false" ht="15" hidden="false" customHeight="false" outlineLevel="0" collapsed="false">
      <c r="E1818" s="54" t="n">
        <v>1814</v>
      </c>
      <c r="F1818" s="61" t="n">
        <v>0.025925</v>
      </c>
      <c r="G1818" s="61" t="n">
        <v>0.818223</v>
      </c>
      <c r="H1818" s="34" t="n">
        <f aca="false">NORMSINV(F1818)</f>
        <v>-1.94437704436261</v>
      </c>
      <c r="I1818" s="34" t="n">
        <f aca="false">NORMSINV(G1818)</f>
        <v>0.908613837040533</v>
      </c>
      <c r="J1818" s="59" t="n">
        <f aca="false">mc_s0*EXP((mc_mu-mc_vol^2/2)*mc_t1+mc_vol*SQRT(mc_t1)*H1818)</f>
        <v>951.970172551605</v>
      </c>
      <c r="K1818" s="59" t="n">
        <f aca="false">J1818*EXP((mc_mu-mc_vol^2/2)*(mc_t2-mc_t1)+mc_vol*SQRT(mc_t2-mc_t1)*I1818)</f>
        <v>1118.64315968258</v>
      </c>
      <c r="L1818" s="31" t="n">
        <f aca="false">(t1_usd*J1818+t2_usd*K1818)/1000</f>
        <v>8789.21321125814</v>
      </c>
    </row>
    <row r="1819" customFormat="false" ht="15" hidden="false" customHeight="false" outlineLevel="0" collapsed="false">
      <c r="E1819" s="54" t="n">
        <v>1815</v>
      </c>
      <c r="F1819" s="61" t="n">
        <v>0.964241</v>
      </c>
      <c r="G1819" s="61" t="n">
        <v>0.140704</v>
      </c>
      <c r="H1819" s="34" t="n">
        <f aca="false">NORMSINV(F1819)</f>
        <v>1.80217421607105</v>
      </c>
      <c r="I1819" s="34" t="n">
        <f aca="false">NORMSINV(G1819)</f>
        <v>-1.07716177273361</v>
      </c>
      <c r="J1819" s="59" t="n">
        <f aca="false">mc_s0*EXP((mc_mu-mc_vol^2/2)*mc_t1+mc_vol*SQRT(mc_t1)*H1819)</f>
        <v>1361.59776265893</v>
      </c>
      <c r="K1819" s="59" t="n">
        <f aca="false">J1819*EXP((mc_mu-mc_vol^2/2)*(mc_t2-mc_t1)+mc_vol*SQRT(mc_t2-mc_t1)*I1819)</f>
        <v>1170.05665036978</v>
      </c>
      <c r="L1819" s="31" t="n">
        <f aca="false">(t1_usd*J1819+t2_usd*K1819)/1000</f>
        <v>11754.2919743151</v>
      </c>
    </row>
    <row r="1820" customFormat="false" ht="15" hidden="false" customHeight="false" outlineLevel="0" collapsed="false">
      <c r="E1820" s="54" t="n">
        <v>1816</v>
      </c>
      <c r="F1820" s="61" t="n">
        <v>0.450523</v>
      </c>
      <c r="G1820" s="61" t="n">
        <v>0.027356</v>
      </c>
      <c r="H1820" s="34" t="n">
        <f aca="false">NORMSINV(F1820)</f>
        <v>-0.124340098015143</v>
      </c>
      <c r="I1820" s="34" t="n">
        <f aca="false">NORMSINV(G1820)</f>
        <v>-1.92115634431618</v>
      </c>
      <c r="J1820" s="59" t="n">
        <f aca="false">mc_s0*EXP((mc_mu-mc_vol^2/2)*mc_t1+mc_vol*SQRT(mc_t1)*H1820)</f>
        <v>1132.73281224243</v>
      </c>
      <c r="K1820" s="59" t="n">
        <f aca="false">J1820*EXP((mc_mu-mc_vol^2/2)*(mc_t2-mc_t1)+mc_vol*SQRT(mc_t2-mc_t1)*I1820)</f>
        <v>852.159687909768</v>
      </c>
      <c r="L1820" s="31" t="n">
        <f aca="false">(t1_usd*J1820+t2_usd*K1820)/1000</f>
        <v>9548.2330927256</v>
      </c>
    </row>
    <row r="1821" customFormat="false" ht="15" hidden="false" customHeight="false" outlineLevel="0" collapsed="false">
      <c r="E1821" s="54" t="n">
        <v>1817</v>
      </c>
      <c r="F1821" s="61" t="n">
        <v>0.356383</v>
      </c>
      <c r="G1821" s="61" t="n">
        <v>0.027858</v>
      </c>
      <c r="H1821" s="34" t="n">
        <f aca="false">NORMSINV(F1821)</f>
        <v>-0.368143817473603</v>
      </c>
      <c r="I1821" s="34" t="n">
        <f aca="false">NORMSINV(G1821)</f>
        <v>-1.91325043241239</v>
      </c>
      <c r="J1821" s="59" t="n">
        <f aca="false">mc_s0*EXP((mc_mu-mc_vol^2/2)*mc_t1+mc_vol*SQRT(mc_t1)*H1821)</f>
        <v>1106.65766441759</v>
      </c>
      <c r="K1821" s="59" t="n">
        <f aca="false">J1821*EXP((mc_mu-mc_vol^2/2)*(mc_t2-mc_t1)+mc_vol*SQRT(mc_t2-mc_t1)*I1821)</f>
        <v>833.581170884876</v>
      </c>
      <c r="L1821" s="31" t="n">
        <f aca="false">(t1_usd*J1821+t2_usd*K1821)/1000</f>
        <v>9330.40787560438</v>
      </c>
    </row>
    <row r="1822" customFormat="false" ht="15" hidden="false" customHeight="false" outlineLevel="0" collapsed="false">
      <c r="E1822" s="54" t="n">
        <v>1818</v>
      </c>
      <c r="F1822" s="61" t="n">
        <v>0.747743</v>
      </c>
      <c r="G1822" s="61" t="n">
        <v>0.9848</v>
      </c>
      <c r="H1822" s="34" t="n">
        <f aca="false">NORMSINV(F1822)</f>
        <v>0.667404174719816</v>
      </c>
      <c r="I1822" s="34" t="n">
        <f aca="false">NORMSINV(G1822)</f>
        <v>2.16483922180398</v>
      </c>
      <c r="J1822" s="59" t="n">
        <f aca="false">mc_s0*EXP((mc_mu-mc_vol^2/2)*mc_t1+mc_vol*SQRT(mc_t1)*H1822)</f>
        <v>1221.7235679593</v>
      </c>
      <c r="K1822" s="59" t="n">
        <f aca="false">J1822*EXP((mc_mu-mc_vol^2/2)*(mc_t2-mc_t1)+mc_vol*SQRT(mc_t2-mc_t1)*I1822)</f>
        <v>1749.92558125615</v>
      </c>
      <c r="L1822" s="31" t="n">
        <f aca="false">(t1_usd*J1822+t2_usd*K1822)/1000</f>
        <v>11876.9235801018</v>
      </c>
    </row>
    <row r="1823" customFormat="false" ht="15" hidden="false" customHeight="false" outlineLevel="0" collapsed="false">
      <c r="E1823" s="54" t="n">
        <v>1819</v>
      </c>
      <c r="F1823" s="61" t="n">
        <v>0.218543</v>
      </c>
      <c r="G1823" s="61" t="n">
        <v>0.956277</v>
      </c>
      <c r="H1823" s="34" t="n">
        <f aca="false">NORMSINV(F1823)</f>
        <v>-0.77712334830486</v>
      </c>
      <c r="I1823" s="34" t="n">
        <f aca="false">NORMSINV(G1823)</f>
        <v>1.70902672066028</v>
      </c>
      <c r="J1823" s="59" t="n">
        <f aca="false">mc_s0*EXP((mc_mu-mc_vol^2/2)*mc_t1+mc_vol*SQRT(mc_t1)*H1823)</f>
        <v>1064.25770042597</v>
      </c>
      <c r="K1823" s="59" t="n">
        <f aca="false">J1823*EXP((mc_mu-mc_vol^2/2)*(mc_t2-mc_t1)+mc_vol*SQRT(mc_t2-mc_t1)*I1823)</f>
        <v>1418.72027518995</v>
      </c>
      <c r="L1823" s="31" t="n">
        <f aca="false">(t1_usd*J1823+t2_usd*K1823)/1000</f>
        <v>10145.3724258427</v>
      </c>
    </row>
    <row r="1824" customFormat="false" ht="15" hidden="false" customHeight="false" outlineLevel="0" collapsed="false">
      <c r="E1824" s="54" t="n">
        <v>1820</v>
      </c>
      <c r="F1824" s="61" t="n">
        <v>0.768985</v>
      </c>
      <c r="G1824" s="61" t="n">
        <v>0.061275</v>
      </c>
      <c r="H1824" s="34" t="n">
        <f aca="false">NORMSINV(F1824)</f>
        <v>0.735508278629323</v>
      </c>
      <c r="I1824" s="34" t="n">
        <f aca="false">NORMSINV(G1824)</f>
        <v>-1.54415825106402</v>
      </c>
      <c r="J1824" s="59" t="n">
        <f aca="false">mc_s0*EXP((mc_mu-mc_vol^2/2)*mc_t1+mc_vol*SQRT(mc_t1)*H1824)</f>
        <v>1229.69737822537</v>
      </c>
      <c r="K1824" s="59" t="n">
        <f aca="false">J1824*EXP((mc_mu-mc_vol^2/2)*(mc_t2-mc_t1)+mc_vol*SQRT(mc_t2-mc_t1)*I1824)</f>
        <v>981.734834754211</v>
      </c>
      <c r="L1824" s="31" t="n">
        <f aca="false">(t1_usd*J1824+t2_usd*K1824)/1000</f>
        <v>10473.1778336106</v>
      </c>
    </row>
    <row r="1825" customFormat="false" ht="15" hidden="false" customHeight="false" outlineLevel="0" collapsed="false">
      <c r="E1825" s="54" t="n">
        <v>1821</v>
      </c>
      <c r="F1825" s="61" t="n">
        <v>0.364066</v>
      </c>
      <c r="G1825" s="61" t="n">
        <v>0.372314</v>
      </c>
      <c r="H1825" s="34" t="n">
        <f aca="false">NORMSINV(F1825)</f>
        <v>-0.347611458117294</v>
      </c>
      <c r="I1825" s="34" t="n">
        <f aca="false">NORMSINV(G1825)</f>
        <v>-0.325730851534796</v>
      </c>
      <c r="J1825" s="59" t="n">
        <f aca="false">mc_s0*EXP((mc_mu-mc_vol^2/2)*mc_t1+mc_vol*SQRT(mc_t1)*H1825)</f>
        <v>1108.83028737187</v>
      </c>
      <c r="K1825" s="59" t="n">
        <f aca="false">J1825*EXP((mc_mu-mc_vol^2/2)*(mc_t2-mc_t1)+mc_vol*SQRT(mc_t2-mc_t1)*I1825)</f>
        <v>1072.63624474908</v>
      </c>
      <c r="L1825" s="31" t="n">
        <f aca="false">(t1_usd*J1825+t2_usd*K1825)/1000</f>
        <v>9799.82087662634</v>
      </c>
    </row>
    <row r="1826" customFormat="false" ht="15" hidden="false" customHeight="false" outlineLevel="0" collapsed="false">
      <c r="E1826" s="54" t="n">
        <v>1822</v>
      </c>
      <c r="F1826" s="61" t="n">
        <v>0.418856</v>
      </c>
      <c r="G1826" s="61" t="n">
        <v>0.231464</v>
      </c>
      <c r="H1826" s="34" t="n">
        <f aca="false">NORMSINV(F1826)</f>
        <v>-0.204820973382686</v>
      </c>
      <c r="I1826" s="34" t="n">
        <f aca="false">NORMSINV(G1826)</f>
        <v>-0.73403402697635</v>
      </c>
      <c r="J1826" s="59" t="n">
        <f aca="false">mc_s0*EXP((mc_mu-mc_vol^2/2)*mc_t1+mc_vol*SQRT(mc_t1)*H1826)</f>
        <v>1124.05803924937</v>
      </c>
      <c r="K1826" s="59" t="n">
        <f aca="false">J1826*EXP((mc_mu-mc_vol^2/2)*(mc_t2-mc_t1)+mc_vol*SQRT(mc_t2-mc_t1)*I1826)</f>
        <v>1019.60298054614</v>
      </c>
      <c r="L1826" s="31" t="n">
        <f aca="false">(t1_usd*J1826+t2_usd*K1826)/1000</f>
        <v>9805.65193778325</v>
      </c>
    </row>
    <row r="1827" customFormat="false" ht="15" hidden="false" customHeight="false" outlineLevel="0" collapsed="false">
      <c r="E1827" s="54" t="n">
        <v>1823</v>
      </c>
      <c r="F1827" s="61" t="n">
        <v>0.917941</v>
      </c>
      <c r="G1827" s="61" t="n">
        <v>0.638356</v>
      </c>
      <c r="H1827" s="34" t="n">
        <f aca="false">NORMSINV(F1827)</f>
        <v>1.3913543508606</v>
      </c>
      <c r="I1827" s="34" t="n">
        <f aca="false">NORMSINV(G1827)</f>
        <v>0.354067897205984</v>
      </c>
      <c r="J1827" s="59" t="n">
        <f aca="false">mc_s0*EXP((mc_mu-mc_vol^2/2)*mc_t1+mc_vol*SQRT(mc_t1)*H1827)</f>
        <v>1309.19997385084</v>
      </c>
      <c r="K1827" s="59" t="n">
        <f aca="false">J1827*EXP((mc_mu-mc_vol^2/2)*(mc_t2-mc_t1)+mc_vol*SQRT(mc_t2-mc_t1)*I1827)</f>
        <v>1409.67846201205</v>
      </c>
      <c r="L1827" s="31" t="n">
        <f aca="false">(t1_usd*J1827+t2_usd*K1827)/1000</f>
        <v>11842.7888947788</v>
      </c>
    </row>
    <row r="1828" customFormat="false" ht="15" hidden="false" customHeight="false" outlineLevel="0" collapsed="false">
      <c r="E1828" s="54" t="n">
        <v>1824</v>
      </c>
      <c r="F1828" s="61" t="n">
        <v>0.110032</v>
      </c>
      <c r="G1828" s="61" t="n">
        <v>0.997367</v>
      </c>
      <c r="H1828" s="34" t="n">
        <f aca="false">NORMSINV(F1828)</f>
        <v>-1.22635795722418</v>
      </c>
      <c r="I1828" s="34" t="n">
        <f aca="false">NORMSINV(G1828)</f>
        <v>2.79029522403639</v>
      </c>
      <c r="J1828" s="59" t="n">
        <f aca="false">mc_s0*EXP((mc_mu-mc_vol^2/2)*mc_t1+mc_vol*SQRT(mc_t1)*H1828)</f>
        <v>1019.55421952466</v>
      </c>
      <c r="K1828" s="59" t="n">
        <f aca="false">J1828*EXP((mc_mu-mc_vol^2/2)*(mc_t2-mc_t1)+mc_vol*SQRT(mc_t2-mc_t1)*I1828)</f>
        <v>1611.62622059626</v>
      </c>
      <c r="L1828" s="31" t="n">
        <f aca="false">(t1_usd*J1828+t2_usd*K1828)/1000</f>
        <v>10198.9693558055</v>
      </c>
    </row>
    <row r="1829" customFormat="false" ht="15" hidden="false" customHeight="false" outlineLevel="0" collapsed="false">
      <c r="E1829" s="54" t="n">
        <v>1825</v>
      </c>
      <c r="F1829" s="61" t="n">
        <v>0.472667</v>
      </c>
      <c r="G1829" s="61" t="n">
        <v>0.378828</v>
      </c>
      <c r="H1829" s="34" t="n">
        <f aca="false">NORMSINV(F1829)</f>
        <v>-0.0685673608079641</v>
      </c>
      <c r="I1829" s="34" t="n">
        <f aca="false">NORMSINV(G1829)</f>
        <v>-0.308560331669126</v>
      </c>
      <c r="J1829" s="59" t="n">
        <f aca="false">mc_s0*EXP((mc_mu-mc_vol^2/2)*mc_t1+mc_vol*SQRT(mc_t1)*H1829)</f>
        <v>1138.78361599775</v>
      </c>
      <c r="K1829" s="59" t="n">
        <f aca="false">J1829*EXP((mc_mu-mc_vol^2/2)*(mc_t2-mc_t1)+mc_vol*SQRT(mc_t2-mc_t1)*I1829)</f>
        <v>1104.59679872651</v>
      </c>
      <c r="L1829" s="31" t="n">
        <f aca="false">(t1_usd*J1829+t2_usd*K1829)/1000</f>
        <v>10070.2192295646</v>
      </c>
    </row>
    <row r="1830" customFormat="false" ht="15" hidden="false" customHeight="false" outlineLevel="0" collapsed="false">
      <c r="E1830" s="54" t="n">
        <v>1826</v>
      </c>
      <c r="F1830" s="61" t="n">
        <v>0.571331</v>
      </c>
      <c r="G1830" s="61" t="n">
        <v>0.204658</v>
      </c>
      <c r="H1830" s="34" t="n">
        <f aca="false">NORMSINV(F1830)</f>
        <v>0.179763805109013</v>
      </c>
      <c r="I1830" s="34" t="n">
        <f aca="false">NORMSINV(G1830)</f>
        <v>-0.825097920905746</v>
      </c>
      <c r="J1830" s="59" t="n">
        <f aca="false">mc_s0*EXP((mc_mu-mc_vol^2/2)*mc_t1+mc_vol*SQRT(mc_t1)*H1830)</f>
        <v>1166.11992482638</v>
      </c>
      <c r="K1830" s="59" t="n">
        <f aca="false">J1830*EXP((mc_mu-mc_vol^2/2)*(mc_t2-mc_t1)+mc_vol*SQRT(mc_t2-mc_t1)*I1830)</f>
        <v>1042.68468411554</v>
      </c>
      <c r="L1830" s="31" t="n">
        <f aca="false">(t1_usd*J1830+t2_usd*K1830)/1000</f>
        <v>10143.9403736042</v>
      </c>
    </row>
    <row r="1831" customFormat="false" ht="15" hidden="false" customHeight="false" outlineLevel="0" collapsed="false">
      <c r="E1831" s="54" t="n">
        <v>1827</v>
      </c>
      <c r="F1831" s="61" t="n">
        <v>0.287088</v>
      </c>
      <c r="G1831" s="61" t="n">
        <v>0.259093</v>
      </c>
      <c r="H1831" s="34" t="n">
        <f aca="false">NORMSINV(F1831)</f>
        <v>-0.561911966745639</v>
      </c>
      <c r="I1831" s="34" t="n">
        <f aca="false">NORMSINV(G1831)</f>
        <v>-0.646144157975784</v>
      </c>
      <c r="J1831" s="59" t="n">
        <f aca="false">mc_s0*EXP((mc_mu-mc_vol^2/2)*mc_t1+mc_vol*SQRT(mc_t1)*H1831)</f>
        <v>1086.36267144982</v>
      </c>
      <c r="K1831" s="59" t="n">
        <f aca="false">J1831*EXP((mc_mu-mc_vol^2/2)*(mc_t2-mc_t1)+mc_vol*SQRT(mc_t2-mc_t1)*I1831)</f>
        <v>999.154251139915</v>
      </c>
      <c r="L1831" s="31" t="n">
        <f aca="false">(t1_usd*J1831+t2_usd*K1831)/1000</f>
        <v>9502.93177731457</v>
      </c>
    </row>
    <row r="1832" customFormat="false" ht="15" hidden="false" customHeight="false" outlineLevel="0" collapsed="false">
      <c r="E1832" s="54" t="n">
        <v>1828</v>
      </c>
      <c r="F1832" s="61" t="n">
        <v>0.397674</v>
      </c>
      <c r="G1832" s="61" t="n">
        <v>0.296368</v>
      </c>
      <c r="H1832" s="34" t="n">
        <f aca="false">NORMSINV(F1832)</f>
        <v>-0.259372299972323</v>
      </c>
      <c r="I1832" s="34" t="n">
        <f aca="false">NORMSINV(G1832)</f>
        <v>-0.534875428987665</v>
      </c>
      <c r="J1832" s="59" t="n">
        <f aca="false">mc_s0*EXP((mc_mu-mc_vol^2/2)*mc_t1+mc_vol*SQRT(mc_t1)*H1832)</f>
        <v>1118.21593552464</v>
      </c>
      <c r="K1832" s="59" t="n">
        <f aca="false">J1832*EXP((mc_mu-mc_vol^2/2)*(mc_t2-mc_t1)+mc_vol*SQRT(mc_t2-mc_t1)*I1832)</f>
        <v>1046.64359859682</v>
      </c>
      <c r="L1832" s="31" t="n">
        <f aca="false">(t1_usd*J1832+t2_usd*K1832)/1000</f>
        <v>9816.13438600647</v>
      </c>
    </row>
    <row r="1833" customFormat="false" ht="15" hidden="false" customHeight="false" outlineLevel="0" collapsed="false">
      <c r="E1833" s="54" t="n">
        <v>1829</v>
      </c>
      <c r="F1833" s="61" t="n">
        <v>0.860806</v>
      </c>
      <c r="G1833" s="61" t="n">
        <v>0.175519</v>
      </c>
      <c r="H1833" s="34" t="n">
        <f aca="false">NORMSINV(F1833)</f>
        <v>1.08394767400619</v>
      </c>
      <c r="I1833" s="34" t="n">
        <f aca="false">NORMSINV(G1833)</f>
        <v>-0.93257779999471</v>
      </c>
      <c r="J1833" s="59" t="n">
        <f aca="false">mc_s0*EXP((mc_mu-mc_vol^2/2)*mc_t1+mc_vol*SQRT(mc_t1)*H1833)</f>
        <v>1271.31519458215</v>
      </c>
      <c r="K1833" s="59" t="n">
        <f aca="false">J1833*EXP((mc_mu-mc_vol^2/2)*(mc_t2-mc_t1)+mc_vol*SQRT(mc_t2-mc_t1)*I1833)</f>
        <v>1117.65275627498</v>
      </c>
      <c r="L1833" s="31" t="n">
        <f aca="false">(t1_usd*J1833+t2_usd*K1833)/1000</f>
        <v>11022.7465989975</v>
      </c>
    </row>
    <row r="1834" customFormat="false" ht="15" hidden="false" customHeight="false" outlineLevel="0" collapsed="false">
      <c r="E1834" s="54" t="n">
        <v>1830</v>
      </c>
      <c r="F1834" s="61" t="n">
        <v>0.855194</v>
      </c>
      <c r="G1834" s="61" t="n">
        <v>0.022936</v>
      </c>
      <c r="H1834" s="34" t="n">
        <f aca="false">NORMSINV(F1834)</f>
        <v>1.05897316748169</v>
      </c>
      <c r="I1834" s="34" t="n">
        <f aca="false">NORMSINV(G1834)</f>
        <v>-1.99656921363997</v>
      </c>
      <c r="J1834" s="59" t="n">
        <f aca="false">mc_s0*EXP((mc_mu-mc_vol^2/2)*mc_t1+mc_vol*SQRT(mc_t1)*H1834)</f>
        <v>1268.28592117385</v>
      </c>
      <c r="K1834" s="59" t="n">
        <f aca="false">J1834*EXP((mc_mu-mc_vol^2/2)*(mc_t2-mc_t1)+mc_vol*SQRT(mc_t2-mc_t1)*I1834)</f>
        <v>942.864489253792</v>
      </c>
      <c r="L1834" s="31" t="n">
        <f aca="false">(t1_usd*J1834+t2_usd*K1834)/1000</f>
        <v>10669.4439777992</v>
      </c>
    </row>
    <row r="1835" customFormat="false" ht="15" hidden="false" customHeight="false" outlineLevel="0" collapsed="false">
      <c r="E1835" s="54" t="n">
        <v>1831</v>
      </c>
      <c r="F1835" s="61" t="n">
        <v>0.637789</v>
      </c>
      <c r="G1835" s="61" t="n">
        <v>0.747512</v>
      </c>
      <c r="H1835" s="34" t="n">
        <f aca="false">NORMSINV(F1835)</f>
        <v>0.352555104903954</v>
      </c>
      <c r="I1835" s="34" t="n">
        <f aca="false">NORMSINV(G1835)</f>
        <v>0.666680871070291</v>
      </c>
      <c r="J1835" s="59" t="n">
        <f aca="false">mc_s0*EXP((mc_mu-mc_vol^2/2)*mc_t1+mc_vol*SQRT(mc_t1)*H1835)</f>
        <v>1185.52701329839</v>
      </c>
      <c r="K1835" s="59" t="n">
        <f aca="false">J1835*EXP((mc_mu-mc_vol^2/2)*(mc_t2-mc_t1)+mc_vol*SQRT(mc_t2-mc_t1)*I1835)</f>
        <v>1340.97704312941</v>
      </c>
      <c r="L1835" s="31" t="n">
        <f aca="false">(t1_usd*J1835+t2_usd*K1835)/1000</f>
        <v>10846.5454750346</v>
      </c>
    </row>
    <row r="1836" customFormat="false" ht="15" hidden="false" customHeight="false" outlineLevel="0" collapsed="false">
      <c r="E1836" s="54" t="n">
        <v>1832</v>
      </c>
      <c r="F1836" s="61" t="n">
        <v>0.535246</v>
      </c>
      <c r="G1836" s="61" t="n">
        <v>0.354215</v>
      </c>
      <c r="H1836" s="34" t="n">
        <f aca="false">NORMSINV(F1836)</f>
        <v>0.0884638690987863</v>
      </c>
      <c r="I1836" s="34" t="n">
        <f aca="false">NORMSINV(G1836)</f>
        <v>-0.373965478439719</v>
      </c>
      <c r="J1836" s="59" t="n">
        <f aca="false">mc_s0*EXP((mc_mu-mc_vol^2/2)*mc_t1+mc_vol*SQRT(mc_t1)*H1836)</f>
        <v>1155.99416719137</v>
      </c>
      <c r="K1836" s="59" t="n">
        <f aca="false">J1836*EXP((mc_mu-mc_vol^2/2)*(mc_t2-mc_t1)+mc_vol*SQRT(mc_t2-mc_t1)*I1836)</f>
        <v>1109.79244276538</v>
      </c>
      <c r="L1836" s="31" t="n">
        <f aca="false">(t1_usd*J1836+t2_usd*K1836)/1000</f>
        <v>10200.5648115938</v>
      </c>
    </row>
    <row r="1837" customFormat="false" ht="15" hidden="false" customHeight="false" outlineLevel="0" collapsed="false">
      <c r="E1837" s="54" t="n">
        <v>1833</v>
      </c>
      <c r="F1837" s="61" t="n">
        <v>0.620197</v>
      </c>
      <c r="G1837" s="61" t="n">
        <v>0.32446</v>
      </c>
      <c r="H1837" s="34" t="n">
        <f aca="false">NORMSINV(F1837)</f>
        <v>0.305998221382059</v>
      </c>
      <c r="I1837" s="34" t="n">
        <f aca="false">NORMSINV(G1837)</f>
        <v>-0.455263057754902</v>
      </c>
      <c r="J1837" s="59" t="n">
        <f aca="false">mc_s0*EXP((mc_mu-mc_vol^2/2)*mc_t1+mc_vol*SQRT(mc_t1)*H1837)</f>
        <v>1180.26640146277</v>
      </c>
      <c r="K1837" s="59" t="n">
        <f aca="false">J1837*EXP((mc_mu-mc_vol^2/2)*(mc_t2-mc_t1)+mc_vol*SQRT(mc_t2-mc_t1)*I1837)</f>
        <v>1118.67004077579</v>
      </c>
      <c r="L1837" s="31" t="n">
        <f aca="false">(t1_usd*J1837+t2_usd*K1837)/1000</f>
        <v>10387.3378877134</v>
      </c>
    </row>
    <row r="1838" customFormat="false" ht="15" hidden="false" customHeight="false" outlineLevel="0" collapsed="false">
      <c r="E1838" s="54" t="n">
        <v>1834</v>
      </c>
      <c r="F1838" s="61" t="n">
        <v>0.758488</v>
      </c>
      <c r="G1838" s="61" t="n">
        <v>0.486536</v>
      </c>
      <c r="H1838" s="34" t="n">
        <f aca="false">NORMSINV(F1838)</f>
        <v>0.701447159300642</v>
      </c>
      <c r="I1838" s="34" t="n">
        <f aca="false">NORMSINV(G1838)</f>
        <v>-0.0337556524404718</v>
      </c>
      <c r="J1838" s="59" t="n">
        <f aca="false">mc_s0*EXP((mc_mu-mc_vol^2/2)*mc_t1+mc_vol*SQRT(mc_t1)*H1838)</f>
        <v>1225.70292728236</v>
      </c>
      <c r="K1838" s="59" t="n">
        <f aca="false">J1838*EXP((mc_mu-mc_vol^2/2)*(mc_t2-mc_t1)+mc_vol*SQRT(mc_t2-mc_t1)*I1838)</f>
        <v>1241.52633412995</v>
      </c>
      <c r="L1838" s="31" t="n">
        <f aca="false">(t1_usd*J1838+t2_usd*K1838)/1000</f>
        <v>10938.8205258234</v>
      </c>
    </row>
    <row r="1839" customFormat="false" ht="15" hidden="false" customHeight="false" outlineLevel="0" collapsed="false">
      <c r="E1839" s="54" t="n">
        <v>1835</v>
      </c>
      <c r="F1839" s="61" t="n">
        <v>0.036761</v>
      </c>
      <c r="G1839" s="61" t="n">
        <v>0.913988</v>
      </c>
      <c r="H1839" s="34" t="n">
        <f aca="false">NORMSINV(F1839)</f>
        <v>-1.78957661909082</v>
      </c>
      <c r="I1839" s="34" t="n">
        <f aca="false">NORMSINV(G1839)</f>
        <v>1.36572912262727</v>
      </c>
      <c r="J1839" s="59" t="n">
        <f aca="false">mc_s0*EXP((mc_mu-mc_vol^2/2)*mc_t1+mc_vol*SQRT(mc_t1)*H1839)</f>
        <v>966.151492011421</v>
      </c>
      <c r="K1839" s="59" t="n">
        <f aca="false">J1839*EXP((mc_mu-mc_vol^2/2)*(mc_t2-mc_t1)+mc_vol*SQRT(mc_t2-mc_t1)*I1839)</f>
        <v>1220.11081865694</v>
      </c>
      <c r="L1839" s="31" t="n">
        <f aca="false">(t1_usd*J1839+t2_usd*K1839)/1000</f>
        <v>9081.27099952814</v>
      </c>
    </row>
    <row r="1840" customFormat="false" ht="15" hidden="false" customHeight="false" outlineLevel="0" collapsed="false">
      <c r="E1840" s="54" t="n">
        <v>1836</v>
      </c>
      <c r="F1840" s="61" t="n">
        <v>0.808149</v>
      </c>
      <c r="G1840" s="61" t="n">
        <v>0.776455</v>
      </c>
      <c r="H1840" s="34" t="n">
        <f aca="false">NORMSINV(F1840)</f>
        <v>0.871095520118709</v>
      </c>
      <c r="I1840" s="34" t="n">
        <f aca="false">NORMSINV(G1840)</f>
        <v>0.760275371859488</v>
      </c>
      <c r="J1840" s="59" t="n">
        <f aca="false">mc_s0*EXP((mc_mu-mc_vol^2/2)*mc_t1+mc_vol*SQRT(mc_t1)*H1840)</f>
        <v>1245.72757198802</v>
      </c>
      <c r="K1840" s="59" t="n">
        <f aca="false">J1840*EXP((mc_mu-mc_vol^2/2)*(mc_t2-mc_t1)+mc_vol*SQRT(mc_t2-mc_t1)*I1840)</f>
        <v>1430.00892206343</v>
      </c>
      <c r="L1840" s="31" t="n">
        <f aca="false">(t1_usd*J1840+t2_usd*K1840)/1000</f>
        <v>11437.1099558366</v>
      </c>
    </row>
    <row r="1841" customFormat="false" ht="15" hidden="false" customHeight="false" outlineLevel="0" collapsed="false">
      <c r="E1841" s="54" t="n">
        <v>1837</v>
      </c>
      <c r="F1841" s="61" t="n">
        <v>0.726333</v>
      </c>
      <c r="G1841" s="61" t="n">
        <v>0.618583</v>
      </c>
      <c r="H1841" s="34" t="n">
        <f aca="false">NORMSINV(F1841)</f>
        <v>0.601759856706383</v>
      </c>
      <c r="I1841" s="34" t="n">
        <f aca="false">NORMSINV(G1841)</f>
        <v>0.301761345220761</v>
      </c>
      <c r="J1841" s="59" t="n">
        <f aca="false">mc_s0*EXP((mc_mu-mc_vol^2/2)*mc_t1+mc_vol*SQRT(mc_t1)*H1841)</f>
        <v>1214.08669743264</v>
      </c>
      <c r="K1841" s="59" t="n">
        <f aca="false">J1841*EXP((mc_mu-mc_vol^2/2)*(mc_t2-mc_t1)+mc_vol*SQRT(mc_t2-mc_t1)*I1841)</f>
        <v>1296.53372953428</v>
      </c>
      <c r="L1841" s="31" t="n">
        <f aca="false">(t1_usd*J1841+t2_usd*K1841)/1000</f>
        <v>10962.0209681436</v>
      </c>
    </row>
    <row r="1842" customFormat="false" ht="15" hidden="false" customHeight="false" outlineLevel="0" collapsed="false">
      <c r="E1842" s="54" t="n">
        <v>1838</v>
      </c>
      <c r="F1842" s="61" t="n">
        <v>0.516976</v>
      </c>
      <c r="G1842" s="61" t="n">
        <v>0.21336</v>
      </c>
      <c r="H1842" s="34" t="n">
        <f aca="false">NORMSINV(F1842)</f>
        <v>0.0425653714980241</v>
      </c>
      <c r="I1842" s="34" t="n">
        <f aca="false">NORMSINV(G1842)</f>
        <v>-0.794816932329233</v>
      </c>
      <c r="J1842" s="59" t="n">
        <f aca="false">mc_s0*EXP((mc_mu-mc_vol^2/2)*mc_t1+mc_vol*SQRT(mc_t1)*H1842)</f>
        <v>1150.93698428366</v>
      </c>
      <c r="K1842" s="59" t="n">
        <f aca="false">J1842*EXP((mc_mu-mc_vol^2/2)*(mc_t2-mc_t1)+mc_vol*SQRT(mc_t2-mc_t1)*I1842)</f>
        <v>1034.03160082561</v>
      </c>
      <c r="L1842" s="31" t="n">
        <f aca="false">(t1_usd*J1842+t2_usd*K1842)/1000</f>
        <v>10021.2189315543</v>
      </c>
    </row>
    <row r="1843" customFormat="false" ht="15" hidden="false" customHeight="false" outlineLevel="0" collapsed="false">
      <c r="E1843" s="54" t="n">
        <v>1839</v>
      </c>
      <c r="F1843" s="61" t="n">
        <v>0.113544</v>
      </c>
      <c r="G1843" s="61" t="n">
        <v>0.404659</v>
      </c>
      <c r="H1843" s="34" t="n">
        <f aca="false">NORMSINV(F1843)</f>
        <v>-1.20789409820623</v>
      </c>
      <c r="I1843" s="34" t="n">
        <f aca="false">NORMSINV(G1843)</f>
        <v>-0.241305949610622</v>
      </c>
      <c r="J1843" s="59" t="n">
        <f aca="false">mc_s0*EXP((mc_mu-mc_vol^2/2)*mc_t1+mc_vol*SQRT(mc_t1)*H1843)</f>
        <v>1021.35401059794</v>
      </c>
      <c r="K1843" s="59" t="n">
        <f aca="false">J1843*EXP((mc_mu-mc_vol^2/2)*(mc_t2-mc_t1)+mc_vol*SQRT(mc_t2-mc_t1)*I1843)</f>
        <v>1001.24851145026</v>
      </c>
      <c r="L1843" s="31" t="n">
        <f aca="false">(t1_usd*J1843+t2_usd*K1843)/1000</f>
        <v>9051.85024594105</v>
      </c>
    </row>
    <row r="1844" customFormat="false" ht="15" hidden="false" customHeight="false" outlineLevel="0" collapsed="false">
      <c r="E1844" s="54" t="n">
        <v>1840</v>
      </c>
      <c r="F1844" s="61" t="n">
        <v>0.36861</v>
      </c>
      <c r="G1844" s="61" t="n">
        <v>0.468391</v>
      </c>
      <c r="H1844" s="34" t="n">
        <f aca="false">NORMSINV(F1844)</f>
        <v>-0.335537051387077</v>
      </c>
      <c r="I1844" s="34" t="n">
        <f aca="false">NORMSINV(G1844)</f>
        <v>-0.0793150950665152</v>
      </c>
      <c r="J1844" s="59" t="n">
        <f aca="false">mc_s0*EXP((mc_mu-mc_vol^2/2)*mc_t1+mc_vol*SQRT(mc_t1)*H1844)</f>
        <v>1110.10992678387</v>
      </c>
      <c r="K1844" s="59" t="n">
        <f aca="false">J1844*EXP((mc_mu-mc_vol^2/2)*(mc_t2-mc_t1)+mc_vol*SQRT(mc_t2-mc_t1)*I1844)</f>
        <v>1116.39665329398</v>
      </c>
      <c r="L1844" s="31" t="n">
        <f aca="false">(t1_usd*J1844+t2_usd*K1844)/1000</f>
        <v>9891.92312874563</v>
      </c>
    </row>
    <row r="1845" customFormat="false" ht="15" hidden="false" customHeight="false" outlineLevel="0" collapsed="false">
      <c r="E1845" s="54" t="n">
        <v>1841</v>
      </c>
      <c r="F1845" s="61" t="n">
        <v>0.689538</v>
      </c>
      <c r="G1845" s="61" t="n">
        <v>0.877723</v>
      </c>
      <c r="H1845" s="34" t="n">
        <f aca="false">NORMSINV(F1845)</f>
        <v>0.494541224105356</v>
      </c>
      <c r="I1845" s="34" t="n">
        <f aca="false">NORMSINV(G1845)</f>
        <v>1.16367930304558</v>
      </c>
      <c r="J1845" s="59" t="n">
        <f aca="false">mc_s0*EXP((mc_mu-mc_vol^2/2)*mc_t1+mc_vol*SQRT(mc_t1)*H1845)</f>
        <v>1201.71571664334</v>
      </c>
      <c r="K1845" s="59" t="n">
        <f aca="false">J1845*EXP((mc_mu-mc_vol^2/2)*(mc_t2-mc_t1)+mc_vol*SQRT(mc_t2-mc_t1)*I1845)</f>
        <v>1470.03313988696</v>
      </c>
      <c r="L1845" s="31" t="n">
        <f aca="false">(t1_usd*J1845+t2_usd*K1845)/1000</f>
        <v>11205.0729822886</v>
      </c>
    </row>
    <row r="1846" customFormat="false" ht="15" hidden="false" customHeight="false" outlineLevel="0" collapsed="false">
      <c r="E1846" s="54" t="n">
        <v>1842</v>
      </c>
      <c r="F1846" s="61" t="n">
        <v>0.866627</v>
      </c>
      <c r="G1846" s="61" t="n">
        <v>0.002275</v>
      </c>
      <c r="H1846" s="34" t="n">
        <f aca="false">NORMSINV(F1846)</f>
        <v>1.11058737388193</v>
      </c>
      <c r="I1846" s="34" t="n">
        <f aca="false">NORMSINV(G1846)</f>
        <v>-2.83727783210722</v>
      </c>
      <c r="J1846" s="59" t="n">
        <f aca="false">mc_s0*EXP((mc_mu-mc_vol^2/2)*mc_t1+mc_vol*SQRT(mc_t1)*H1846)</f>
        <v>1274.55442248743</v>
      </c>
      <c r="K1846" s="59" t="n">
        <f aca="false">J1846*EXP((mc_mu-mc_vol^2/2)*(mc_t2-mc_t1)+mc_vol*SQRT(mc_t2-mc_t1)*I1846)</f>
        <v>829.947905416151</v>
      </c>
      <c r="L1846" s="31" t="n">
        <f aca="false">(t1_usd*J1846+t2_usd*K1846)/1000</f>
        <v>10498.7819777027</v>
      </c>
    </row>
    <row r="1847" customFormat="false" ht="15" hidden="false" customHeight="false" outlineLevel="0" collapsed="false">
      <c r="E1847" s="54" t="n">
        <v>1843</v>
      </c>
      <c r="F1847" s="61" t="n">
        <v>0.516699</v>
      </c>
      <c r="G1847" s="61" t="n">
        <v>0.348588</v>
      </c>
      <c r="H1847" s="34" t="n">
        <f aca="false">NORMSINV(F1847)</f>
        <v>0.0418704164010799</v>
      </c>
      <c r="I1847" s="34" t="n">
        <f aca="false">NORMSINV(G1847)</f>
        <v>-0.389135383454862</v>
      </c>
      <c r="J1847" s="59" t="n">
        <f aca="false">mc_s0*EXP((mc_mu-mc_vol^2/2)*mc_t1+mc_vol*SQRT(mc_t1)*H1847)</f>
        <v>1150.86058309337</v>
      </c>
      <c r="K1847" s="59" t="n">
        <f aca="false">J1847*EXP((mc_mu-mc_vol^2/2)*(mc_t2-mc_t1)+mc_vol*SQRT(mc_t2-mc_t1)*I1847)</f>
        <v>1102.22581833759</v>
      </c>
      <c r="L1847" s="31" t="n">
        <f aca="false">(t1_usd*J1847+t2_usd*K1847)/1000</f>
        <v>10150.253136495</v>
      </c>
    </row>
    <row r="1848" customFormat="false" ht="15" hidden="false" customHeight="false" outlineLevel="0" collapsed="false">
      <c r="E1848" s="54" t="n">
        <v>1844</v>
      </c>
      <c r="F1848" s="61" t="n">
        <v>0.913557</v>
      </c>
      <c r="G1848" s="61" t="n">
        <v>0.336841</v>
      </c>
      <c r="H1848" s="34" t="n">
        <f aca="false">NORMSINV(F1848)</f>
        <v>1.36298892827336</v>
      </c>
      <c r="I1848" s="34" t="n">
        <f aca="false">NORMSINV(G1848)</f>
        <v>-0.4211000843299</v>
      </c>
      <c r="J1848" s="59" t="n">
        <f aca="false">mc_s0*EXP((mc_mu-mc_vol^2/2)*mc_t1+mc_vol*SQRT(mc_t1)*H1848)</f>
        <v>1305.6574461159</v>
      </c>
      <c r="K1848" s="59" t="n">
        <f aca="false">J1848*EXP((mc_mu-mc_vol^2/2)*(mc_t2-mc_t1)+mc_vol*SQRT(mc_t2-mc_t1)*I1848)</f>
        <v>1244.1976887666</v>
      </c>
      <c r="L1848" s="31" t="n">
        <f aca="false">(t1_usd*J1848+t2_usd*K1848)/1000</f>
        <v>11503.5777314679</v>
      </c>
    </row>
    <row r="1849" customFormat="false" ht="15" hidden="false" customHeight="false" outlineLevel="0" collapsed="false">
      <c r="E1849" s="54" t="n">
        <v>1845</v>
      </c>
      <c r="F1849" s="61" t="n">
        <v>0.150713</v>
      </c>
      <c r="G1849" s="61" t="n">
        <v>0.998907</v>
      </c>
      <c r="H1849" s="34" t="n">
        <f aca="false">NORMSINV(F1849)</f>
        <v>-1.03338021858263</v>
      </c>
      <c r="I1849" s="34" t="n">
        <f aca="false">NORMSINV(G1849)</f>
        <v>3.06372466200336</v>
      </c>
      <c r="J1849" s="59" t="n">
        <f aca="false">mc_s0*EXP((mc_mu-mc_vol^2/2)*mc_t1+mc_vol*SQRT(mc_t1)*H1849)</f>
        <v>1038.52271010775</v>
      </c>
      <c r="K1849" s="59" t="n">
        <f aca="false">J1849*EXP((mc_mu-mc_vol^2/2)*(mc_t2-mc_t1)+mc_vol*SQRT(mc_t2-mc_t1)*I1849)</f>
        <v>1713.89422208143</v>
      </c>
      <c r="L1849" s="31" t="n">
        <f aca="false">(t1_usd*J1849+t2_usd*K1849)/1000</f>
        <v>10526.0579927089</v>
      </c>
    </row>
    <row r="1850" customFormat="false" ht="15" hidden="false" customHeight="false" outlineLevel="0" collapsed="false">
      <c r="E1850" s="54" t="n">
        <v>1846</v>
      </c>
      <c r="F1850" s="61" t="n">
        <v>0.75225</v>
      </c>
      <c r="G1850" s="61" t="n">
        <v>0.494481</v>
      </c>
      <c r="H1850" s="34" t="n">
        <f aca="false">NORMSINV(F1850)</f>
        <v>0.681587217311675</v>
      </c>
      <c r="I1850" s="34" t="n">
        <f aca="false">NORMSINV(G1850)</f>
        <v>-0.0138345227425052</v>
      </c>
      <c r="J1850" s="59" t="n">
        <f aca="false">mc_s0*EXP((mc_mu-mc_vol^2/2)*mc_t1+mc_vol*SQRT(mc_t1)*H1850)</f>
        <v>1223.37988256968</v>
      </c>
      <c r="K1850" s="59" t="n">
        <f aca="false">J1850*EXP((mc_mu-mc_vol^2/2)*(mc_t2-mc_t1)+mc_vol*SQRT(mc_t2-mc_t1)*I1850)</f>
        <v>1243.06971625849</v>
      </c>
      <c r="L1850" s="31" t="n">
        <f aca="false">(t1_usd*J1850+t2_usd*K1850)/1000</f>
        <v>10925.4916388789</v>
      </c>
    </row>
    <row r="1851" customFormat="false" ht="15" hidden="false" customHeight="false" outlineLevel="0" collapsed="false">
      <c r="E1851" s="54" t="n">
        <v>1847</v>
      </c>
      <c r="F1851" s="61" t="n">
        <v>0.787421</v>
      </c>
      <c r="G1851" s="61" t="n">
        <v>0.387901</v>
      </c>
      <c r="H1851" s="34" t="n">
        <f aca="false">NORMSINV(F1851)</f>
        <v>0.797504655739077</v>
      </c>
      <c r="I1851" s="34" t="n">
        <f aca="false">NORMSINV(G1851)</f>
        <v>-0.284793959887914</v>
      </c>
      <c r="J1851" s="59" t="n">
        <f aca="false">mc_s0*EXP((mc_mu-mc_vol^2/2)*mc_t1+mc_vol*SQRT(mc_t1)*H1851)</f>
        <v>1237.00132165058</v>
      </c>
      <c r="K1851" s="59" t="n">
        <f aca="false">J1851*EXP((mc_mu-mc_vol^2/2)*(mc_t2-mc_t1)+mc_vol*SQRT(mc_t2-mc_t1)*I1851)</f>
        <v>1204.36838959827</v>
      </c>
      <c r="L1851" s="31" t="n">
        <f aca="false">(t1_usd*J1851+t2_usd*K1851)/1000</f>
        <v>10947.3091917908</v>
      </c>
    </row>
    <row r="1852" customFormat="false" ht="15" hidden="false" customHeight="false" outlineLevel="0" collapsed="false">
      <c r="E1852" s="54" t="n">
        <v>1848</v>
      </c>
      <c r="F1852" s="61" t="n">
        <v>0.631102</v>
      </c>
      <c r="G1852" s="61" t="n">
        <v>0.964343</v>
      </c>
      <c r="H1852" s="34" t="n">
        <f aca="false">NORMSINV(F1852)</f>
        <v>0.334773436525878</v>
      </c>
      <c r="I1852" s="34" t="n">
        <f aca="false">NORMSINV(G1852)</f>
        <v>1.80347275816929</v>
      </c>
      <c r="J1852" s="59" t="n">
        <f aca="false">mc_s0*EXP((mc_mu-mc_vol^2/2)*mc_t1+mc_vol*SQRT(mc_t1)*H1852)</f>
        <v>1183.51504364276</v>
      </c>
      <c r="K1852" s="59" t="n">
        <f aca="false">J1852*EXP((mc_mu-mc_vol^2/2)*(mc_t2-mc_t1)+mc_vol*SQRT(mc_t2-mc_t1)*I1852)</f>
        <v>1601.35573305376</v>
      </c>
      <c r="L1852" s="31" t="n">
        <f aca="false">(t1_usd*J1852+t2_usd*K1852)/1000</f>
        <v>11327.1811983015</v>
      </c>
    </row>
    <row r="1853" customFormat="false" ht="15" hidden="false" customHeight="false" outlineLevel="0" collapsed="false">
      <c r="E1853" s="54" t="n">
        <v>1849</v>
      </c>
      <c r="F1853" s="61" t="n">
        <v>0.292928</v>
      </c>
      <c r="G1853" s="61" t="n">
        <v>0.246286</v>
      </c>
      <c r="H1853" s="34" t="n">
        <f aca="false">NORMSINV(F1853)</f>
        <v>-0.544850998821326</v>
      </c>
      <c r="I1853" s="34" t="n">
        <f aca="false">NORMSINV(G1853)</f>
        <v>-0.686223786962588</v>
      </c>
      <c r="J1853" s="59" t="n">
        <f aca="false">mc_s0*EXP((mc_mu-mc_vol^2/2)*mc_t1+mc_vol*SQRT(mc_t1)*H1853)</f>
        <v>1088.13456931494</v>
      </c>
      <c r="K1853" s="59" t="n">
        <f aca="false">J1853*EXP((mc_mu-mc_vol^2/2)*(mc_t2-mc_t1)+mc_vol*SQRT(mc_t2-mc_t1)*I1853)</f>
        <v>994.482601841394</v>
      </c>
      <c r="L1853" s="31" t="n">
        <f aca="false">(t1_usd*J1853+t2_usd*K1853)/1000</f>
        <v>9506.4589287032</v>
      </c>
    </row>
    <row r="1854" customFormat="false" ht="15" hidden="false" customHeight="false" outlineLevel="0" collapsed="false">
      <c r="E1854" s="54" t="n">
        <v>1850</v>
      </c>
      <c r="F1854" s="61" t="n">
        <v>0.483473</v>
      </c>
      <c r="G1854" s="61" t="n">
        <v>0.860746</v>
      </c>
      <c r="H1854" s="34" t="n">
        <f aca="false">NORMSINV(F1854)</f>
        <v>-0.0414389021343498</v>
      </c>
      <c r="I1854" s="34" t="n">
        <f aca="false">NORMSINV(G1854)</f>
        <v>1.08367708320233</v>
      </c>
      <c r="J1854" s="59" t="n">
        <f aca="false">mc_s0*EXP((mc_mu-mc_vol^2/2)*mc_t1+mc_vol*SQRT(mc_t1)*H1854)</f>
        <v>1141.73846581237</v>
      </c>
      <c r="K1854" s="59" t="n">
        <f aca="false">J1854*EXP((mc_mu-mc_vol^2/2)*(mc_t2-mc_t1)+mc_vol*SQRT(mc_t2-mc_t1)*I1854)</f>
        <v>1379.16591940675</v>
      </c>
      <c r="L1854" s="31" t="n">
        <f aca="false">(t1_usd*J1854+t2_usd*K1854)/1000</f>
        <v>10612.5845075594</v>
      </c>
    </row>
    <row r="1855" customFormat="false" ht="15" hidden="false" customHeight="false" outlineLevel="0" collapsed="false">
      <c r="E1855" s="54" t="n">
        <v>1851</v>
      </c>
      <c r="F1855" s="61" t="n">
        <v>0.907592</v>
      </c>
      <c r="G1855" s="61" t="n">
        <v>0.147075</v>
      </c>
      <c r="H1855" s="34" t="n">
        <f aca="false">NORMSINV(F1855)</f>
        <v>1.32607154605237</v>
      </c>
      <c r="I1855" s="34" t="n">
        <f aca="false">NORMSINV(G1855)</f>
        <v>-1.04906109613926</v>
      </c>
      <c r="J1855" s="59" t="n">
        <f aca="false">mc_s0*EXP((mc_mu-mc_vol^2/2)*mc_t1+mc_vol*SQRT(mc_t1)*H1855)</f>
        <v>1301.06122552215</v>
      </c>
      <c r="K1855" s="59" t="n">
        <f aca="false">J1855*EXP((mc_mu-mc_vol^2/2)*(mc_t2-mc_t1)+mc_vol*SQRT(mc_t2-mc_t1)*I1855)</f>
        <v>1122.99819156548</v>
      </c>
      <c r="L1855" s="31" t="n">
        <f aca="false">(t1_usd*J1855+t2_usd*K1855)/1000</f>
        <v>11241.1251426295</v>
      </c>
    </row>
    <row r="1856" customFormat="false" ht="15" hidden="false" customHeight="false" outlineLevel="0" collapsed="false">
      <c r="E1856" s="54" t="n">
        <v>1852</v>
      </c>
      <c r="F1856" s="61" t="n">
        <v>0.359847</v>
      </c>
      <c r="G1856" s="61" t="n">
        <v>0.146808</v>
      </c>
      <c r="H1856" s="34" t="n">
        <f aca="false">NORMSINV(F1856)</f>
        <v>-0.358867785472986</v>
      </c>
      <c r="I1856" s="34" t="n">
        <f aca="false">NORMSINV(G1856)</f>
        <v>-1.05022212395595</v>
      </c>
      <c r="J1856" s="59" t="n">
        <f aca="false">mc_s0*EXP((mc_mu-mc_vol^2/2)*mc_t1+mc_vol*SQRT(mc_t1)*H1856)</f>
        <v>1107.63867615985</v>
      </c>
      <c r="K1856" s="59" t="n">
        <f aca="false">J1856*EXP((mc_mu-mc_vol^2/2)*(mc_t2-mc_t1)+mc_vol*SQRT(mc_t2-mc_t1)*I1856)</f>
        <v>955.872509699198</v>
      </c>
      <c r="L1856" s="31" t="n">
        <f aca="false">(t1_usd*J1856+t2_usd*K1856)/1000</f>
        <v>9569.6285015474</v>
      </c>
    </row>
    <row r="1857" customFormat="false" ht="15" hidden="false" customHeight="false" outlineLevel="0" collapsed="false">
      <c r="E1857" s="54" t="n">
        <v>1853</v>
      </c>
      <c r="F1857" s="61" t="n">
        <v>0.179697</v>
      </c>
      <c r="G1857" s="61" t="n">
        <v>0.063671</v>
      </c>
      <c r="H1857" s="34" t="n">
        <f aca="false">NORMSINV(F1857)</f>
        <v>-0.916520424332844</v>
      </c>
      <c r="I1857" s="34" t="n">
        <f aca="false">NORMSINV(G1857)</f>
        <v>-1.52466770809995</v>
      </c>
      <c r="J1857" s="59" t="n">
        <f aca="false">mc_s0*EXP((mc_mu-mc_vol^2/2)*mc_t1+mc_vol*SQRT(mc_t1)*H1857)</f>
        <v>1050.18042905279</v>
      </c>
      <c r="K1857" s="59" t="n">
        <f aca="false">J1857*EXP((mc_mu-mc_vol^2/2)*(mc_t2-mc_t1)+mc_vol*SQRT(mc_t2-mc_t1)*I1857)</f>
        <v>840.995832586155</v>
      </c>
      <c r="L1857" s="31" t="n">
        <f aca="false">(t1_usd*J1857+t2_usd*K1857)/1000</f>
        <v>8949.15508528324</v>
      </c>
    </row>
    <row r="1858" customFormat="false" ht="15" hidden="false" customHeight="false" outlineLevel="0" collapsed="false">
      <c r="E1858" s="54" t="n">
        <v>1854</v>
      </c>
      <c r="F1858" s="61" t="n">
        <v>0.652883</v>
      </c>
      <c r="G1858" s="61" t="n">
        <v>0.470274</v>
      </c>
      <c r="H1858" s="34" t="n">
        <f aca="false">NORMSINV(F1858)</f>
        <v>0.393115738952353</v>
      </c>
      <c r="I1858" s="34" t="n">
        <f aca="false">NORMSINV(G1858)</f>
        <v>-0.074581115396722</v>
      </c>
      <c r="J1858" s="59" t="n">
        <f aca="false">mc_s0*EXP((mc_mu-mc_vol^2/2)*mc_t1+mc_vol*SQRT(mc_t1)*H1858)</f>
        <v>1190.1291979358</v>
      </c>
      <c r="K1858" s="59" t="n">
        <f aca="false">J1858*EXP((mc_mu-mc_vol^2/2)*(mc_t2-mc_t1)+mc_vol*SQRT(mc_t2-mc_t1)*I1858)</f>
        <v>1197.76233508504</v>
      </c>
      <c r="L1858" s="31" t="n">
        <f aca="false">(t1_usd*J1858+t2_usd*K1858)/1000</f>
        <v>10606.6528222122</v>
      </c>
    </row>
    <row r="1859" customFormat="false" ht="15" hidden="false" customHeight="false" outlineLevel="0" collapsed="false">
      <c r="E1859" s="54" t="n">
        <v>1855</v>
      </c>
      <c r="F1859" s="61" t="n">
        <v>0.364086</v>
      </c>
      <c r="G1859" s="61" t="n">
        <v>0.379595</v>
      </c>
      <c r="H1859" s="34" t="n">
        <f aca="false">NORMSINV(F1859)</f>
        <v>-0.347558203824658</v>
      </c>
      <c r="I1859" s="34" t="n">
        <f aca="false">NORMSINV(G1859)</f>
        <v>-0.306544635812624</v>
      </c>
      <c r="J1859" s="59" t="n">
        <f aca="false">mc_s0*EXP((mc_mu-mc_vol^2/2)*mc_t1+mc_vol*SQRT(mc_t1)*H1859)</f>
        <v>1108.83592799462</v>
      </c>
      <c r="K1859" s="59" t="n">
        <f aca="false">J1859*EXP((mc_mu-mc_vol^2/2)*(mc_t2-mc_t1)+mc_vol*SQRT(mc_t2-mc_t1)*I1859)</f>
        <v>1075.8898671908</v>
      </c>
      <c r="L1859" s="31" t="n">
        <f aca="false">(t1_usd*J1859+t2_usd*K1859)/1000</f>
        <v>9806.04224362483</v>
      </c>
    </row>
    <row r="1860" customFormat="false" ht="15" hidden="false" customHeight="false" outlineLevel="0" collapsed="false">
      <c r="E1860" s="54" t="n">
        <v>1856</v>
      </c>
      <c r="F1860" s="61" t="n">
        <v>0.552762</v>
      </c>
      <c r="G1860" s="61" t="n">
        <v>0.62984</v>
      </c>
      <c r="H1860" s="34" t="n">
        <f aca="false">NORMSINV(F1860)</f>
        <v>0.132642650755097</v>
      </c>
      <c r="I1860" s="34" t="n">
        <f aca="false">NORMSINV(G1860)</f>
        <v>0.331429612652622</v>
      </c>
      <c r="J1860" s="59" t="n">
        <f aca="false">mc_s0*EXP((mc_mu-mc_vol^2/2)*mc_t1+mc_vol*SQRT(mc_t1)*H1860)</f>
        <v>1160.8828552515</v>
      </c>
      <c r="K1860" s="59" t="n">
        <f aca="false">J1860*EXP((mc_mu-mc_vol^2/2)*(mc_t2-mc_t1)+mc_vol*SQRT(mc_t2-mc_t1)*I1860)</f>
        <v>1245.52677347478</v>
      </c>
      <c r="L1860" s="31" t="n">
        <f aca="false">(t1_usd*J1860+t2_usd*K1860)/1000</f>
        <v>10492.6808563626</v>
      </c>
    </row>
    <row r="1861" customFormat="false" ht="15" hidden="false" customHeight="false" outlineLevel="0" collapsed="false">
      <c r="E1861" s="54" t="n">
        <v>1857</v>
      </c>
      <c r="F1861" s="61" t="n">
        <v>0.375306</v>
      </c>
      <c r="G1861" s="61" t="n">
        <v>0.976776</v>
      </c>
      <c r="H1861" s="34" t="n">
        <f aca="false">NORMSINV(F1861)</f>
        <v>-0.317832495458551</v>
      </c>
      <c r="I1861" s="34" t="n">
        <f aca="false">NORMSINV(G1861)</f>
        <v>1.99129923066524</v>
      </c>
      <c r="J1861" s="59" t="n">
        <f aca="false">mc_s0*EXP((mc_mu-mc_vol^2/2)*mc_t1+mc_vol*SQRT(mc_t1)*H1861)</f>
        <v>1111.98891718561</v>
      </c>
      <c r="K1861" s="59" t="n">
        <f aca="false">J1861*EXP((mc_mu-mc_vol^2/2)*(mc_t2-mc_t1)+mc_vol*SQRT(mc_t2-mc_t1)*I1861)</f>
        <v>1549.77869992893</v>
      </c>
      <c r="L1861" s="31" t="n">
        <f aca="false">(t1_usd*J1861+t2_usd*K1861)/1000</f>
        <v>10728.5019501642</v>
      </c>
    </row>
    <row r="1862" customFormat="false" ht="15" hidden="false" customHeight="false" outlineLevel="0" collapsed="false">
      <c r="E1862" s="54" t="n">
        <v>1858</v>
      </c>
      <c r="F1862" s="61" t="n">
        <v>0.815282</v>
      </c>
      <c r="G1862" s="61" t="n">
        <v>0.770543</v>
      </c>
      <c r="H1862" s="34" t="n">
        <f aca="false">NORMSINV(F1862)</f>
        <v>0.897530323605481</v>
      </c>
      <c r="I1862" s="34" t="n">
        <f aca="false">NORMSINV(G1862)</f>
        <v>0.740636286870678</v>
      </c>
      <c r="J1862" s="59" t="n">
        <f aca="false">mc_s0*EXP((mc_mu-mc_vol^2/2)*mc_t1+mc_vol*SQRT(mc_t1)*H1862)</f>
        <v>1248.87716074178</v>
      </c>
      <c r="K1862" s="59" t="n">
        <f aca="false">J1862*EXP((mc_mu-mc_vol^2/2)*(mc_t2-mc_t1)+mc_vol*SQRT(mc_t2-mc_t1)*I1862)</f>
        <v>1429.1942430255</v>
      </c>
      <c r="L1862" s="31" t="n">
        <f aca="false">(t1_usd*J1862+t2_usd*K1862)/1000</f>
        <v>11457.6091869409</v>
      </c>
    </row>
    <row r="1863" customFormat="false" ht="15" hidden="false" customHeight="false" outlineLevel="0" collapsed="false">
      <c r="E1863" s="54" t="n">
        <v>1859</v>
      </c>
      <c r="F1863" s="61" t="n">
        <v>0.936629</v>
      </c>
      <c r="G1863" s="61" t="n">
        <v>0.258341</v>
      </c>
      <c r="H1863" s="34" t="n">
        <f aca="false">NORMSINV(F1863)</f>
        <v>1.52707645876118</v>
      </c>
      <c r="I1863" s="34" t="n">
        <f aca="false">NORMSINV(G1863)</f>
        <v>-0.648468466160444</v>
      </c>
      <c r="J1863" s="59" t="n">
        <f aca="false">mc_s0*EXP((mc_mu-mc_vol^2/2)*mc_t1+mc_vol*SQRT(mc_t1)*H1863)</f>
        <v>1326.2836404457</v>
      </c>
      <c r="K1863" s="59" t="n">
        <f aca="false">J1863*EXP((mc_mu-mc_vol^2/2)*(mc_t2-mc_t1)+mc_vol*SQRT(mc_t2-mc_t1)*I1863)</f>
        <v>1219.3686886187</v>
      </c>
      <c r="L1863" s="31" t="n">
        <f aca="false">(t1_usd*J1863+t2_usd*K1863)/1000</f>
        <v>11600.7859914954</v>
      </c>
    </row>
    <row r="1864" customFormat="false" ht="15" hidden="false" customHeight="false" outlineLevel="0" collapsed="false">
      <c r="E1864" s="54" t="n">
        <v>1860</v>
      </c>
      <c r="F1864" s="61" t="n">
        <v>0.895558</v>
      </c>
      <c r="G1864" s="61" t="n">
        <v>0.564789</v>
      </c>
      <c r="H1864" s="34" t="n">
        <f aca="false">NORMSINV(F1864)</f>
        <v>1.2566400650266</v>
      </c>
      <c r="I1864" s="34" t="n">
        <f aca="false">NORMSINV(G1864)</f>
        <v>0.163122480475245</v>
      </c>
      <c r="J1864" s="59" t="n">
        <f aca="false">mc_s0*EXP((mc_mu-mc_vol^2/2)*mc_t1+mc_vol*SQRT(mc_t1)*H1864)</f>
        <v>1292.46077844361</v>
      </c>
      <c r="K1864" s="59" t="n">
        <f aca="false">J1864*EXP((mc_mu-mc_vol^2/2)*(mc_t2-mc_t1)+mc_vol*SQRT(mc_t2-mc_t1)*I1864)</f>
        <v>1350.4011222795</v>
      </c>
      <c r="L1864" s="31" t="n">
        <f aca="false">(t1_usd*J1864+t2_usd*K1864)/1000</f>
        <v>11612.9875814363</v>
      </c>
    </row>
    <row r="1865" customFormat="false" ht="15" hidden="false" customHeight="false" outlineLevel="0" collapsed="false">
      <c r="E1865" s="54" t="n">
        <v>1861</v>
      </c>
      <c r="F1865" s="61" t="n">
        <v>0.890125</v>
      </c>
      <c r="G1865" s="61" t="n">
        <v>0.537456</v>
      </c>
      <c r="H1865" s="34" t="n">
        <f aca="false">NORMSINV(F1865)</f>
        <v>1.22719315909653</v>
      </c>
      <c r="I1865" s="34" t="n">
        <f aca="false">NORMSINV(G1865)</f>
        <v>0.0940266334784331</v>
      </c>
      <c r="J1865" s="59" t="n">
        <f aca="false">mc_s0*EXP((mc_mu-mc_vol^2/2)*mc_t1+mc_vol*SQRT(mc_t1)*H1865)</f>
        <v>1288.83039387602</v>
      </c>
      <c r="K1865" s="59" t="n">
        <f aca="false">J1865*EXP((mc_mu-mc_vol^2/2)*(mc_t2-mc_t1)+mc_vol*SQRT(mc_t2-mc_t1)*I1865)</f>
        <v>1332.02427255784</v>
      </c>
      <c r="L1865" s="31" t="n">
        <f aca="false">(t1_usd*J1865+t2_usd*K1865)/1000</f>
        <v>11552.658874992</v>
      </c>
    </row>
    <row r="1866" customFormat="false" ht="15" hidden="false" customHeight="false" outlineLevel="0" collapsed="false">
      <c r="E1866" s="54" t="n">
        <v>1862</v>
      </c>
      <c r="F1866" s="61" t="n">
        <v>0.198195</v>
      </c>
      <c r="G1866" s="61" t="n">
        <v>0.439638</v>
      </c>
      <c r="H1866" s="34" t="n">
        <f aca="false">NORMSINV(F1866)</f>
        <v>-0.848086139747972</v>
      </c>
      <c r="I1866" s="34" t="n">
        <f aca="false">NORMSINV(G1866)</f>
        <v>-0.151887078385864</v>
      </c>
      <c r="J1866" s="59" t="n">
        <f aca="false">mc_s0*EXP((mc_mu-mc_vol^2/2)*mc_t1+mc_vol*SQRT(mc_t1)*H1866)</f>
        <v>1057.06796963897</v>
      </c>
      <c r="K1866" s="59" t="n">
        <f aca="false">J1866*EXP((mc_mu-mc_vol^2/2)*(mc_t2-mc_t1)+mc_vol*SQRT(mc_t2-mc_t1)*I1866)</f>
        <v>1050.9655777341</v>
      </c>
      <c r="L1866" s="31" t="n">
        <f aca="false">(t1_usd*J1866+t2_usd*K1866)/1000</f>
        <v>9396.31038516757</v>
      </c>
    </row>
    <row r="1867" customFormat="false" ht="15" hidden="false" customHeight="false" outlineLevel="0" collapsed="false">
      <c r="E1867" s="54" t="n">
        <v>1863</v>
      </c>
      <c r="F1867" s="61" t="n">
        <v>0.165344</v>
      </c>
      <c r="G1867" s="61" t="n">
        <v>0.600487</v>
      </c>
      <c r="H1867" s="34" t="n">
        <f aca="false">NORMSINV(F1867)</f>
        <v>-0.972729016338162</v>
      </c>
      <c r="I1867" s="34" t="n">
        <f aca="false">NORMSINV(G1867)</f>
        <v>0.254607844229711</v>
      </c>
      <c r="J1867" s="59" t="n">
        <f aca="false">mc_s0*EXP((mc_mu-mc_vol^2/2)*mc_t1+mc_vol*SQRT(mc_t1)*H1867)</f>
        <v>1044.55691877984</v>
      </c>
      <c r="K1867" s="59" t="n">
        <f aca="false">J1867*EXP((mc_mu-mc_vol^2/2)*(mc_t2-mc_t1)+mc_vol*SQRT(mc_t2-mc_t1)*I1867)</f>
        <v>1107.23283350473</v>
      </c>
      <c r="L1867" s="31" t="n">
        <f aca="false">(t1_usd*J1867+t2_usd*K1867)/1000</f>
        <v>9415.64081511789</v>
      </c>
    </row>
    <row r="1868" customFormat="false" ht="15" hidden="false" customHeight="false" outlineLevel="0" collapsed="false">
      <c r="E1868" s="54" t="n">
        <v>1864</v>
      </c>
      <c r="F1868" s="61" t="n">
        <v>0.980455</v>
      </c>
      <c r="G1868" s="61" t="n">
        <v>0.667148</v>
      </c>
      <c r="H1868" s="34" t="n">
        <f aca="false">NORMSINV(F1868)</f>
        <v>2.0632382254682</v>
      </c>
      <c r="I1868" s="34" t="n">
        <f aca="false">NORMSINV(G1868)</f>
        <v>0.432051477106141</v>
      </c>
      <c r="J1868" s="59" t="n">
        <f aca="false">mc_s0*EXP((mc_mu-mc_vol^2/2)*mc_t1+mc_vol*SQRT(mc_t1)*H1868)</f>
        <v>1395.97954991928</v>
      </c>
      <c r="K1868" s="59" t="n">
        <f aca="false">J1868*EXP((mc_mu-mc_vol^2/2)*(mc_t2-mc_t1)+mc_vol*SQRT(mc_t2-mc_t1)*I1868)</f>
        <v>1521.70502110642</v>
      </c>
      <c r="L1868" s="31" t="n">
        <f aca="false">(t1_usd*J1868+t2_usd*K1868)/1000</f>
        <v>12663.0963895372</v>
      </c>
    </row>
    <row r="1869" customFormat="false" ht="15" hidden="false" customHeight="false" outlineLevel="0" collapsed="false">
      <c r="E1869" s="54" t="n">
        <v>1865</v>
      </c>
      <c r="F1869" s="61" t="n">
        <v>0.420285</v>
      </c>
      <c r="G1869" s="61" t="n">
        <v>0.862267</v>
      </c>
      <c r="H1869" s="34" t="n">
        <f aca="false">NORMSINV(F1869)</f>
        <v>-0.201164434698506</v>
      </c>
      <c r="I1869" s="34" t="n">
        <f aca="false">NORMSINV(G1869)</f>
        <v>1.09056122319482</v>
      </c>
      <c r="J1869" s="59" t="n">
        <f aca="false">mc_s0*EXP((mc_mu-mc_vol^2/2)*mc_t1+mc_vol*SQRT(mc_t1)*H1869)</f>
        <v>1124.45072125957</v>
      </c>
      <c r="K1869" s="59" t="n">
        <f aca="false">J1869*EXP((mc_mu-mc_vol^2/2)*(mc_t2-mc_t1)+mc_vol*SQRT(mc_t2-mc_t1)*I1869)</f>
        <v>1359.7575362496</v>
      </c>
      <c r="L1869" s="31" t="n">
        <f aca="false">(t1_usd*J1869+t2_usd*K1869)/1000</f>
        <v>10454.6943676913</v>
      </c>
    </row>
    <row r="1870" customFormat="false" ht="15" hidden="false" customHeight="false" outlineLevel="0" collapsed="false">
      <c r="E1870" s="54" t="n">
        <v>1866</v>
      </c>
      <c r="F1870" s="61" t="n">
        <v>0.784778</v>
      </c>
      <c r="G1870" s="61" t="n">
        <v>0.209419</v>
      </c>
      <c r="H1870" s="34" t="n">
        <f aca="false">NORMSINV(F1870)</f>
        <v>0.788432101245371</v>
      </c>
      <c r="I1870" s="34" t="n">
        <f aca="false">NORMSINV(G1870)</f>
        <v>-0.808438841009571</v>
      </c>
      <c r="J1870" s="59" t="n">
        <f aca="false">mc_s0*EXP((mc_mu-mc_vol^2/2)*mc_t1+mc_vol*SQRT(mc_t1)*H1870)</f>
        <v>1235.92975836615</v>
      </c>
      <c r="K1870" s="59" t="n">
        <f aca="false">J1870*EXP((mc_mu-mc_vol^2/2)*(mc_t2-mc_t1)+mc_vol*SQRT(mc_t2-mc_t1)*I1870)</f>
        <v>1108.0101680508</v>
      </c>
      <c r="L1870" s="31" t="n">
        <f aca="false">(t1_usd*J1870+t2_usd*K1870)/1000</f>
        <v>10756.7276278596</v>
      </c>
    </row>
    <row r="1871" customFormat="false" ht="15" hidden="false" customHeight="false" outlineLevel="0" collapsed="false">
      <c r="E1871" s="54" t="n">
        <v>1867</v>
      </c>
      <c r="F1871" s="61" t="n">
        <v>0.938742</v>
      </c>
      <c r="G1871" s="61" t="n">
        <v>0.093326</v>
      </c>
      <c r="H1871" s="34" t="n">
        <f aca="false">NORMSINV(F1871)</f>
        <v>1.54429864785403</v>
      </c>
      <c r="I1871" s="34" t="n">
        <f aca="false">NORMSINV(G1871)</f>
        <v>-1.3205483631434</v>
      </c>
      <c r="J1871" s="59" t="n">
        <f aca="false">mc_s0*EXP((mc_mu-mc_vol^2/2)*mc_t1+mc_vol*SQRT(mc_t1)*H1871)</f>
        <v>1328.46731691886</v>
      </c>
      <c r="K1871" s="59" t="n">
        <f aca="false">J1871*EXP((mc_mu-mc_vol^2/2)*(mc_t2-mc_t1)+mc_vol*SQRT(mc_t2-mc_t1)*I1871)</f>
        <v>1098.62911565993</v>
      </c>
      <c r="L1871" s="31" t="n">
        <f aca="false">(t1_usd*J1871+t2_usd*K1871)/1000</f>
        <v>11386.6665381859</v>
      </c>
    </row>
    <row r="1872" customFormat="false" ht="15" hidden="false" customHeight="false" outlineLevel="0" collapsed="false">
      <c r="E1872" s="54" t="n">
        <v>1868</v>
      </c>
      <c r="F1872" s="61" t="n">
        <v>0.200468</v>
      </c>
      <c r="G1872" s="61" t="n">
        <v>0.204865</v>
      </c>
      <c r="H1872" s="34" t="n">
        <f aca="false">NORMSINV(F1872)</f>
        <v>-0.839950751707576</v>
      </c>
      <c r="I1872" s="34" t="n">
        <f aca="false">NORMSINV(G1872)</f>
        <v>-0.82436886536373</v>
      </c>
      <c r="J1872" s="59" t="n">
        <f aca="false">mc_s0*EXP((mc_mu-mc_vol^2/2)*mc_t1+mc_vol*SQRT(mc_t1)*H1872)</f>
        <v>1057.88975082522</v>
      </c>
      <c r="K1872" s="59" t="n">
        <f aca="false">J1872*EXP((mc_mu-mc_vol^2/2)*(mc_t2-mc_t1)+mc_vol*SQRT(mc_t2-mc_t1)*I1872)</f>
        <v>946.019494205553</v>
      </c>
      <c r="L1872" s="31" t="n">
        <f aca="false">(t1_usd*J1872+t2_usd*K1872)/1000</f>
        <v>9202.66529476711</v>
      </c>
    </row>
    <row r="1873" customFormat="false" ht="15" hidden="false" customHeight="false" outlineLevel="0" collapsed="false">
      <c r="E1873" s="54" t="n">
        <v>1869</v>
      </c>
      <c r="F1873" s="61" t="n">
        <v>0.397185</v>
      </c>
      <c r="G1873" s="61" t="n">
        <v>0.46597</v>
      </c>
      <c r="H1873" s="34" t="n">
        <f aca="false">NORMSINV(F1873)</f>
        <v>-0.2606401815121</v>
      </c>
      <c r="I1873" s="34" t="n">
        <f aca="false">NORMSINV(G1873)</f>
        <v>-0.0854042682374138</v>
      </c>
      <c r="J1873" s="59" t="n">
        <f aca="false">mc_s0*EXP((mc_mu-mc_vol^2/2)*mc_t1+mc_vol*SQRT(mc_t1)*H1873)</f>
        <v>1118.08051505794</v>
      </c>
      <c r="K1873" s="59" t="n">
        <f aca="false">J1873*EXP((mc_mu-mc_vol^2/2)*(mc_t2-mc_t1)+mc_vol*SQRT(mc_t2-mc_t1)*I1873)</f>
        <v>1123.33389787545</v>
      </c>
      <c r="L1873" s="31" t="n">
        <f aca="false">(t1_usd*J1873+t2_usd*K1873)/1000</f>
        <v>9960.89801136896</v>
      </c>
    </row>
    <row r="1874" customFormat="false" ht="15" hidden="false" customHeight="false" outlineLevel="0" collapsed="false">
      <c r="E1874" s="54" t="n">
        <v>1870</v>
      </c>
      <c r="F1874" s="61" t="n">
        <v>0.956044</v>
      </c>
      <c r="G1874" s="61" t="n">
        <v>0.456267</v>
      </c>
      <c r="H1874" s="34" t="n">
        <f aca="false">NORMSINV(F1874)</f>
        <v>1.70651626834239</v>
      </c>
      <c r="I1874" s="34" t="n">
        <f aca="false">NORMSINV(G1874)</f>
        <v>-0.109842859136727</v>
      </c>
      <c r="J1874" s="59" t="n">
        <f aca="false">mc_s0*EXP((mc_mu-mc_vol^2/2)*mc_t1+mc_vol*SQRT(mc_t1)*H1874)</f>
        <v>1349.21283523682</v>
      </c>
      <c r="K1874" s="59" t="n">
        <f aca="false">J1874*EXP((mc_mu-mc_vol^2/2)*(mc_t2-mc_t1)+mc_vol*SQRT(mc_t2-mc_t1)*I1874)</f>
        <v>1350.34153686737</v>
      </c>
      <c r="L1874" s="31" t="n">
        <f aca="false">(t1_usd*J1874+t2_usd*K1874)/1000</f>
        <v>12010.1387667057</v>
      </c>
    </row>
    <row r="1875" customFormat="false" ht="15" hidden="false" customHeight="false" outlineLevel="0" collapsed="false">
      <c r="E1875" s="54" t="n">
        <v>1871</v>
      </c>
      <c r="F1875" s="61" t="n">
        <v>0.55811</v>
      </c>
      <c r="G1875" s="61" t="n">
        <v>0.214842</v>
      </c>
      <c r="H1875" s="34" t="n">
        <f aca="false">NORMSINV(F1875)</f>
        <v>0.146179105199249</v>
      </c>
      <c r="I1875" s="34" t="n">
        <f aca="false">NORMSINV(G1875)</f>
        <v>-0.78973251173612</v>
      </c>
      <c r="J1875" s="59" t="n">
        <f aca="false">mc_s0*EXP((mc_mu-mc_vol^2/2)*mc_t1+mc_vol*SQRT(mc_t1)*H1875)</f>
        <v>1162.38489139208</v>
      </c>
      <c r="K1875" s="59" t="n">
        <f aca="false">J1875*EXP((mc_mu-mc_vol^2/2)*(mc_t2-mc_t1)+mc_vol*SQRT(mc_t2-mc_t1)*I1875)</f>
        <v>1045.15381220605</v>
      </c>
      <c r="L1875" s="31" t="n">
        <f aca="false">(t1_usd*J1875+t2_usd*K1875)/1000</f>
        <v>10122.486482936</v>
      </c>
    </row>
    <row r="1876" customFormat="false" ht="15" hidden="false" customHeight="false" outlineLevel="0" collapsed="false">
      <c r="E1876" s="54" t="n">
        <v>1872</v>
      </c>
      <c r="F1876" s="61" t="n">
        <v>0.74368</v>
      </c>
      <c r="G1876" s="61" t="n">
        <v>0.256694</v>
      </c>
      <c r="H1876" s="34" t="n">
        <f aca="false">NORMSINV(F1876)</f>
        <v>0.654732494641205</v>
      </c>
      <c r="I1876" s="34" t="n">
        <f aca="false">NORMSINV(G1876)</f>
        <v>-0.653571361404715</v>
      </c>
      <c r="J1876" s="59" t="n">
        <f aca="false">mc_s0*EXP((mc_mu-mc_vol^2/2)*mc_t1+mc_vol*SQRT(mc_t1)*H1876)</f>
        <v>1220.24564911941</v>
      </c>
      <c r="K1876" s="59" t="n">
        <f aca="false">J1876*EXP((mc_mu-mc_vol^2/2)*(mc_t2-mc_t1)+mc_vol*SQRT(mc_t2-mc_t1)*I1876)</f>
        <v>1120.97684631285</v>
      </c>
      <c r="L1876" s="31" t="n">
        <f aca="false">(t1_usd*J1876+t2_usd*K1876)/1000</f>
        <v>10671.5755518303</v>
      </c>
    </row>
    <row r="1877" customFormat="false" ht="15" hidden="false" customHeight="false" outlineLevel="0" collapsed="false">
      <c r="E1877" s="54" t="n">
        <v>1873</v>
      </c>
      <c r="F1877" s="61" t="n">
        <v>0.800518</v>
      </c>
      <c r="G1877" s="61" t="n">
        <v>0.152858</v>
      </c>
      <c r="H1877" s="34" t="n">
        <f aca="false">NORMSINV(F1877)</f>
        <v>0.843472928376491</v>
      </c>
      <c r="I1877" s="34" t="n">
        <f aca="false">NORMSINV(G1877)</f>
        <v>-1.02425255767855</v>
      </c>
      <c r="J1877" s="59" t="n">
        <f aca="false">mc_s0*EXP((mc_mu-mc_vol^2/2)*mc_t1+mc_vol*SQRT(mc_t1)*H1877)</f>
        <v>1242.44494968481</v>
      </c>
      <c r="K1877" s="59" t="n">
        <f aca="false">J1877*EXP((mc_mu-mc_vol^2/2)*(mc_t2-mc_t1)+mc_vol*SQRT(mc_t2-mc_t1)*I1877)</f>
        <v>1076.60506900435</v>
      </c>
      <c r="L1877" s="31" t="n">
        <f aca="false">(t1_usd*J1877+t2_usd*K1877)/1000</f>
        <v>10742.664278902</v>
      </c>
    </row>
    <row r="1878" customFormat="false" ht="15" hidden="false" customHeight="false" outlineLevel="0" collapsed="false">
      <c r="E1878" s="54" t="n">
        <v>1874</v>
      </c>
      <c r="F1878" s="61" t="n">
        <v>0.744033</v>
      </c>
      <c r="G1878" s="61" t="n">
        <v>0.139019</v>
      </c>
      <c r="H1878" s="34" t="n">
        <f aca="false">NORMSINV(F1878)</f>
        <v>0.655829240897479</v>
      </c>
      <c r="I1878" s="34" t="n">
        <f aca="false">NORMSINV(G1878)</f>
        <v>-1.08473735088269</v>
      </c>
      <c r="J1878" s="59" t="n">
        <f aca="false">mc_s0*EXP((mc_mu-mc_vol^2/2)*mc_t1+mc_vol*SQRT(mc_t1)*H1878)</f>
        <v>1220.37349373073</v>
      </c>
      <c r="K1878" s="59" t="n">
        <f aca="false">J1878*EXP((mc_mu-mc_vol^2/2)*(mc_t2-mc_t1)+mc_vol*SQRT(mc_t2-mc_t1)*I1878)</f>
        <v>1047.44768179972</v>
      </c>
      <c r="L1878" s="31" t="n">
        <f aca="false">(t1_usd*J1878+t2_usd*K1878)/1000</f>
        <v>10532.7650515346</v>
      </c>
    </row>
    <row r="1879" customFormat="false" ht="15" hidden="false" customHeight="false" outlineLevel="0" collapsed="false">
      <c r="E1879" s="54" t="n">
        <v>1875</v>
      </c>
      <c r="F1879" s="61" t="n">
        <v>0.13367</v>
      </c>
      <c r="G1879" s="61" t="n">
        <v>0.490257</v>
      </c>
      <c r="H1879" s="34" t="n">
        <f aca="false">NORMSINV(F1879)</f>
        <v>-1.10920907174356</v>
      </c>
      <c r="I1879" s="34" t="n">
        <f aca="false">NORMSINV(G1879)</f>
        <v>-0.0244245074958286</v>
      </c>
      <c r="J1879" s="59" t="n">
        <f aca="false">mc_s0*EXP((mc_mu-mc_vol^2/2)*mc_t1+mc_vol*SQRT(mc_t1)*H1879)</f>
        <v>1031.02748283206</v>
      </c>
      <c r="K1879" s="59" t="n">
        <f aca="false">J1879*EXP((mc_mu-mc_vol^2/2)*(mc_t2-mc_t1)+mc_vol*SQRT(mc_t2-mc_t1)*I1879)</f>
        <v>1045.87455046119</v>
      </c>
      <c r="L1879" s="31" t="n">
        <f aca="false">(t1_usd*J1879+t2_usd*K1879)/1000</f>
        <v>9204.3540257007</v>
      </c>
    </row>
    <row r="1880" customFormat="false" ht="15" hidden="false" customHeight="false" outlineLevel="0" collapsed="false">
      <c r="E1880" s="54" t="n">
        <v>1876</v>
      </c>
      <c r="F1880" s="61" t="n">
        <v>0.742655</v>
      </c>
      <c r="G1880" s="61" t="n">
        <v>0.325418</v>
      </c>
      <c r="H1880" s="34" t="n">
        <f aca="false">NORMSINV(F1880)</f>
        <v>0.651552342950806</v>
      </c>
      <c r="I1880" s="34" t="n">
        <f aca="false">NORMSINV(G1880)</f>
        <v>-0.452601109091577</v>
      </c>
      <c r="J1880" s="59" t="n">
        <f aca="false">mc_s0*EXP((mc_mu-mc_vol^2/2)*mc_t1+mc_vol*SQRT(mc_t1)*H1880)</f>
        <v>1219.87502353929</v>
      </c>
      <c r="K1880" s="59" t="n">
        <f aca="false">J1880*EXP((mc_mu-mc_vol^2/2)*(mc_t2-mc_t1)+mc_vol*SQRT(mc_t2-mc_t1)*I1880)</f>
        <v>1156.69668563699</v>
      </c>
      <c r="L1880" s="31" t="n">
        <f aca="false">(t1_usd*J1880+t2_usd*K1880)/1000</f>
        <v>10736.8488674853</v>
      </c>
    </row>
    <row r="1881" customFormat="false" ht="15" hidden="false" customHeight="false" outlineLevel="0" collapsed="false">
      <c r="E1881" s="54" t="n">
        <v>1877</v>
      </c>
      <c r="F1881" s="61" t="n">
        <v>0.956353</v>
      </c>
      <c r="G1881" s="61" t="n">
        <v>0.61475</v>
      </c>
      <c r="H1881" s="34" t="n">
        <f aca="false">NORMSINV(F1881)</f>
        <v>1.70984791499905</v>
      </c>
      <c r="I1881" s="34" t="n">
        <f aca="false">NORMSINV(G1881)</f>
        <v>0.291720936702485</v>
      </c>
      <c r="J1881" s="59" t="n">
        <f aca="false">mc_s0*EXP((mc_mu-mc_vol^2/2)*mc_t1+mc_vol*SQRT(mc_t1)*H1881)</f>
        <v>1349.64228736285</v>
      </c>
      <c r="K1881" s="59" t="n">
        <f aca="false">J1881*EXP((mc_mu-mc_vol^2/2)*(mc_t2-mc_t1)+mc_vol*SQRT(mc_t2-mc_t1)*I1881)</f>
        <v>1439.01596396599</v>
      </c>
      <c r="L1881" s="31" t="n">
        <f aca="false">(t1_usd*J1881+t2_usd*K1881)/1000</f>
        <v>12181.6263430753</v>
      </c>
    </row>
    <row r="1882" customFormat="false" ht="15" hidden="false" customHeight="false" outlineLevel="0" collapsed="false">
      <c r="E1882" s="54" t="n">
        <v>1878</v>
      </c>
      <c r="F1882" s="61" t="n">
        <v>0.483523</v>
      </c>
      <c r="G1882" s="61" t="n">
        <v>0.112237</v>
      </c>
      <c r="H1882" s="34" t="n">
        <f aca="false">NORMSINV(F1882)</f>
        <v>-0.0413134633916368</v>
      </c>
      <c r="I1882" s="34" t="n">
        <f aca="false">NORMSINV(G1882)</f>
        <v>-1.21471712170475</v>
      </c>
      <c r="J1882" s="59" t="n">
        <f aca="false">mc_s0*EXP((mc_mu-mc_vol^2/2)*mc_t1+mc_vol*SQRT(mc_t1)*H1882)</f>
        <v>1141.75214647637</v>
      </c>
      <c r="K1882" s="59" t="n">
        <f aca="false">J1882*EXP((mc_mu-mc_vol^2/2)*(mc_t2-mc_t1)+mc_vol*SQRT(mc_t2-mc_t1)*I1882)</f>
        <v>960.097532475561</v>
      </c>
      <c r="L1882" s="31" t="n">
        <f aca="false">(t1_usd*J1882+t2_usd*K1882)/1000</f>
        <v>9816.45033703813</v>
      </c>
    </row>
    <row r="1883" customFormat="false" ht="15" hidden="false" customHeight="false" outlineLevel="0" collapsed="false">
      <c r="E1883" s="54" t="n">
        <v>1879</v>
      </c>
      <c r="F1883" s="61" t="n">
        <v>0.858185</v>
      </c>
      <c r="G1883" s="61" t="n">
        <v>0.593723</v>
      </c>
      <c r="H1883" s="34" t="n">
        <f aca="false">NORMSINV(F1883)</f>
        <v>1.07220046857934</v>
      </c>
      <c r="I1883" s="34" t="n">
        <f aca="false">NORMSINV(G1883)</f>
        <v>0.237132499932345</v>
      </c>
      <c r="J1883" s="59" t="n">
        <f aca="false">mc_s0*EXP((mc_mu-mc_vol^2/2)*mc_t1+mc_vol*SQRT(mc_t1)*H1883)</f>
        <v>1269.88942151363</v>
      </c>
      <c r="K1883" s="59" t="n">
        <f aca="false">J1883*EXP((mc_mu-mc_vol^2/2)*(mc_t2-mc_t1)+mc_vol*SQRT(mc_t2-mc_t1)*I1883)</f>
        <v>1342.38381143016</v>
      </c>
      <c r="L1883" s="31" t="n">
        <f aca="false">(t1_usd*J1883+t2_usd*K1883)/1000</f>
        <v>11439.7551923127</v>
      </c>
    </row>
    <row r="1884" customFormat="false" ht="15" hidden="false" customHeight="false" outlineLevel="0" collapsed="false">
      <c r="E1884" s="54" t="n">
        <v>1880</v>
      </c>
      <c r="F1884" s="61" t="n">
        <v>0.24808</v>
      </c>
      <c r="G1884" s="61" t="n">
        <v>0.438271</v>
      </c>
      <c r="H1884" s="34" t="n">
        <f aca="false">NORMSINV(F1884)</f>
        <v>-0.680544113030338</v>
      </c>
      <c r="I1884" s="34" t="n">
        <f aca="false">NORMSINV(G1884)</f>
        <v>-0.1553543126672</v>
      </c>
      <c r="J1884" s="59" t="n">
        <f aca="false">mc_s0*EXP((mc_mu-mc_vol^2/2)*mc_t1+mc_vol*SQRT(mc_t1)*H1884)</f>
        <v>1074.12144108672</v>
      </c>
      <c r="K1884" s="59" t="n">
        <f aca="false">J1884*EXP((mc_mu-mc_vol^2/2)*(mc_t2-mc_t1)+mc_vol*SQRT(mc_t2-mc_t1)*I1884)</f>
        <v>1067.33723466596</v>
      </c>
      <c r="L1884" s="31" t="n">
        <f aca="false">(t1_usd*J1884+t2_usd*K1884)/1000</f>
        <v>9546.79083347235</v>
      </c>
    </row>
    <row r="1885" customFormat="false" ht="15" hidden="false" customHeight="false" outlineLevel="0" collapsed="false">
      <c r="E1885" s="54" t="n">
        <v>1881</v>
      </c>
      <c r="F1885" s="61" t="n">
        <v>0.118026</v>
      </c>
      <c r="G1885" s="61" t="n">
        <v>0.33067</v>
      </c>
      <c r="H1885" s="34" t="n">
        <f aca="false">NORMSINV(F1885)</f>
        <v>-1.18491261277281</v>
      </c>
      <c r="I1885" s="34" t="n">
        <f aca="false">NORMSINV(G1885)</f>
        <v>-0.438063848387396</v>
      </c>
      <c r="J1885" s="59" t="n">
        <f aca="false">mc_s0*EXP((mc_mu-mc_vol^2/2)*mc_t1+mc_vol*SQRT(mc_t1)*H1885)</f>
        <v>1023.59860266825</v>
      </c>
      <c r="K1885" s="59" t="n">
        <f aca="false">J1885*EXP((mc_mu-mc_vol^2/2)*(mc_t2-mc_t1)+mc_vol*SQRT(mc_t2-mc_t1)*I1885)</f>
        <v>972.811717989538</v>
      </c>
      <c r="L1885" s="31" t="n">
        <f aca="false">(t1_usd*J1885+t2_usd*K1885)/1000</f>
        <v>9013.53248285789</v>
      </c>
    </row>
    <row r="1886" customFormat="false" ht="15" hidden="false" customHeight="false" outlineLevel="0" collapsed="false">
      <c r="E1886" s="54" t="n">
        <v>1882</v>
      </c>
      <c r="F1886" s="61" t="n">
        <v>0.874738</v>
      </c>
      <c r="G1886" s="61" t="n">
        <v>0.320678</v>
      </c>
      <c r="H1886" s="34" t="n">
        <f aca="false">NORMSINV(F1886)</f>
        <v>1.14907756123665</v>
      </c>
      <c r="I1886" s="34" t="n">
        <f aca="false">NORMSINV(G1886)</f>
        <v>-0.465803722951971</v>
      </c>
      <c r="J1886" s="59" t="n">
        <f aca="false">mc_s0*EXP((mc_mu-mc_vol^2/2)*mc_t1+mc_vol*SQRT(mc_t1)*H1886)</f>
        <v>1279.24918129021</v>
      </c>
      <c r="K1886" s="59" t="n">
        <f aca="false">J1886*EXP((mc_mu-mc_vol^2/2)*(mc_t2-mc_t1)+mc_vol*SQRT(mc_t2-mc_t1)*I1886)</f>
        <v>1210.4746201203</v>
      </c>
      <c r="L1886" s="31" t="n">
        <f aca="false">(t1_usd*J1886+t2_usd*K1886)/1000</f>
        <v>11254.64604726</v>
      </c>
    </row>
    <row r="1887" customFormat="false" ht="15" hidden="false" customHeight="false" outlineLevel="0" collapsed="false">
      <c r="E1887" s="54" t="n">
        <v>1883</v>
      </c>
      <c r="F1887" s="61" t="n">
        <v>0.570899</v>
      </c>
      <c r="G1887" s="61" t="n">
        <v>0.093761</v>
      </c>
      <c r="H1887" s="34" t="n">
        <f aca="false">NORMSINV(F1887)</f>
        <v>0.178663411821476</v>
      </c>
      <c r="I1887" s="34" t="n">
        <f aca="false">NORMSINV(G1887)</f>
        <v>-1.31794517969782</v>
      </c>
      <c r="J1887" s="59" t="n">
        <f aca="false">mc_s0*EXP((mc_mu-mc_vol^2/2)*mc_t1+mc_vol*SQRT(mc_t1)*H1887)</f>
        <v>1165.99735753942</v>
      </c>
      <c r="K1887" s="59" t="n">
        <f aca="false">J1887*EXP((mc_mu-mc_vol^2/2)*(mc_t2-mc_t1)+mc_vol*SQRT(mc_t2-mc_t1)*I1887)</f>
        <v>964.663758967225</v>
      </c>
      <c r="L1887" s="31" t="n">
        <f aca="false">(t1_usd*J1887+t2_usd*K1887)/1000</f>
        <v>9994.84264481368</v>
      </c>
    </row>
    <row r="1888" customFormat="false" ht="15" hidden="false" customHeight="false" outlineLevel="0" collapsed="false">
      <c r="E1888" s="54" t="n">
        <v>1884</v>
      </c>
      <c r="F1888" s="61" t="n">
        <v>0.742</v>
      </c>
      <c r="G1888" s="61" t="n">
        <v>0.345871</v>
      </c>
      <c r="H1888" s="34" t="n">
        <f aca="false">NORMSINV(F1888)</f>
        <v>0.649523595844325</v>
      </c>
      <c r="I1888" s="34" t="n">
        <f aca="false">NORMSINV(G1888)</f>
        <v>-0.396492146981779</v>
      </c>
      <c r="J1888" s="59" t="n">
        <f aca="false">mc_s0*EXP((mc_mu-mc_vol^2/2)*mc_t1+mc_vol*SQRT(mc_t1)*H1888)</f>
        <v>1219.63864533912</v>
      </c>
      <c r="K1888" s="59" t="n">
        <f aca="false">J1888*EXP((mc_mu-mc_vol^2/2)*(mc_t2-mc_t1)+mc_vol*SQRT(mc_t2-mc_t1)*I1888)</f>
        <v>1166.74387656253</v>
      </c>
      <c r="L1888" s="31" t="n">
        <f aca="false">(t1_usd*J1888+t2_usd*K1888)/1000</f>
        <v>10754.2838828426</v>
      </c>
    </row>
    <row r="1889" customFormat="false" ht="15" hidden="false" customHeight="false" outlineLevel="0" collapsed="false">
      <c r="E1889" s="54" t="n">
        <v>1885</v>
      </c>
      <c r="F1889" s="61" t="n">
        <v>0.823811</v>
      </c>
      <c r="G1889" s="61" t="n">
        <v>0.059929</v>
      </c>
      <c r="H1889" s="34" t="n">
        <f aca="false">NORMSINV(F1889)</f>
        <v>0.929986643518369</v>
      </c>
      <c r="I1889" s="34" t="n">
        <f aca="false">NORMSINV(G1889)</f>
        <v>-1.5553698937369</v>
      </c>
      <c r="J1889" s="59" t="n">
        <f aca="false">mc_s0*EXP((mc_mu-mc_vol^2/2)*mc_t1+mc_vol*SQRT(mc_t1)*H1889)</f>
        <v>1252.75507896394</v>
      </c>
      <c r="K1889" s="59" t="n">
        <f aca="false">J1889*EXP((mc_mu-mc_vol^2/2)*(mc_t2-mc_t1)+mc_vol*SQRT(mc_t2-mc_t1)*I1889)</f>
        <v>998.377490208923</v>
      </c>
      <c r="L1889" s="31" t="n">
        <f aca="false">(t1_usd*J1889+t2_usd*K1889)/1000</f>
        <v>10666.2027841445</v>
      </c>
    </row>
    <row r="1890" customFormat="false" ht="15" hidden="false" customHeight="false" outlineLevel="0" collapsed="false">
      <c r="E1890" s="54" t="n">
        <v>1886</v>
      </c>
      <c r="F1890" s="61" t="n">
        <v>0.480475</v>
      </c>
      <c r="G1890" s="61" t="n">
        <v>0.359447</v>
      </c>
      <c r="H1890" s="34" t="n">
        <f aca="false">NORMSINV(F1890)</f>
        <v>-0.0489614719801531</v>
      </c>
      <c r="I1890" s="34" t="n">
        <f aca="false">NORMSINV(G1890)</f>
        <v>-0.35993733006411</v>
      </c>
      <c r="J1890" s="59" t="n">
        <f aca="false">mc_s0*EXP((mc_mu-mc_vol^2/2)*mc_t1+mc_vol*SQRT(mc_t1)*H1890)</f>
        <v>1140.9183350851</v>
      </c>
      <c r="K1890" s="59" t="n">
        <f aca="false">J1890*EXP((mc_mu-mc_vol^2/2)*(mc_t2-mc_t1)+mc_vol*SQRT(mc_t2-mc_t1)*I1890)</f>
        <v>1097.7432931174</v>
      </c>
      <c r="L1890" s="31" t="n">
        <f aca="false">(t1_usd*J1890+t2_usd*K1890)/1000</f>
        <v>10072.1406025188</v>
      </c>
    </row>
    <row r="1891" customFormat="false" ht="15" hidden="false" customHeight="false" outlineLevel="0" collapsed="false">
      <c r="E1891" s="54" t="n">
        <v>1887</v>
      </c>
      <c r="F1891" s="61" t="n">
        <v>0.972778</v>
      </c>
      <c r="G1891" s="61" t="n">
        <v>0.552301</v>
      </c>
      <c r="H1891" s="34" t="n">
        <f aca="false">NORMSINV(F1891)</f>
        <v>1.92328712993681</v>
      </c>
      <c r="I1891" s="34" t="n">
        <f aca="false">NORMSINV(G1891)</f>
        <v>0.13147697466922</v>
      </c>
      <c r="J1891" s="59" t="n">
        <f aca="false">mc_s0*EXP((mc_mu-mc_vol^2/2)*mc_t1+mc_vol*SQRT(mc_t1)*H1891)</f>
        <v>1377.44159123474</v>
      </c>
      <c r="K1891" s="59" t="n">
        <f aca="false">J1891*EXP((mc_mu-mc_vol^2/2)*(mc_t2-mc_t1)+mc_vol*SQRT(mc_t2-mc_t1)*I1891)</f>
        <v>1432.03203217715</v>
      </c>
      <c r="L1891" s="31" t="n">
        <f aca="false">(t1_usd*J1891+t2_usd*K1891)/1000</f>
        <v>12362.9519997798</v>
      </c>
    </row>
    <row r="1892" customFormat="false" ht="15" hidden="false" customHeight="false" outlineLevel="0" collapsed="false">
      <c r="E1892" s="54" t="n">
        <v>1888</v>
      </c>
      <c r="F1892" s="61" t="n">
        <v>0.81766</v>
      </c>
      <c r="G1892" s="61" t="n">
        <v>0.759443</v>
      </c>
      <c r="H1892" s="34" t="n">
        <f aca="false">NORMSINV(F1892)</f>
        <v>0.906483489344993</v>
      </c>
      <c r="I1892" s="34" t="n">
        <f aca="false">NORMSINV(G1892)</f>
        <v>0.704511967304303</v>
      </c>
      <c r="J1892" s="59" t="n">
        <f aca="false">mc_s0*EXP((mc_mu-mc_vol^2/2)*mc_t1+mc_vol*SQRT(mc_t1)*H1892)</f>
        <v>1249.94569468071</v>
      </c>
      <c r="K1892" s="59" t="n">
        <f aca="false">J1892*EXP((mc_mu-mc_vol^2/2)*(mc_t2-mc_t1)+mc_vol*SQRT(mc_t2-mc_t1)*I1892)</f>
        <v>1422.29690260413</v>
      </c>
      <c r="L1892" s="31" t="n">
        <f aca="false">(t1_usd*J1892+t2_usd*K1892)/1000</f>
        <v>11451.9839777128</v>
      </c>
    </row>
    <row r="1893" customFormat="false" ht="15" hidden="false" customHeight="false" outlineLevel="0" collapsed="false">
      <c r="E1893" s="54" t="n">
        <v>1889</v>
      </c>
      <c r="F1893" s="61" t="n">
        <v>0.005169</v>
      </c>
      <c r="G1893" s="61" t="n">
        <v>0.446477</v>
      </c>
      <c r="H1893" s="34" t="n">
        <f aca="false">NORMSINV(F1893)</f>
        <v>-2.56431390635003</v>
      </c>
      <c r="I1893" s="34" t="n">
        <f aca="false">NORMSINV(G1893)</f>
        <v>-0.134567296473012</v>
      </c>
      <c r="J1893" s="59" t="n">
        <f aca="false">mc_s0*EXP((mc_mu-mc_vol^2/2)*mc_t1+mc_vol*SQRT(mc_t1)*H1893)</f>
        <v>897.233110708827</v>
      </c>
      <c r="K1893" s="59" t="n">
        <f aca="false">J1893*EXP((mc_mu-mc_vol^2/2)*(mc_t2-mc_t1)+mc_vol*SQRT(mc_t2-mc_t1)*I1893)</f>
        <v>894.491603970449</v>
      </c>
      <c r="L1893" s="31" t="n">
        <f aca="false">(t1_usd*J1893+t2_usd*K1893)/1000</f>
        <v>7980.16582250564</v>
      </c>
    </row>
    <row r="1894" customFormat="false" ht="15" hidden="false" customHeight="false" outlineLevel="0" collapsed="false">
      <c r="E1894" s="54" t="n">
        <v>1890</v>
      </c>
      <c r="F1894" s="61" t="n">
        <v>0.021423</v>
      </c>
      <c r="G1894" s="61" t="n">
        <v>0.162131</v>
      </c>
      <c r="H1894" s="34" t="n">
        <f aca="false">NORMSINV(F1894)</f>
        <v>-2.025208102866</v>
      </c>
      <c r="I1894" s="34" t="n">
        <f aca="false">NORMSINV(G1894)</f>
        <v>-0.985737382908563</v>
      </c>
      <c r="J1894" s="59" t="n">
        <f aca="false">mc_s0*EXP((mc_mu-mc_vol^2/2)*mc_t1+mc_vol*SQRT(mc_t1)*H1894)</f>
        <v>944.648129146136</v>
      </c>
      <c r="K1894" s="59" t="n">
        <f aca="false">J1894*EXP((mc_mu-mc_vol^2/2)*(mc_t2-mc_t1)+mc_vol*SQRT(mc_t2-mc_t1)*I1894)</f>
        <v>823.541300875961</v>
      </c>
      <c r="L1894" s="31" t="n">
        <f aca="false">(t1_usd*J1894+t2_usd*K1894)/1000</f>
        <v>8177.26537568728</v>
      </c>
    </row>
    <row r="1895" customFormat="false" ht="15" hidden="false" customHeight="false" outlineLevel="0" collapsed="false">
      <c r="E1895" s="54" t="n">
        <v>1891</v>
      </c>
      <c r="F1895" s="61" t="n">
        <v>0.844266</v>
      </c>
      <c r="G1895" s="61" t="n">
        <v>0.784957</v>
      </c>
      <c r="H1895" s="34" t="n">
        <f aca="false">NORMSINV(F1895)</f>
        <v>1.01214652494043</v>
      </c>
      <c r="I1895" s="34" t="n">
        <f aca="false">NORMSINV(G1895)</f>
        <v>0.789044496795283</v>
      </c>
      <c r="J1895" s="59" t="n">
        <f aca="false">mc_s0*EXP((mc_mu-mc_vol^2/2)*mc_t1+mc_vol*SQRT(mc_t1)*H1895)</f>
        <v>1262.62554228554</v>
      </c>
      <c r="K1895" s="59" t="n">
        <f aca="false">J1895*EXP((mc_mu-mc_vol^2/2)*(mc_t2-mc_t1)+mc_vol*SQRT(mc_t2-mc_t1)*I1895)</f>
        <v>1455.99288655836</v>
      </c>
      <c r="L1895" s="31" t="n">
        <f aca="false">(t1_usd*J1895+t2_usd*K1895)/1000</f>
        <v>11604.7652804597</v>
      </c>
    </row>
    <row r="1896" customFormat="false" ht="15" hidden="false" customHeight="false" outlineLevel="0" collapsed="false">
      <c r="E1896" s="54" t="n">
        <v>1892</v>
      </c>
      <c r="F1896" s="61" t="n">
        <v>0.697914</v>
      </c>
      <c r="G1896" s="61" t="n">
        <v>0.136949</v>
      </c>
      <c r="H1896" s="34" t="n">
        <f aca="false">NORMSINV(F1896)</f>
        <v>0.51841034273152</v>
      </c>
      <c r="I1896" s="34" t="n">
        <f aca="false">NORMSINV(G1896)</f>
        <v>-1.09412992395953</v>
      </c>
      <c r="J1896" s="59" t="n">
        <f aca="false">mc_s0*EXP((mc_mu-mc_vol^2/2)*mc_t1+mc_vol*SQRT(mc_t1)*H1896)</f>
        <v>1204.45880357999</v>
      </c>
      <c r="K1896" s="59" t="n">
        <f aca="false">J1896*EXP((mc_mu-mc_vol^2/2)*(mc_t2-mc_t1)+mc_vol*SQRT(mc_t2-mc_t1)*I1896)</f>
        <v>1032.25900174147</v>
      </c>
      <c r="L1896" s="31" t="n">
        <f aca="false">(t1_usd*J1896+t2_usd*K1896)/1000</f>
        <v>10392.5037283687</v>
      </c>
    </row>
    <row r="1897" customFormat="false" ht="15" hidden="false" customHeight="false" outlineLevel="0" collapsed="false">
      <c r="E1897" s="54" t="n">
        <v>1893</v>
      </c>
      <c r="F1897" s="61" t="n">
        <v>0.643245</v>
      </c>
      <c r="G1897" s="61" t="n">
        <v>0.629323</v>
      </c>
      <c r="H1897" s="34" t="n">
        <f aca="false">NORMSINV(F1897)</f>
        <v>0.367146156172046</v>
      </c>
      <c r="I1897" s="34" t="n">
        <f aca="false">NORMSINV(G1897)</f>
        <v>0.330060829139399</v>
      </c>
      <c r="J1897" s="59" t="n">
        <f aca="false">mc_s0*EXP((mc_mu-mc_vol^2/2)*mc_t1+mc_vol*SQRT(mc_t1)*H1897)</f>
        <v>1187.18052387261</v>
      </c>
      <c r="K1897" s="59" t="n">
        <f aca="false">J1897*EXP((mc_mu-mc_vol^2/2)*(mc_t2-mc_t1)+mc_vol*SQRT(mc_t2-mc_t1)*I1897)</f>
        <v>1273.46716410697</v>
      </c>
      <c r="L1897" s="31" t="n">
        <f aca="false">(t1_usd*J1897+t2_usd*K1897)/1000</f>
        <v>10729.8512789115</v>
      </c>
    </row>
    <row r="1898" customFormat="false" ht="15" hidden="false" customHeight="false" outlineLevel="0" collapsed="false">
      <c r="E1898" s="54" t="n">
        <v>1894</v>
      </c>
      <c r="F1898" s="61" t="n">
        <v>0.570408</v>
      </c>
      <c r="G1898" s="61" t="n">
        <v>0.977789</v>
      </c>
      <c r="H1898" s="34" t="n">
        <f aca="false">NORMSINV(F1898)</f>
        <v>0.177412995883789</v>
      </c>
      <c r="I1898" s="34" t="n">
        <f aca="false">NORMSINV(G1898)</f>
        <v>2.01008682723772</v>
      </c>
      <c r="J1898" s="59" t="n">
        <f aca="false">mc_s0*EXP((mc_mu-mc_vol^2/2)*mc_t1+mc_vol*SQRT(mc_t1)*H1898)</f>
        <v>1165.85809561909</v>
      </c>
      <c r="K1898" s="59" t="n">
        <f aca="false">J1898*EXP((mc_mu-mc_vol^2/2)*(mc_t2-mc_t1)+mc_vol*SQRT(mc_t2-mc_t1)*I1898)</f>
        <v>1629.67416062803</v>
      </c>
      <c r="L1898" s="31" t="n">
        <f aca="false">(t1_usd*J1898+t2_usd*K1898)/1000</f>
        <v>11257.3875745269</v>
      </c>
    </row>
    <row r="1899" customFormat="false" ht="15" hidden="false" customHeight="false" outlineLevel="0" collapsed="false">
      <c r="E1899" s="54" t="n">
        <v>1895</v>
      </c>
      <c r="F1899" s="61" t="n">
        <v>0.771372</v>
      </c>
      <c r="G1899" s="61" t="n">
        <v>0.646642</v>
      </c>
      <c r="H1899" s="34" t="n">
        <f aca="false">NORMSINV(F1899)</f>
        <v>0.743372812029329</v>
      </c>
      <c r="I1899" s="34" t="n">
        <f aca="false">NORMSINV(G1899)</f>
        <v>0.37627024193828</v>
      </c>
      <c r="J1899" s="59" t="n">
        <f aca="false">mc_s0*EXP((mc_mu-mc_vol^2/2)*mc_t1+mc_vol*SQRT(mc_t1)*H1899)</f>
        <v>1230.62152424573</v>
      </c>
      <c r="K1899" s="59" t="n">
        <f aca="false">J1899*EXP((mc_mu-mc_vol^2/2)*(mc_t2-mc_t1)+mc_vol*SQRT(mc_t2-mc_t1)*I1899)</f>
        <v>1329.71372958088</v>
      </c>
      <c r="L1899" s="31" t="n">
        <f aca="false">(t1_usd*J1899+t2_usd*K1899)/1000</f>
        <v>11140.8067559238</v>
      </c>
    </row>
    <row r="1900" customFormat="false" ht="15" hidden="false" customHeight="false" outlineLevel="0" collapsed="false">
      <c r="E1900" s="54" t="n">
        <v>1896</v>
      </c>
      <c r="F1900" s="61" t="n">
        <v>0.844609</v>
      </c>
      <c r="G1900" s="61" t="n">
        <v>0.796758</v>
      </c>
      <c r="H1900" s="34" t="n">
        <f aca="false">NORMSINV(F1900)</f>
        <v>1.01358252422403</v>
      </c>
      <c r="I1900" s="34" t="n">
        <f aca="false">NORMSINV(G1900)</f>
        <v>0.830096899413959</v>
      </c>
      <c r="J1900" s="59" t="n">
        <f aca="false">mc_s0*EXP((mc_mu-mc_vol^2/2)*mc_t1+mc_vol*SQRT(mc_t1)*H1900)</f>
        <v>1262.79874904227</v>
      </c>
      <c r="K1900" s="59" t="n">
        <f aca="false">J1900*EXP((mc_mu-mc_vol^2/2)*(mc_t2-mc_t1)+mc_vol*SQRT(mc_t2-mc_t1)*I1900)</f>
        <v>1465.64411391172</v>
      </c>
      <c r="L1900" s="31" t="n">
        <f aca="false">(t1_usd*J1900+t2_usd*K1900)/1000</f>
        <v>11624.3150597282</v>
      </c>
    </row>
    <row r="1901" customFormat="false" ht="15" hidden="false" customHeight="false" outlineLevel="0" collapsed="false">
      <c r="E1901" s="54" t="n">
        <v>1897</v>
      </c>
      <c r="F1901" s="61" t="n">
        <v>0.781243</v>
      </c>
      <c r="G1901" s="61" t="n">
        <v>0.760819</v>
      </c>
      <c r="H1901" s="34" t="n">
        <f aca="false">NORMSINV(F1901)</f>
        <v>0.776398042659412</v>
      </c>
      <c r="I1901" s="34" t="n">
        <f aca="false">NORMSINV(G1901)</f>
        <v>0.708939534755427</v>
      </c>
      <c r="J1901" s="59" t="n">
        <f aca="false">mc_s0*EXP((mc_mu-mc_vol^2/2)*mc_t1+mc_vol*SQRT(mc_t1)*H1901)</f>
        <v>1234.50984264502</v>
      </c>
      <c r="K1901" s="59" t="n">
        <f aca="false">J1901*EXP((mc_mu-mc_vol^2/2)*(mc_t2-mc_t1)+mc_vol*SQRT(mc_t2-mc_t1)*I1901)</f>
        <v>1405.71314849477</v>
      </c>
      <c r="L1901" s="31" t="n">
        <f aca="false">(t1_usd*J1901+t2_usd*K1901)/1000</f>
        <v>11312.4238806552</v>
      </c>
    </row>
    <row r="1902" customFormat="false" ht="15" hidden="false" customHeight="false" outlineLevel="0" collapsed="false">
      <c r="E1902" s="54" t="n">
        <v>1898</v>
      </c>
      <c r="F1902" s="61" t="n">
        <v>0.422418</v>
      </c>
      <c r="G1902" s="61" t="n">
        <v>0.340659</v>
      </c>
      <c r="H1902" s="34" t="n">
        <f aca="false">NORMSINV(F1902)</f>
        <v>-0.19571147800513</v>
      </c>
      <c r="I1902" s="34" t="n">
        <f aca="false">NORMSINV(G1902)</f>
        <v>-0.410665265169469</v>
      </c>
      <c r="J1902" s="59" t="n">
        <f aca="false">mc_s0*EXP((mc_mu-mc_vol^2/2)*mc_t1+mc_vol*SQRT(mc_t1)*H1902)</f>
        <v>1125.03657854903</v>
      </c>
      <c r="K1902" s="59" t="n">
        <f aca="false">J1902*EXP((mc_mu-mc_vol^2/2)*(mc_t2-mc_t1)+mc_vol*SQRT(mc_t2-mc_t1)*I1902)</f>
        <v>1073.84342360064</v>
      </c>
      <c r="L1902" s="31" t="n">
        <f aca="false">(t1_usd*J1902+t2_usd*K1902)/1000</f>
        <v>9915.55855468439</v>
      </c>
    </row>
    <row r="1903" customFormat="false" ht="15" hidden="false" customHeight="false" outlineLevel="0" collapsed="false">
      <c r="E1903" s="54" t="n">
        <v>1899</v>
      </c>
      <c r="F1903" s="61" t="n">
        <v>0.292454</v>
      </c>
      <c r="G1903" s="61" t="n">
        <v>0.838552</v>
      </c>
      <c r="H1903" s="34" t="n">
        <f aca="false">NORMSINV(F1903)</f>
        <v>-0.546229777082421</v>
      </c>
      <c r="I1903" s="34" t="n">
        <f aca="false">NORMSINV(G1903)</f>
        <v>0.988524176571526</v>
      </c>
      <c r="J1903" s="59" t="n">
        <f aca="false">mc_s0*EXP((mc_mu-mc_vol^2/2)*mc_t1+mc_vol*SQRT(mc_t1)*H1903)</f>
        <v>1087.99126651188</v>
      </c>
      <c r="K1903" s="59" t="n">
        <f aca="false">J1903*EXP((mc_mu-mc_vol^2/2)*(mc_t2-mc_t1)+mc_vol*SQRT(mc_t2-mc_t1)*I1903)</f>
        <v>1294.68122909564</v>
      </c>
      <c r="L1903" s="31" t="n">
        <f aca="false">(t1_usd*J1903+t2_usd*K1903)/1000</f>
        <v>10075.8332008649</v>
      </c>
    </row>
    <row r="1904" customFormat="false" ht="15" hidden="false" customHeight="false" outlineLevel="0" collapsed="false">
      <c r="E1904" s="54" t="n">
        <v>1900</v>
      </c>
      <c r="F1904" s="61" t="n">
        <v>0.446034</v>
      </c>
      <c r="G1904" s="61" t="n">
        <v>0.351011</v>
      </c>
      <c r="H1904" s="34" t="n">
        <f aca="false">NORMSINV(F1904)</f>
        <v>-0.135687917265442</v>
      </c>
      <c r="I1904" s="34" t="n">
        <f aca="false">NORMSINV(G1904)</f>
        <v>-0.382592408380888</v>
      </c>
      <c r="J1904" s="59" t="n">
        <f aca="false">mc_s0*EXP((mc_mu-mc_vol^2/2)*mc_t1+mc_vol*SQRT(mc_t1)*H1904)</f>
        <v>1131.50562514807</v>
      </c>
      <c r="K1904" s="59" t="n">
        <f aca="false">J1904*EXP((mc_mu-mc_vol^2/2)*(mc_t2-mc_t1)+mc_vol*SQRT(mc_t2-mc_t1)*I1904)</f>
        <v>1084.80678932776</v>
      </c>
      <c r="L1904" s="31" t="n">
        <f aca="false">(t1_usd*J1904+t2_usd*K1904)/1000</f>
        <v>9981.67227575921</v>
      </c>
    </row>
    <row r="1905" customFormat="false" ht="15" hidden="false" customHeight="false" outlineLevel="0" collapsed="false">
      <c r="E1905" s="54" t="n">
        <v>1901</v>
      </c>
      <c r="F1905" s="61" t="n">
        <v>0.32333</v>
      </c>
      <c r="G1905" s="61" t="n">
        <v>0.587428</v>
      </c>
      <c r="H1905" s="34" t="n">
        <f aca="false">NORMSINV(F1905)</f>
        <v>-0.458407088438237</v>
      </c>
      <c r="I1905" s="34" t="n">
        <f aca="false">NORMSINV(G1905)</f>
        <v>0.220933773089026</v>
      </c>
      <c r="J1905" s="59" t="n">
        <f aca="false">mc_s0*EXP((mc_mu-mc_vol^2/2)*mc_t1+mc_vol*SQRT(mc_t1)*H1905)</f>
        <v>1097.15687538531</v>
      </c>
      <c r="K1905" s="59" t="n">
        <f aca="false">J1905*EXP((mc_mu-mc_vol^2/2)*(mc_t2-mc_t1)+mc_vol*SQRT(mc_t2-mc_t1)*I1905)</f>
        <v>1156.8335056785</v>
      </c>
      <c r="L1905" s="31" t="n">
        <f aca="false">(t1_usd*J1905+t2_usd*K1905)/1000</f>
        <v>9878.08178848634</v>
      </c>
    </row>
    <row r="1906" customFormat="false" ht="15" hidden="false" customHeight="false" outlineLevel="0" collapsed="false">
      <c r="E1906" s="54" t="n">
        <v>1902</v>
      </c>
      <c r="F1906" s="61" t="n">
        <v>0.693708</v>
      </c>
      <c r="G1906" s="61" t="n">
        <v>0.415823</v>
      </c>
      <c r="H1906" s="34" t="n">
        <f aca="false">NORMSINV(F1906)</f>
        <v>0.506388423151917</v>
      </c>
      <c r="I1906" s="34" t="n">
        <f aca="false">NORMSINV(G1906)</f>
        <v>-0.212590989675365</v>
      </c>
      <c r="J1906" s="59" t="n">
        <f aca="false">mc_s0*EXP((mc_mu-mc_vol^2/2)*mc_t1+mc_vol*SQRT(mc_t1)*H1906)</f>
        <v>1203.07643874516</v>
      </c>
      <c r="K1906" s="59" t="n">
        <f aca="false">J1906*EXP((mc_mu-mc_vol^2/2)*(mc_t2-mc_t1)+mc_vol*SQRT(mc_t2-mc_t1)*I1906)</f>
        <v>1184.74289146571</v>
      </c>
      <c r="L1906" s="31" t="n">
        <f aca="false">(t1_usd*J1906+t2_usd*K1906)/1000</f>
        <v>10672.5465650009</v>
      </c>
    </row>
    <row r="1907" customFormat="false" ht="15" hidden="false" customHeight="false" outlineLevel="0" collapsed="false">
      <c r="E1907" s="54" t="n">
        <v>1903</v>
      </c>
      <c r="F1907" s="61" t="n">
        <v>0.833295</v>
      </c>
      <c r="G1907" s="61" t="n">
        <v>0.364319</v>
      </c>
      <c r="H1907" s="34" t="n">
        <f aca="false">NORMSINV(F1907)</f>
        <v>0.967268152675159</v>
      </c>
      <c r="I1907" s="34" t="n">
        <f aca="false">NORMSINV(G1907)</f>
        <v>-0.346937863896274</v>
      </c>
      <c r="J1907" s="59" t="n">
        <f aca="false">mc_s0*EXP((mc_mu-mc_vol^2/2)*mc_t1+mc_vol*SQRT(mc_t1)*H1907)</f>
        <v>1257.22437833082</v>
      </c>
      <c r="K1907" s="59" t="n">
        <f aca="false">J1907*EXP((mc_mu-mc_vol^2/2)*(mc_t2-mc_t1)+mc_vol*SQRT(mc_t2-mc_t1)*I1907)</f>
        <v>1212.1286995459</v>
      </c>
      <c r="L1907" s="31" t="n">
        <f aca="false">(t1_usd*J1907+t2_usd*K1907)/1000</f>
        <v>11103.615177453</v>
      </c>
    </row>
    <row r="1908" customFormat="false" ht="15" hidden="false" customHeight="false" outlineLevel="0" collapsed="false">
      <c r="E1908" s="54" t="n">
        <v>1904</v>
      </c>
      <c r="F1908" s="61" t="n">
        <v>0.293298</v>
      </c>
      <c r="G1908" s="61" t="n">
        <v>0.24479</v>
      </c>
      <c r="H1908" s="34" t="n">
        <f aca="false">NORMSINV(F1908)</f>
        <v>-0.543775456801753</v>
      </c>
      <c r="I1908" s="34" t="n">
        <f aca="false">NORMSINV(G1908)</f>
        <v>-0.69097699209869</v>
      </c>
      <c r="J1908" s="59" t="n">
        <f aca="false">mc_s0*EXP((mc_mu-mc_vol^2/2)*mc_t1+mc_vol*SQRT(mc_t1)*H1908)</f>
        <v>1088.24636847708</v>
      </c>
      <c r="K1908" s="59" t="n">
        <f aca="false">J1908*EXP((mc_mu-mc_vol^2/2)*(mc_t2-mc_t1)+mc_vol*SQRT(mc_t2-mc_t1)*I1908)</f>
        <v>993.840041394588</v>
      </c>
      <c r="L1908" s="31" t="n">
        <f aca="false">(t1_usd*J1908+t2_usd*K1908)/1000</f>
        <v>9506.02065798927</v>
      </c>
    </row>
    <row r="1909" customFormat="false" ht="15" hidden="false" customHeight="false" outlineLevel="0" collapsed="false">
      <c r="E1909" s="54" t="n">
        <v>1905</v>
      </c>
      <c r="F1909" s="61" t="n">
        <v>0.365266</v>
      </c>
      <c r="G1909" s="61" t="n">
        <v>0.278565</v>
      </c>
      <c r="H1909" s="34" t="n">
        <f aca="false">NORMSINV(F1909)</f>
        <v>-0.344417938777995</v>
      </c>
      <c r="I1909" s="34" t="n">
        <f aca="false">NORMSINV(G1909)</f>
        <v>-0.587109749663162</v>
      </c>
      <c r="J1909" s="59" t="n">
        <f aca="false">mc_s0*EXP((mc_mu-mc_vol^2/2)*mc_t1+mc_vol*SQRT(mc_t1)*H1909)</f>
        <v>1109.16859136426</v>
      </c>
      <c r="K1909" s="59" t="n">
        <f aca="false">J1909*EXP((mc_mu-mc_vol^2/2)*(mc_t2-mc_t1)+mc_vol*SQRT(mc_t2-mc_t1)*I1909)</f>
        <v>1029.66439090237</v>
      </c>
      <c r="L1909" s="31" t="n">
        <f aca="false">(t1_usd*J1909+t2_usd*K1909)/1000</f>
        <v>9720.5424822643</v>
      </c>
    </row>
    <row r="1910" customFormat="false" ht="15" hidden="false" customHeight="false" outlineLevel="0" collapsed="false">
      <c r="E1910" s="54" t="n">
        <v>1906</v>
      </c>
      <c r="F1910" s="61" t="n">
        <v>0.550894</v>
      </c>
      <c r="G1910" s="61" t="n">
        <v>0.357004</v>
      </c>
      <c r="H1910" s="34" t="n">
        <f aca="false">NORMSINV(F1910)</f>
        <v>0.127920358062579</v>
      </c>
      <c r="I1910" s="34" t="n">
        <f aca="false">NORMSINV(G1910)</f>
        <v>-0.36647857091985</v>
      </c>
      <c r="J1910" s="59" t="n">
        <f aca="false">mc_s0*EXP((mc_mu-mc_vol^2/2)*mc_t1+mc_vol*SQRT(mc_t1)*H1910)</f>
        <v>1160.35931557563</v>
      </c>
      <c r="K1910" s="59" t="n">
        <f aca="false">J1910*EXP((mc_mu-mc_vol^2/2)*(mc_t2-mc_t1)+mc_vol*SQRT(mc_t2-mc_t1)*I1910)</f>
        <v>1115.2982773485</v>
      </c>
      <c r="L1910" s="31" t="n">
        <f aca="false">(t1_usd*J1910+t2_usd*K1910)/1000</f>
        <v>10241.5819359916</v>
      </c>
    </row>
    <row r="1911" customFormat="false" ht="15" hidden="false" customHeight="false" outlineLevel="0" collapsed="false">
      <c r="E1911" s="54" t="n">
        <v>1907</v>
      </c>
      <c r="F1911" s="61" t="n">
        <v>0.758839</v>
      </c>
      <c r="G1911" s="61" t="n">
        <v>0.155835</v>
      </c>
      <c r="H1911" s="34" t="n">
        <f aca="false">NORMSINV(F1911)</f>
        <v>0.702572829420659</v>
      </c>
      <c r="I1911" s="34" t="n">
        <f aca="false">NORMSINV(G1911)</f>
        <v>-1.01172407727231</v>
      </c>
      <c r="J1911" s="59" t="n">
        <f aca="false">mc_s0*EXP((mc_mu-mc_vol^2/2)*mc_t1+mc_vol*SQRT(mc_t1)*H1911)</f>
        <v>1225.83473048411</v>
      </c>
      <c r="K1911" s="59" t="n">
        <f aca="false">J1911*EXP((mc_mu-mc_vol^2/2)*(mc_t2-mc_t1)+mc_vol*SQRT(mc_t2-mc_t1)*I1911)</f>
        <v>1064.31126608443</v>
      </c>
      <c r="L1911" s="31" t="n">
        <f aca="false">(t1_usd*J1911+t2_usd*K1911)/1000</f>
        <v>10603.0345189492</v>
      </c>
    </row>
    <row r="1912" customFormat="false" ht="15" hidden="false" customHeight="false" outlineLevel="0" collapsed="false">
      <c r="E1912" s="54" t="n">
        <v>1908</v>
      </c>
      <c r="F1912" s="61" t="n">
        <v>0.596647</v>
      </c>
      <c r="G1912" s="61" t="n">
        <v>0.249996</v>
      </c>
      <c r="H1912" s="34" t="n">
        <f aca="false">NORMSINV(F1912)</f>
        <v>0.24467769497521</v>
      </c>
      <c r="I1912" s="34" t="n">
        <f aca="false">NORMSINV(G1912)</f>
        <v>-0.674502337709839</v>
      </c>
      <c r="J1912" s="59" t="n">
        <f aca="false">mc_s0*EXP((mc_mu-mc_vol^2/2)*mc_t1+mc_vol*SQRT(mc_t1)*H1912)</f>
        <v>1173.37320193856</v>
      </c>
      <c r="K1912" s="59" t="n">
        <f aca="false">J1912*EXP((mc_mu-mc_vol^2/2)*(mc_t2-mc_t1)+mc_vol*SQRT(mc_t2-mc_t1)*I1912)</f>
        <v>1074.36780362979</v>
      </c>
      <c r="L1912" s="31" t="n">
        <f aca="false">(t1_usd*J1912+t2_usd*K1912)/1000</f>
        <v>10254.9112404665</v>
      </c>
    </row>
    <row r="1913" customFormat="false" ht="15" hidden="false" customHeight="false" outlineLevel="0" collapsed="false">
      <c r="E1913" s="54" t="n">
        <v>1909</v>
      </c>
      <c r="F1913" s="61" t="n">
        <v>0.839385</v>
      </c>
      <c r="G1913" s="61" t="n">
        <v>0.615705</v>
      </c>
      <c r="H1913" s="34" t="n">
        <f aca="false">NORMSINV(F1913)</f>
        <v>0.991933430395602</v>
      </c>
      <c r="I1913" s="34" t="n">
        <f aca="false">NORMSINV(G1913)</f>
        <v>0.294219736764967</v>
      </c>
      <c r="J1913" s="59" t="n">
        <f aca="false">mc_s0*EXP((mc_mu-mc_vol^2/2)*mc_t1+mc_vol*SQRT(mc_t1)*H1913)</f>
        <v>1260.19000700435</v>
      </c>
      <c r="K1913" s="59" t="n">
        <f aca="false">J1913*EXP((mc_mu-mc_vol^2/2)*(mc_t2-mc_t1)+mc_vol*SQRT(mc_t2-mc_t1)*I1913)</f>
        <v>1344.16935093134</v>
      </c>
      <c r="L1913" s="31" t="n">
        <f aca="false">(t1_usd*J1913+t2_usd*K1913)/1000</f>
        <v>11375.2518158</v>
      </c>
    </row>
    <row r="1914" customFormat="false" ht="15" hidden="false" customHeight="false" outlineLevel="0" collapsed="false">
      <c r="E1914" s="54" t="n">
        <v>1910</v>
      </c>
      <c r="F1914" s="61" t="n">
        <v>0.590502</v>
      </c>
      <c r="G1914" s="61" t="n">
        <v>0.109741</v>
      </c>
      <c r="H1914" s="34" t="n">
        <f aca="false">NORMSINV(F1914)</f>
        <v>0.228836495513019</v>
      </c>
      <c r="I1914" s="34" t="n">
        <f aca="false">NORMSINV(G1914)</f>
        <v>-1.22790668427682</v>
      </c>
      <c r="J1914" s="59" t="n">
        <f aca="false">mc_s0*EXP((mc_mu-mc_vol^2/2)*mc_t1+mc_vol*SQRT(mc_t1)*H1914)</f>
        <v>1171.59900456191</v>
      </c>
      <c r="K1914" s="59" t="n">
        <f aca="false">J1914*EXP((mc_mu-mc_vol^2/2)*(mc_t2-mc_t1)+mc_vol*SQRT(mc_t2-mc_t1)*I1914)</f>
        <v>983.150020571865</v>
      </c>
      <c r="L1914" s="31" t="n">
        <f aca="false">(t1_usd*J1914+t2_usd*K1914)/1000</f>
        <v>10069.1780710199</v>
      </c>
    </row>
    <row r="1915" customFormat="false" ht="15" hidden="false" customHeight="false" outlineLevel="0" collapsed="false">
      <c r="E1915" s="54" t="n">
        <v>1911</v>
      </c>
      <c r="F1915" s="61" t="n">
        <v>0.837751</v>
      </c>
      <c r="G1915" s="61" t="n">
        <v>0.09919</v>
      </c>
      <c r="H1915" s="34" t="n">
        <f aca="false">NORMSINV(F1915)</f>
        <v>0.985256691566733</v>
      </c>
      <c r="I1915" s="34" t="n">
        <f aca="false">NORMSINV(G1915)</f>
        <v>-1.28618071457197</v>
      </c>
      <c r="J1915" s="59" t="n">
        <f aca="false">mc_s0*EXP((mc_mu-mc_vol^2/2)*mc_t1+mc_vol*SQRT(mc_t1)*H1915)</f>
        <v>1259.38653974474</v>
      </c>
      <c r="K1915" s="59" t="n">
        <f aca="false">J1915*EXP((mc_mu-mc_vol^2/2)*(mc_t2-mc_t1)+mc_vol*SQRT(mc_t2-mc_t1)*I1915)</f>
        <v>1047.15618703357</v>
      </c>
      <c r="L1915" s="31" t="n">
        <f aca="false">(t1_usd*J1915+t2_usd*K1915)/1000</f>
        <v>10805.302533577</v>
      </c>
    </row>
    <row r="1916" customFormat="false" ht="15" hidden="false" customHeight="false" outlineLevel="0" collapsed="false">
      <c r="E1916" s="54" t="n">
        <v>1912</v>
      </c>
      <c r="F1916" s="61" t="n">
        <v>0.528782</v>
      </c>
      <c r="G1916" s="61" t="n">
        <v>0.506668</v>
      </c>
      <c r="H1916" s="34" t="n">
        <f aca="false">NORMSINV(F1916)</f>
        <v>0.0722084758892044</v>
      </c>
      <c r="I1916" s="34" t="n">
        <f aca="false">NORMSINV(G1916)</f>
        <v>0.016714975636606</v>
      </c>
      <c r="J1916" s="59" t="n">
        <f aca="false">mc_s0*EXP((mc_mu-mc_vol^2/2)*mc_t1+mc_vol*SQRT(mc_t1)*H1916)</f>
        <v>1154.20058105686</v>
      </c>
      <c r="K1916" s="59" t="n">
        <f aca="false">J1916*EXP((mc_mu-mc_vol^2/2)*(mc_t2-mc_t1)+mc_vol*SQRT(mc_t2-mc_t1)*I1916)</f>
        <v>1178.4368231825</v>
      </c>
      <c r="L1916" s="31" t="n">
        <f aca="false">(t1_usd*J1916+t2_usd*K1916)/1000</f>
        <v>10318.4340314448</v>
      </c>
    </row>
    <row r="1917" customFormat="false" ht="15" hidden="false" customHeight="false" outlineLevel="0" collapsed="false">
      <c r="E1917" s="54" t="n">
        <v>1913</v>
      </c>
      <c r="F1917" s="61" t="n">
        <v>0.331489</v>
      </c>
      <c r="G1917" s="61" t="n">
        <v>0.330399</v>
      </c>
      <c r="H1917" s="34" t="n">
        <f aca="false">NORMSINV(F1917)</f>
        <v>-0.435805297470205</v>
      </c>
      <c r="I1917" s="34" t="n">
        <f aca="false">NORMSINV(G1917)</f>
        <v>-0.43881167504381</v>
      </c>
      <c r="J1917" s="59" t="n">
        <f aca="false">mc_s0*EXP((mc_mu-mc_vol^2/2)*mc_t1+mc_vol*SQRT(mc_t1)*H1917)</f>
        <v>1099.52817665434</v>
      </c>
      <c r="K1917" s="59" t="n">
        <f aca="false">J1917*EXP((mc_mu-mc_vol^2/2)*(mc_t2-mc_t1)+mc_vol*SQRT(mc_t2-mc_t1)*I1917)</f>
        <v>1044.85082358697</v>
      </c>
      <c r="L1917" s="31" t="n">
        <f aca="false">(t1_usd*J1917+t2_usd*K1917)/1000</f>
        <v>9681.91380139565</v>
      </c>
    </row>
    <row r="1918" customFormat="false" ht="15" hidden="false" customHeight="false" outlineLevel="0" collapsed="false">
      <c r="E1918" s="54" t="n">
        <v>1914</v>
      </c>
      <c r="F1918" s="61" t="n">
        <v>0.387746</v>
      </c>
      <c r="G1918" s="61" t="n">
        <v>0.335578</v>
      </c>
      <c r="H1918" s="34" t="n">
        <f aca="false">NORMSINV(F1918)</f>
        <v>-0.28519859070752</v>
      </c>
      <c r="I1918" s="34" t="n">
        <f aca="false">NORMSINV(G1918)</f>
        <v>-0.424561999078583</v>
      </c>
      <c r="J1918" s="59" t="n">
        <f aca="false">mc_s0*EXP((mc_mu-mc_vol^2/2)*mc_t1+mc_vol*SQRT(mc_t1)*H1918)</f>
        <v>1115.46070227385</v>
      </c>
      <c r="K1918" s="59" t="n">
        <f aca="false">J1918*EXP((mc_mu-mc_vol^2/2)*(mc_t2-mc_t1)+mc_vol*SQRT(mc_t2-mc_t1)*I1918)</f>
        <v>1062.3741021466</v>
      </c>
      <c r="L1918" s="31" t="n">
        <f aca="false">(t1_usd*J1918+t2_usd*K1918)/1000</f>
        <v>9826.73570999546</v>
      </c>
    </row>
    <row r="1919" customFormat="false" ht="15" hidden="false" customHeight="false" outlineLevel="0" collapsed="false">
      <c r="E1919" s="54" t="n">
        <v>1915</v>
      </c>
      <c r="F1919" s="61" t="n">
        <v>0.579378</v>
      </c>
      <c r="G1919" s="61" t="n">
        <v>0.604237</v>
      </c>
      <c r="H1919" s="34" t="n">
        <f aca="false">NORMSINV(F1919)</f>
        <v>0.200302509528913</v>
      </c>
      <c r="I1919" s="34" t="n">
        <f aca="false">NORMSINV(G1919)</f>
        <v>0.264329539823907</v>
      </c>
      <c r="J1919" s="59" t="n">
        <f aca="false">mc_s0*EXP((mc_mu-mc_vol^2/2)*mc_t1+mc_vol*SQRT(mc_t1)*H1919)</f>
        <v>1168.40999401315</v>
      </c>
      <c r="K1919" s="59" t="n">
        <f aca="false">J1919*EXP((mc_mu-mc_vol^2/2)*(mc_t2-mc_t1)+mc_vol*SQRT(mc_t2-mc_t1)*I1919)</f>
        <v>1240.41634311513</v>
      </c>
      <c r="L1919" s="31" t="n">
        <f aca="false">(t1_usd*J1919+t2_usd*K1919)/1000</f>
        <v>10535.6610100108</v>
      </c>
    </row>
    <row r="1920" customFormat="false" ht="15" hidden="false" customHeight="false" outlineLevel="0" collapsed="false">
      <c r="E1920" s="54" t="n">
        <v>1916</v>
      </c>
      <c r="F1920" s="61" t="n">
        <v>0.29584</v>
      </c>
      <c r="G1920" s="61" t="n">
        <v>0.732087</v>
      </c>
      <c r="H1920" s="34" t="n">
        <f aca="false">NORMSINV(F1920)</f>
        <v>-0.536403084650791</v>
      </c>
      <c r="I1920" s="34" t="n">
        <f aca="false">NORMSINV(G1920)</f>
        <v>0.619137167618626</v>
      </c>
      <c r="J1920" s="59" t="n">
        <f aca="false">mc_s0*EXP((mc_mu-mc_vol^2/2)*mc_t1+mc_vol*SQRT(mc_t1)*H1920)</f>
        <v>1089.01301232681</v>
      </c>
      <c r="K1920" s="59" t="n">
        <f aca="false">J1920*EXP((mc_mu-mc_vol^2/2)*(mc_t2-mc_t1)+mc_vol*SQRT(mc_t2-mc_t1)*I1920)</f>
        <v>1222.61291325288</v>
      </c>
      <c r="L1920" s="31" t="n">
        <f aca="false">(t1_usd*J1920+t2_usd*K1920)/1000</f>
        <v>9946.05562146812</v>
      </c>
    </row>
    <row r="1921" customFormat="false" ht="15" hidden="false" customHeight="false" outlineLevel="0" collapsed="false">
      <c r="E1921" s="54" t="n">
        <v>1917</v>
      </c>
      <c r="F1921" s="61" t="n">
        <v>0.980021</v>
      </c>
      <c r="G1921" s="61" t="n">
        <v>0.54778</v>
      </c>
      <c r="H1921" s="34" t="n">
        <f aca="false">NORMSINV(F1921)</f>
        <v>2.05418282570867</v>
      </c>
      <c r="I1921" s="34" t="n">
        <f aca="false">NORMSINV(G1921)</f>
        <v>0.120054468891127</v>
      </c>
      <c r="J1921" s="59" t="n">
        <f aca="false">mc_s0*EXP((mc_mu-mc_vol^2/2)*mc_t1+mc_vol*SQRT(mc_t1)*H1921)</f>
        <v>1394.77255590853</v>
      </c>
      <c r="K1921" s="59" t="n">
        <f aca="false">J1921*EXP((mc_mu-mc_vol^2/2)*(mc_t2-mc_t1)+mc_vol*SQRT(mc_t2-mc_t1)*I1921)</f>
        <v>1447.44195339726</v>
      </c>
      <c r="L1921" s="31" t="n">
        <f aca="false">(t1_usd*J1921+t2_usd*K1921)/1000</f>
        <v>12513.5476028145</v>
      </c>
    </row>
    <row r="1922" customFormat="false" ht="15" hidden="false" customHeight="false" outlineLevel="0" collapsed="false">
      <c r="E1922" s="54" t="n">
        <v>1918</v>
      </c>
      <c r="F1922" s="61" t="n">
        <v>0.050083</v>
      </c>
      <c r="G1922" s="61" t="n">
        <v>0.327214</v>
      </c>
      <c r="H1922" s="34" t="n">
        <f aca="false">NORMSINV(F1922)</f>
        <v>-1.6440493935882</v>
      </c>
      <c r="I1922" s="34" t="n">
        <f aca="false">NORMSINV(G1922)</f>
        <v>-0.447619261039263</v>
      </c>
      <c r="J1922" s="59" t="n">
        <f aca="false">mc_s0*EXP((mc_mu-mc_vol^2/2)*mc_t1+mc_vol*SQRT(mc_t1)*H1922)</f>
        <v>979.675886163994</v>
      </c>
      <c r="K1922" s="59" t="n">
        <f aca="false">J1922*EXP((mc_mu-mc_vol^2/2)*(mc_t2-mc_t1)+mc_vol*SQRT(mc_t2-mc_t1)*I1922)</f>
        <v>929.667260862577</v>
      </c>
      <c r="L1922" s="31" t="n">
        <f aca="false">(t1_usd*J1922+t2_usd*K1922)/1000</f>
        <v>8624.09899878686</v>
      </c>
    </row>
    <row r="1923" customFormat="false" ht="15" hidden="false" customHeight="false" outlineLevel="0" collapsed="false">
      <c r="E1923" s="54" t="n">
        <v>1919</v>
      </c>
      <c r="F1923" s="61" t="n">
        <v>0.632906</v>
      </c>
      <c r="G1923" s="61" t="n">
        <v>0.465969</v>
      </c>
      <c r="H1923" s="34" t="n">
        <f aca="false">NORMSINV(F1923)</f>
        <v>0.339559874408446</v>
      </c>
      <c r="I1923" s="34" t="n">
        <f aca="false">NORMSINV(G1923)</f>
        <v>-0.0854067840241826</v>
      </c>
      <c r="J1923" s="59" t="n">
        <f aca="false">mc_s0*EXP((mc_mu-mc_vol^2/2)*mc_t1+mc_vol*SQRT(mc_t1)*H1923)</f>
        <v>1184.05628596074</v>
      </c>
      <c r="K1923" s="59" t="n">
        <f aca="false">J1923*EXP((mc_mu-mc_vol^2/2)*(mc_t2-mc_t1)+mc_vol*SQRT(mc_t2-mc_t1)*I1923)</f>
        <v>1189.61918909856</v>
      </c>
      <c r="L1923" s="31" t="n">
        <f aca="false">(t1_usd*J1923+t2_usd*K1923)/1000</f>
        <v>10548.6704610125</v>
      </c>
    </row>
    <row r="1924" customFormat="false" ht="15" hidden="false" customHeight="false" outlineLevel="0" collapsed="false">
      <c r="E1924" s="54" t="n">
        <v>1920</v>
      </c>
      <c r="F1924" s="61" t="n">
        <v>0.982239</v>
      </c>
      <c r="G1924" s="61" t="n">
        <v>0.181453</v>
      </c>
      <c r="H1924" s="34" t="n">
        <f aca="false">NORMSINV(F1924)</f>
        <v>2.10235717058773</v>
      </c>
      <c r="I1924" s="34" t="n">
        <f aca="false">NORMSINV(G1924)</f>
        <v>-0.909841698920664</v>
      </c>
      <c r="J1924" s="59" t="n">
        <f aca="false">mc_s0*EXP((mc_mu-mc_vol^2/2)*mc_t1+mc_vol*SQRT(mc_t1)*H1924)</f>
        <v>1401.20572695166</v>
      </c>
      <c r="K1924" s="59" t="n">
        <f aca="false">J1924*EXP((mc_mu-mc_vol^2/2)*(mc_t2-mc_t1)+mc_vol*SQRT(mc_t2-mc_t1)*I1924)</f>
        <v>1236.265245988</v>
      </c>
      <c r="L1924" s="31" t="n">
        <f aca="false">(t1_usd*J1924+t2_usd*K1924)/1000</f>
        <v>12157.3440560388</v>
      </c>
    </row>
    <row r="1925" customFormat="false" ht="15" hidden="false" customHeight="false" outlineLevel="0" collapsed="false">
      <c r="E1925" s="54" t="n">
        <v>1921</v>
      </c>
      <c r="F1925" s="61" t="n">
        <v>0.319025</v>
      </c>
      <c r="G1925" s="61" t="n">
        <v>0.776871</v>
      </c>
      <c r="H1925" s="34" t="n">
        <f aca="false">NORMSINV(F1925)</f>
        <v>-0.470426968860573</v>
      </c>
      <c r="I1925" s="34" t="n">
        <f aca="false">NORMSINV(G1925)</f>
        <v>0.761668299315321</v>
      </c>
      <c r="J1925" s="59" t="n">
        <f aca="false">mc_s0*EXP((mc_mu-mc_vol^2/2)*mc_t1+mc_vol*SQRT(mc_t1)*H1925)</f>
        <v>1095.89787510376</v>
      </c>
      <c r="K1925" s="59" t="n">
        <f aca="false">J1925*EXP((mc_mu-mc_vol^2/2)*(mc_t2-mc_t1)+mc_vol*SQRT(mc_t2-mc_t1)*I1925)</f>
        <v>1258.29099799654</v>
      </c>
      <c r="L1925" s="31" t="n">
        <f aca="false">(t1_usd*J1925+t2_usd*K1925)/1000</f>
        <v>10062.0380219197</v>
      </c>
    </row>
    <row r="1926" customFormat="false" ht="15" hidden="false" customHeight="false" outlineLevel="0" collapsed="false">
      <c r="E1926" s="54" t="n">
        <v>1922</v>
      </c>
      <c r="F1926" s="61" t="n">
        <v>0.97513</v>
      </c>
      <c r="G1926" s="61" t="n">
        <v>0.311202</v>
      </c>
      <c r="H1926" s="34" t="n">
        <f aca="false">NORMSINV(F1926)</f>
        <v>1.96219315984487</v>
      </c>
      <c r="I1926" s="34" t="n">
        <f aca="false">NORMSINV(G1926)</f>
        <v>-0.492446123483365</v>
      </c>
      <c r="J1926" s="59" t="n">
        <f aca="false">mc_s0*EXP((mc_mu-mc_vol^2/2)*mc_t1+mc_vol*SQRT(mc_t1)*H1926)</f>
        <v>1382.57024776485</v>
      </c>
      <c r="K1926" s="59" t="n">
        <f aca="false">J1926*EXP((mc_mu-mc_vol^2/2)*(mc_t2-mc_t1)+mc_vol*SQRT(mc_t2-mc_t1)*I1926)</f>
        <v>1302.75962909106</v>
      </c>
      <c r="L1926" s="31" t="n">
        <f aca="false">(t1_usd*J1926+t2_usd*K1926)/1000</f>
        <v>12153.235029627</v>
      </c>
    </row>
    <row r="1927" customFormat="false" ht="15" hidden="false" customHeight="false" outlineLevel="0" collapsed="false">
      <c r="E1927" s="54" t="n">
        <v>1923</v>
      </c>
      <c r="F1927" s="61" t="n">
        <v>0.480764</v>
      </c>
      <c r="G1927" s="61" t="n">
        <v>0.895235</v>
      </c>
      <c r="H1927" s="34" t="n">
        <f aca="false">NORMSINV(F1927)</f>
        <v>-0.048236200408271</v>
      </c>
      <c r="I1927" s="34" t="n">
        <f aca="false">NORMSINV(G1927)</f>
        <v>1.25485886224005</v>
      </c>
      <c r="J1927" s="59" t="n">
        <f aca="false">mc_s0*EXP((mc_mu-mc_vol^2/2)*mc_t1+mc_vol*SQRT(mc_t1)*H1927)</f>
        <v>1140.99738046804</v>
      </c>
      <c r="K1927" s="59" t="n">
        <f aca="false">J1927*EXP((mc_mu-mc_vol^2/2)*(mc_t2-mc_t1)+mc_vol*SQRT(mc_t2-mc_t1)*I1927)</f>
        <v>1415.95851658525</v>
      </c>
      <c r="L1927" s="31" t="n">
        <f aca="false">(t1_usd*J1927+t2_usd*K1927)/1000</f>
        <v>10677.3028447883</v>
      </c>
    </row>
    <row r="1928" customFormat="false" ht="15" hidden="false" customHeight="false" outlineLevel="0" collapsed="false">
      <c r="E1928" s="54" t="n">
        <v>1924</v>
      </c>
      <c r="F1928" s="61" t="n">
        <v>0.793608</v>
      </c>
      <c r="G1928" s="61" t="n">
        <v>0.55255</v>
      </c>
      <c r="H1928" s="34" t="n">
        <f aca="false">NORMSINV(F1928)</f>
        <v>0.819004230362598</v>
      </c>
      <c r="I1928" s="34" t="n">
        <f aca="false">NORMSINV(G1928)</f>
        <v>0.132106569181883</v>
      </c>
      <c r="J1928" s="59" t="n">
        <f aca="false">mc_s0*EXP((mc_mu-mc_vol^2/2)*mc_t1+mc_vol*SQRT(mc_t1)*H1928)</f>
        <v>1239.54435649542</v>
      </c>
      <c r="K1928" s="59" t="n">
        <f aca="false">J1928*EXP((mc_mu-mc_vol^2/2)*(mc_t2-mc_t1)+mc_vol*SQRT(mc_t2-mc_t1)*I1928)</f>
        <v>1288.79755459615</v>
      </c>
      <c r="L1928" s="31" t="n">
        <f aca="false">(t1_usd*J1928+t2_usd*K1928)/1000</f>
        <v>11125.5258492006</v>
      </c>
    </row>
    <row r="1929" customFormat="false" ht="15" hidden="false" customHeight="false" outlineLevel="0" collapsed="false">
      <c r="E1929" s="54" t="n">
        <v>1925</v>
      </c>
      <c r="F1929" s="61" t="n">
        <v>0.044886</v>
      </c>
      <c r="G1929" s="61" t="n">
        <v>0.845144</v>
      </c>
      <c r="H1929" s="34" t="n">
        <f aca="false">NORMSINV(F1929)</f>
        <v>-1.69660163766043</v>
      </c>
      <c r="I1929" s="34" t="n">
        <f aca="false">NORMSINV(G1929)</f>
        <v>1.01582653016165</v>
      </c>
      <c r="J1929" s="59" t="n">
        <f aca="false">mc_s0*EXP((mc_mu-mc_vol^2/2)*mc_t1+mc_vol*SQRT(mc_t1)*H1929)</f>
        <v>974.770306577039</v>
      </c>
      <c r="K1929" s="59" t="n">
        <f aca="false">J1929*EXP((mc_mu-mc_vol^2/2)*(mc_t2-mc_t1)+mc_vol*SQRT(mc_t2-mc_t1)*I1929)</f>
        <v>1164.95287426576</v>
      </c>
      <c r="L1929" s="31" t="n">
        <f aca="false">(t1_usd*J1929+t2_usd*K1929)/1000</f>
        <v>9036.80260714422</v>
      </c>
    </row>
    <row r="1930" customFormat="false" ht="15" hidden="false" customHeight="false" outlineLevel="0" collapsed="false">
      <c r="E1930" s="54" t="n">
        <v>1926</v>
      </c>
      <c r="F1930" s="61" t="n">
        <v>0.777365</v>
      </c>
      <c r="G1930" s="61" t="n">
        <v>0.260824</v>
      </c>
      <c r="H1930" s="34" t="n">
        <f aca="false">NORMSINV(F1930)</f>
        <v>0.763324322624349</v>
      </c>
      <c r="I1930" s="34" t="n">
        <f aca="false">NORMSINV(G1930)</f>
        <v>-0.640807129905076</v>
      </c>
      <c r="J1930" s="59" t="n">
        <f aca="false">mc_s0*EXP((mc_mu-mc_vol^2/2)*mc_t1+mc_vol*SQRT(mc_t1)*H1930)</f>
        <v>1232.96910450402</v>
      </c>
      <c r="K1930" s="59" t="n">
        <f aca="false">J1930*EXP((mc_mu-mc_vol^2/2)*(mc_t2-mc_t1)+mc_vol*SQRT(mc_t2-mc_t1)*I1930)</f>
        <v>1134.94594238088</v>
      </c>
      <c r="L1930" s="31" t="n">
        <f aca="false">(t1_usd*J1930+t2_usd*K1930)/1000</f>
        <v>10787.1810220518</v>
      </c>
    </row>
    <row r="1931" customFormat="false" ht="15" hidden="false" customHeight="false" outlineLevel="0" collapsed="false">
      <c r="E1931" s="54" t="n">
        <v>1927</v>
      </c>
      <c r="F1931" s="61" t="n">
        <v>0.682226</v>
      </c>
      <c r="G1931" s="61" t="n">
        <v>0.510345</v>
      </c>
      <c r="H1931" s="34" t="n">
        <f aca="false">NORMSINV(F1931)</f>
        <v>0.47393255952718</v>
      </c>
      <c r="I1931" s="34" t="n">
        <f aca="false">NORMSINV(G1931)</f>
        <v>0.0259339762817365</v>
      </c>
      <c r="J1931" s="59" t="n">
        <f aca="false">mc_s0*EXP((mc_mu-mc_vol^2/2)*mc_t1+mc_vol*SQRT(mc_t1)*H1931)</f>
        <v>1199.35235361846</v>
      </c>
      <c r="K1931" s="59" t="n">
        <f aca="false">J1931*EXP((mc_mu-mc_vol^2/2)*(mc_t2-mc_t1)+mc_vol*SQRT(mc_t2-mc_t1)*I1931)</f>
        <v>1226.31706925206</v>
      </c>
      <c r="L1931" s="31" t="n">
        <f aca="false">(t1_usd*J1931+t2_usd*K1931)/1000</f>
        <v>10725.4689069081</v>
      </c>
    </row>
    <row r="1932" customFormat="false" ht="15" hidden="false" customHeight="false" outlineLevel="0" collapsed="false">
      <c r="E1932" s="54" t="n">
        <v>1928</v>
      </c>
      <c r="F1932" s="61" t="n">
        <v>0.318814</v>
      </c>
      <c r="G1932" s="61" t="n">
        <v>0.529574</v>
      </c>
      <c r="H1932" s="34" t="n">
        <f aca="false">NORMSINV(F1932)</f>
        <v>-0.471017833212102</v>
      </c>
      <c r="I1932" s="34" t="n">
        <f aca="false">NORMSINV(G1932)</f>
        <v>0.074199052211074</v>
      </c>
      <c r="J1932" s="59" t="n">
        <f aca="false">mc_s0*EXP((mc_mu-mc_vol^2/2)*mc_t1+mc_vol*SQRT(mc_t1)*H1932)</f>
        <v>1095.83602337157</v>
      </c>
      <c r="K1932" s="59" t="n">
        <f aca="false">J1932*EXP((mc_mu-mc_vol^2/2)*(mc_t2-mc_t1)+mc_vol*SQRT(mc_t2-mc_t1)*I1932)</f>
        <v>1129.02850241307</v>
      </c>
      <c r="L1932" s="31" t="n">
        <f aca="false">(t1_usd*J1932+t2_usd*K1932)/1000</f>
        <v>9816.00631818578</v>
      </c>
    </row>
    <row r="1933" customFormat="false" ht="15" hidden="false" customHeight="false" outlineLevel="0" collapsed="false">
      <c r="E1933" s="54" t="n">
        <v>1929</v>
      </c>
      <c r="F1933" s="61" t="n">
        <v>0.650875</v>
      </c>
      <c r="G1933" s="61" t="n">
        <v>0.856855</v>
      </c>
      <c r="H1933" s="34" t="n">
        <f aca="false">NORMSINV(F1933)</f>
        <v>0.387683861774715</v>
      </c>
      <c r="I1933" s="34" t="n">
        <f aca="false">NORMSINV(G1933)</f>
        <v>1.06629568386067</v>
      </c>
      <c r="J1933" s="59" t="n">
        <f aca="false">mc_s0*EXP((mc_mu-mc_vol^2/2)*mc_t1+mc_vol*SQRT(mc_t1)*H1933)</f>
        <v>1189.51183914728</v>
      </c>
      <c r="K1933" s="59" t="n">
        <f aca="false">J1933*EXP((mc_mu-mc_vol^2/2)*(mc_t2-mc_t1)+mc_vol*SQRT(mc_t2-mc_t1)*I1933)</f>
        <v>1432.94340329988</v>
      </c>
      <c r="L1933" s="31" t="n">
        <f aca="false">(t1_usd*J1933+t2_usd*K1933)/1000</f>
        <v>11049.1753403007</v>
      </c>
    </row>
    <row r="1934" customFormat="false" ht="15" hidden="false" customHeight="false" outlineLevel="0" collapsed="false">
      <c r="E1934" s="54" t="n">
        <v>1930</v>
      </c>
      <c r="F1934" s="61" t="n">
        <v>0.315629</v>
      </c>
      <c r="G1934" s="61" t="n">
        <v>0.186074</v>
      </c>
      <c r="H1934" s="34" t="n">
        <f aca="false">NORMSINV(F1934)</f>
        <v>-0.479956956608849</v>
      </c>
      <c r="I1934" s="34" t="n">
        <f aca="false">NORMSINV(G1934)</f>
        <v>-0.892457057617808</v>
      </c>
      <c r="J1934" s="59" t="n">
        <f aca="false">mc_s0*EXP((mc_mu-mc_vol^2/2)*mc_t1+mc_vol*SQRT(mc_t1)*H1934)</f>
        <v>1094.90070094399</v>
      </c>
      <c r="K1934" s="59" t="n">
        <f aca="false">J1934*EXP((mc_mu-mc_vol^2/2)*(mc_t2-mc_t1)+mc_vol*SQRT(mc_t2-mc_t1)*I1934)</f>
        <v>968.66660531507</v>
      </c>
      <c r="L1934" s="31" t="n">
        <f aca="false">(t1_usd*J1934+t2_usd*K1934)/1000</f>
        <v>9504.77145670655</v>
      </c>
    </row>
    <row r="1935" customFormat="false" ht="15" hidden="false" customHeight="false" outlineLevel="0" collapsed="false">
      <c r="E1935" s="54" t="n">
        <v>1931</v>
      </c>
      <c r="F1935" s="61" t="n">
        <v>0.228376</v>
      </c>
      <c r="G1935" s="61" t="n">
        <v>0.450398</v>
      </c>
      <c r="H1935" s="34" t="n">
        <f aca="false">NORMSINV(F1935)</f>
        <v>-0.744205766419535</v>
      </c>
      <c r="I1935" s="34" t="n">
        <f aca="false">NORMSINV(G1935)</f>
        <v>-0.124655864241011</v>
      </c>
      <c r="J1935" s="59" t="n">
        <f aca="false">mc_s0*EXP((mc_mu-mc_vol^2/2)*mc_t1+mc_vol*SQRT(mc_t1)*H1935)</f>
        <v>1067.60939121648</v>
      </c>
      <c r="K1935" s="59" t="n">
        <f aca="false">J1935*EXP((mc_mu-mc_vol^2/2)*(mc_t2-mc_t1)+mc_vol*SQRT(mc_t2-mc_t1)*I1935)</f>
        <v>1066.01107986481</v>
      </c>
      <c r="L1935" s="31" t="n">
        <f aca="false">(t1_usd*J1935+t2_usd*K1935)/1000</f>
        <v>9498.68679025846</v>
      </c>
    </row>
    <row r="1936" customFormat="false" ht="15" hidden="false" customHeight="false" outlineLevel="0" collapsed="false">
      <c r="E1936" s="54" t="n">
        <v>1932</v>
      </c>
      <c r="F1936" s="61" t="n">
        <v>0.207964</v>
      </c>
      <c r="G1936" s="61" t="n">
        <v>0.700907</v>
      </c>
      <c r="H1936" s="34" t="n">
        <f aca="false">NORMSINV(F1936)</f>
        <v>-0.81350601335329</v>
      </c>
      <c r="I1936" s="34" t="n">
        <f aca="false">NORMSINV(G1936)</f>
        <v>0.527010927575865</v>
      </c>
      <c r="J1936" s="59" t="n">
        <f aca="false">mc_s0*EXP((mc_mu-mc_vol^2/2)*mc_t1+mc_vol*SQRT(mc_t1)*H1936)</f>
        <v>1060.56543332437</v>
      </c>
      <c r="K1936" s="59" t="n">
        <f aca="false">J1936*EXP((mc_mu-mc_vol^2/2)*(mc_t2-mc_t1)+mc_vol*SQRT(mc_t2-mc_t1)*I1936)</f>
        <v>1173.51349096481</v>
      </c>
      <c r="L1936" s="31" t="n">
        <f aca="false">(t1_usd*J1936+t2_usd*K1936)/1000</f>
        <v>9653.63366610374</v>
      </c>
    </row>
    <row r="1937" customFormat="false" ht="15" hidden="false" customHeight="false" outlineLevel="0" collapsed="false">
      <c r="E1937" s="54" t="n">
        <v>1933</v>
      </c>
      <c r="F1937" s="61" t="n">
        <v>0.367773</v>
      </c>
      <c r="G1937" s="61" t="n">
        <v>0.811333</v>
      </c>
      <c r="H1937" s="34" t="n">
        <f aca="false">NORMSINV(F1937)</f>
        <v>-0.33775741991902</v>
      </c>
      <c r="I1937" s="34" t="n">
        <f aca="false">NORMSINV(G1937)</f>
        <v>0.882819135322838</v>
      </c>
      <c r="J1937" s="59" t="n">
        <f aca="false">mc_s0*EXP((mc_mu-mc_vol^2/2)*mc_t1+mc_vol*SQRT(mc_t1)*H1937)</f>
        <v>1109.87450250758</v>
      </c>
      <c r="K1937" s="59" t="n">
        <f aca="false">J1937*EXP((mc_mu-mc_vol^2/2)*(mc_t2-mc_t1)+mc_vol*SQRT(mc_t2-mc_t1)*I1937)</f>
        <v>1298.90284262926</v>
      </c>
      <c r="L1937" s="31" t="n">
        <f aca="false">(t1_usd*J1937+t2_usd*K1937)/1000</f>
        <v>10237.0369185487</v>
      </c>
    </row>
    <row r="1938" customFormat="false" ht="15" hidden="false" customHeight="false" outlineLevel="0" collapsed="false">
      <c r="E1938" s="54" t="n">
        <v>1934</v>
      </c>
      <c r="F1938" s="61" t="n">
        <v>0.703138</v>
      </c>
      <c r="G1938" s="61" t="n">
        <v>0.268666</v>
      </c>
      <c r="H1938" s="34" t="n">
        <f aca="false">NORMSINV(F1938)</f>
        <v>0.533447274550981</v>
      </c>
      <c r="I1938" s="34" t="n">
        <f aca="false">NORMSINV(G1938)</f>
        <v>-0.616852529971089</v>
      </c>
      <c r="J1938" s="59" t="n">
        <f aca="false">mc_s0*EXP((mc_mu-mc_vol^2/2)*mc_t1+mc_vol*SQRT(mc_t1)*H1938)</f>
        <v>1206.19009178648</v>
      </c>
      <c r="K1938" s="59" t="n">
        <f aca="false">J1938*EXP((mc_mu-mc_vol^2/2)*(mc_t2-mc_t1)+mc_vol*SQRT(mc_t2-mc_t1)*I1938)</f>
        <v>1114.4952868342</v>
      </c>
      <c r="L1938" s="31" t="n">
        <f aca="false">(t1_usd*J1938+t2_usd*K1938)/1000</f>
        <v>10560.8716874903</v>
      </c>
    </row>
    <row r="1939" customFormat="false" ht="15" hidden="false" customHeight="false" outlineLevel="0" collapsed="false">
      <c r="E1939" s="54" t="n">
        <v>1935</v>
      </c>
      <c r="F1939" s="61" t="n">
        <v>0.599326</v>
      </c>
      <c r="G1939" s="61" t="n">
        <v>0.735026</v>
      </c>
      <c r="H1939" s="34" t="n">
        <f aca="false">NORMSINV(F1939)</f>
        <v>0.25160292179522</v>
      </c>
      <c r="I1939" s="34" t="n">
        <f aca="false">NORMSINV(G1939)</f>
        <v>0.628085395178005</v>
      </c>
      <c r="J1939" s="59" t="n">
        <f aca="false">mc_s0*EXP((mc_mu-mc_vol^2/2)*mc_t1+mc_vol*SQRT(mc_t1)*H1939)</f>
        <v>1174.14966369712</v>
      </c>
      <c r="K1939" s="59" t="n">
        <f aca="false">J1939*EXP((mc_mu-mc_vol^2/2)*(mc_t2-mc_t1)+mc_vol*SQRT(mc_t2-mc_t1)*I1939)</f>
        <v>1320.05431419365</v>
      </c>
      <c r="L1939" s="31" t="n">
        <f aca="false">(t1_usd*J1939+t2_usd*K1939)/1000</f>
        <v>10727.1508428477</v>
      </c>
    </row>
    <row r="1940" customFormat="false" ht="15" hidden="false" customHeight="false" outlineLevel="0" collapsed="false">
      <c r="E1940" s="54" t="n">
        <v>1936</v>
      </c>
      <c r="F1940" s="61" t="n">
        <v>0.637141</v>
      </c>
      <c r="G1940" s="61" t="n">
        <v>0.536793</v>
      </c>
      <c r="H1940" s="34" t="n">
        <f aca="false">NORMSINV(F1940)</f>
        <v>0.350827186601499</v>
      </c>
      <c r="I1940" s="34" t="n">
        <f aca="false">NORMSINV(G1940)</f>
        <v>0.0923575064697833</v>
      </c>
      <c r="J1940" s="59" t="n">
        <f aca="false">mc_s0*EXP((mc_mu-mc_vol^2/2)*mc_t1+mc_vol*SQRT(mc_t1)*H1940)</f>
        <v>1185.33135193858</v>
      </c>
      <c r="K1940" s="59" t="n">
        <f aca="false">J1940*EXP((mc_mu-mc_vol^2/2)*(mc_t2-mc_t1)+mc_vol*SQRT(mc_t2-mc_t1)*I1940)</f>
        <v>1224.73436211979</v>
      </c>
      <c r="L1940" s="31" t="n">
        <f aca="false">(t1_usd*J1940+t2_usd*K1940)/1000</f>
        <v>10624.3147515976</v>
      </c>
    </row>
    <row r="1941" customFormat="false" ht="15" hidden="false" customHeight="false" outlineLevel="0" collapsed="false">
      <c r="E1941" s="54" t="n">
        <v>1937</v>
      </c>
      <c r="F1941" s="61" t="n">
        <v>0.705483</v>
      </c>
      <c r="G1941" s="61" t="n">
        <v>0.45986</v>
      </c>
      <c r="H1941" s="34" t="n">
        <f aca="false">NORMSINV(F1941)</f>
        <v>0.540236418689443</v>
      </c>
      <c r="I1941" s="34" t="n">
        <f aca="false">NORMSINV(G1941)</f>
        <v>-0.100786429088278</v>
      </c>
      <c r="J1941" s="59" t="n">
        <f aca="false">mc_s0*EXP((mc_mu-mc_vol^2/2)*mc_t1+mc_vol*SQRT(mc_t1)*H1941)</f>
        <v>1206.9725801113</v>
      </c>
      <c r="K1941" s="59" t="n">
        <f aca="false">J1941*EXP((mc_mu-mc_vol^2/2)*(mc_t2-mc_t1)+mc_vol*SQRT(mc_t2-mc_t1)*I1941)</f>
        <v>1209.70759042527</v>
      </c>
      <c r="L1941" s="31" t="n">
        <f aca="false">(t1_usd*J1941+t2_usd*K1941)/1000</f>
        <v>10747.2524825871</v>
      </c>
    </row>
    <row r="1942" customFormat="false" ht="15" hidden="false" customHeight="false" outlineLevel="0" collapsed="false">
      <c r="E1942" s="54" t="n">
        <v>1938</v>
      </c>
      <c r="F1942" s="61" t="n">
        <v>0.422022</v>
      </c>
      <c r="G1942" s="61" t="n">
        <v>0.31117</v>
      </c>
      <c r="H1942" s="34" t="n">
        <f aca="false">NORMSINV(F1942)</f>
        <v>-0.196723396620314</v>
      </c>
      <c r="I1942" s="34" t="n">
        <f aca="false">NORMSINV(G1942)</f>
        <v>-0.492536677661597</v>
      </c>
      <c r="J1942" s="59" t="n">
        <f aca="false">mc_s0*EXP((mc_mu-mc_vol^2/2)*mc_t1+mc_vol*SQRT(mc_t1)*H1942)</f>
        <v>1124.92783650606</v>
      </c>
      <c r="K1942" s="59" t="n">
        <f aca="false">J1942*EXP((mc_mu-mc_vol^2/2)*(mc_t2-mc_t1)+mc_vol*SQRT(mc_t2-mc_t1)*I1942)</f>
        <v>1059.97482562956</v>
      </c>
      <c r="L1942" s="31" t="n">
        <f aca="false">(t1_usd*J1942+t2_usd*K1942)/1000</f>
        <v>9888.44702423856</v>
      </c>
    </row>
    <row r="1943" customFormat="false" ht="15" hidden="false" customHeight="false" outlineLevel="0" collapsed="false">
      <c r="E1943" s="54" t="n">
        <v>1939</v>
      </c>
      <c r="F1943" s="61" t="n">
        <v>0.523353</v>
      </c>
      <c r="G1943" s="61" t="n">
        <v>0.526703</v>
      </c>
      <c r="H1943" s="34" t="n">
        <f aca="false">NORMSINV(F1943)</f>
        <v>0.0585707610371465</v>
      </c>
      <c r="I1943" s="34" t="n">
        <f aca="false">NORMSINV(G1943)</f>
        <v>0.0669845536265082</v>
      </c>
      <c r="J1943" s="59" t="n">
        <f aca="false">mc_s0*EXP((mc_mu-mc_vol^2/2)*mc_t1+mc_vol*SQRT(mc_t1)*H1943)</f>
        <v>1152.69797098942</v>
      </c>
      <c r="K1943" s="59" t="n">
        <f aca="false">J1943*EXP((mc_mu-mc_vol^2/2)*(mc_t2-mc_t1)+mc_vol*SQRT(mc_t2-mc_t1)*I1943)</f>
        <v>1186.2632819087</v>
      </c>
      <c r="L1943" s="31" t="n">
        <f aca="false">(t1_usd*J1943+t2_usd*K1943)/1000</f>
        <v>10322.7860325525</v>
      </c>
    </row>
    <row r="1944" customFormat="false" ht="15" hidden="false" customHeight="false" outlineLevel="0" collapsed="false">
      <c r="E1944" s="54" t="n">
        <v>1940</v>
      </c>
      <c r="F1944" s="61" t="n">
        <v>0.107973</v>
      </c>
      <c r="G1944" s="61" t="n">
        <v>0.855332</v>
      </c>
      <c r="H1944" s="34" t="n">
        <f aca="false">NORMSINV(F1944)</f>
        <v>-1.23738010848328</v>
      </c>
      <c r="I1944" s="34" t="n">
        <f aca="false">NORMSINV(G1944)</f>
        <v>1.05957937679435</v>
      </c>
      <c r="J1944" s="59" t="n">
        <f aca="false">mc_s0*EXP((mc_mu-mc_vol^2/2)*mc_t1+mc_vol*SQRT(mc_t1)*H1944)</f>
        <v>1018.48133165364</v>
      </c>
      <c r="K1944" s="59" t="n">
        <f aca="false">J1944*EXP((mc_mu-mc_vol^2/2)*(mc_t2-mc_t1)+mc_vol*SQRT(mc_t2-mc_t1)*I1944)</f>
        <v>1225.61386405906</v>
      </c>
      <c r="L1944" s="31" t="n">
        <f aca="false">(t1_usd*J1944+t2_usd*K1944)/1000</f>
        <v>9458.0356632877</v>
      </c>
    </row>
    <row r="1945" customFormat="false" ht="15" hidden="false" customHeight="false" outlineLevel="0" collapsed="false">
      <c r="E1945" s="54" t="n">
        <v>1941</v>
      </c>
      <c r="F1945" s="61" t="n">
        <v>0.103743</v>
      </c>
      <c r="G1945" s="61" t="n">
        <v>0.617815</v>
      </c>
      <c r="H1945" s="34" t="n">
        <f aca="false">NORMSINV(F1945)</f>
        <v>-1.26050845431505</v>
      </c>
      <c r="I1945" s="34" t="n">
        <f aca="false">NORMSINV(G1945)</f>
        <v>0.299747190314824</v>
      </c>
      <c r="J1945" s="59" t="n">
        <f aca="false">mc_s0*EXP((mc_mu-mc_vol^2/2)*mc_t1+mc_vol*SQRT(mc_t1)*H1945)</f>
        <v>1016.23370463529</v>
      </c>
      <c r="K1945" s="59" t="n">
        <f aca="false">J1945*EXP((mc_mu-mc_vol^2/2)*(mc_t2-mc_t1)+mc_vol*SQRT(mc_t2-mc_t1)*I1945)</f>
        <v>1084.90037940083</v>
      </c>
      <c r="L1945" s="31" t="n">
        <f aca="false">(t1_usd*J1945+t2_usd*K1945)/1000</f>
        <v>9174.94665330859</v>
      </c>
    </row>
    <row r="1946" customFormat="false" ht="15" hidden="false" customHeight="false" outlineLevel="0" collapsed="false">
      <c r="E1946" s="54" t="n">
        <v>1942</v>
      </c>
      <c r="F1946" s="61" t="n">
        <v>0.142869</v>
      </c>
      <c r="G1946" s="61" t="n">
        <v>0.391941</v>
      </c>
      <c r="H1946" s="34" t="n">
        <f aca="false">NORMSINV(F1946)</f>
        <v>-1.06751797759549</v>
      </c>
      <c r="I1946" s="34" t="n">
        <f aca="false">NORMSINV(G1946)</f>
        <v>-0.274263672017197</v>
      </c>
      <c r="J1946" s="59" t="n">
        <f aca="false">mc_s0*EXP((mc_mu-mc_vol^2/2)*mc_t1+mc_vol*SQRT(mc_t1)*H1946)</f>
        <v>1035.14167760033</v>
      </c>
      <c r="K1946" s="59" t="n">
        <f aca="false">J1946*EXP((mc_mu-mc_vol^2/2)*(mc_t2-mc_t1)+mc_vol*SQRT(mc_t2-mc_t1)*I1946)</f>
        <v>1009.50783029296</v>
      </c>
      <c r="L1946" s="31" t="n">
        <f aca="false">(t1_usd*J1946+t2_usd*K1946)/1000</f>
        <v>9164.05662075892</v>
      </c>
    </row>
    <row r="1947" customFormat="false" ht="15" hidden="false" customHeight="false" outlineLevel="0" collapsed="false">
      <c r="E1947" s="54" t="n">
        <v>1943</v>
      </c>
      <c r="F1947" s="61" t="n">
        <v>0.196932</v>
      </c>
      <c r="G1947" s="61" t="n">
        <v>0.021561</v>
      </c>
      <c r="H1947" s="34" t="n">
        <f aca="false">NORMSINV(F1947)</f>
        <v>-0.852630938453269</v>
      </c>
      <c r="I1947" s="34" t="n">
        <f aca="false">NORMSINV(G1947)</f>
        <v>-2.02252639104898</v>
      </c>
      <c r="J1947" s="59" t="n">
        <f aca="false">mc_s0*EXP((mc_mu-mc_vol^2/2)*mc_t1+mc_vol*SQRT(mc_t1)*H1947)</f>
        <v>1056.60916315348</v>
      </c>
      <c r="K1947" s="59" t="n">
        <f aca="false">J1947*EXP((mc_mu-mc_vol^2/2)*(mc_t2-mc_t1)+mc_vol*SQRT(mc_t2-mc_t1)*I1947)</f>
        <v>782.293862701535</v>
      </c>
      <c r="L1947" s="31" t="n">
        <f aca="false">(t1_usd*J1947+t2_usd*K1947)/1000</f>
        <v>8882.62248120728</v>
      </c>
    </row>
    <row r="1948" customFormat="false" ht="15" hidden="false" customHeight="false" outlineLevel="0" collapsed="false">
      <c r="E1948" s="54" t="n">
        <v>1944</v>
      </c>
      <c r="F1948" s="61" t="n">
        <v>0.416793</v>
      </c>
      <c r="G1948" s="61" t="n">
        <v>0.548034</v>
      </c>
      <c r="H1948" s="34" t="n">
        <f aca="false">NORMSINV(F1948)</f>
        <v>-0.21010464526921</v>
      </c>
      <c r="I1948" s="34" t="n">
        <f aca="false">NORMSINV(G1948)</f>
        <v>0.120695782061238</v>
      </c>
      <c r="J1948" s="59" t="n">
        <f aca="false">mc_s0*EXP((mc_mu-mc_vol^2/2)*mc_t1+mc_vol*SQRT(mc_t1)*H1948)</f>
        <v>1123.49085882426</v>
      </c>
      <c r="K1948" s="59" t="n">
        <f aca="false">J1948*EXP((mc_mu-mc_vol^2/2)*(mc_t2-mc_t1)+mc_vol*SQRT(mc_t2-mc_t1)*I1948)</f>
        <v>1166.03395872636</v>
      </c>
      <c r="L1948" s="31" t="n">
        <f aca="false">(t1_usd*J1948+t2_usd*K1948)/1000</f>
        <v>10079.9005333499</v>
      </c>
    </row>
    <row r="1949" customFormat="false" ht="15" hidden="false" customHeight="false" outlineLevel="0" collapsed="false">
      <c r="E1949" s="54" t="n">
        <v>1945</v>
      </c>
      <c r="F1949" s="61" t="n">
        <v>0.853008</v>
      </c>
      <c r="G1949" s="61" t="n">
        <v>0.79228</v>
      </c>
      <c r="H1949" s="34" t="n">
        <f aca="false">NORMSINV(F1949)</f>
        <v>1.04942186337783</v>
      </c>
      <c r="I1949" s="34" t="n">
        <f aca="false">NORMSINV(G1949)</f>
        <v>0.814357811300595</v>
      </c>
      <c r="J1949" s="59" t="n">
        <f aca="false">mc_s0*EXP((mc_mu-mc_vol^2/2)*mc_t1+mc_vol*SQRT(mc_t1)*H1949)</f>
        <v>1267.12930838261</v>
      </c>
      <c r="K1949" s="59" t="n">
        <f aca="false">J1949*EXP((mc_mu-mc_vol^2/2)*(mc_t2-mc_t1)+mc_vol*SQRT(mc_t2-mc_t1)*I1949)</f>
        <v>1467.02700682829</v>
      </c>
      <c r="L1949" s="31" t="n">
        <f aca="false">(t1_usd*J1949+t2_usd*K1949)/1000</f>
        <v>11657.256471652</v>
      </c>
    </row>
    <row r="1950" customFormat="false" ht="15" hidden="false" customHeight="false" outlineLevel="0" collapsed="false">
      <c r="E1950" s="54" t="n">
        <v>1946</v>
      </c>
      <c r="F1950" s="61" t="n">
        <v>0.199029</v>
      </c>
      <c r="G1950" s="61" t="n">
        <v>0.747182</v>
      </c>
      <c r="H1950" s="34" t="n">
        <f aca="false">NORMSINV(F1950)</f>
        <v>-0.845094641324379</v>
      </c>
      <c r="I1950" s="34" t="n">
        <f aca="false">NORMSINV(G1950)</f>
        <v>0.665648184711328</v>
      </c>
      <c r="J1950" s="59" t="n">
        <f aca="false">mc_s0*EXP((mc_mu-mc_vol^2/2)*mc_t1+mc_vol*SQRT(mc_t1)*H1950)</f>
        <v>1057.37007608616</v>
      </c>
      <c r="K1950" s="59" t="n">
        <f aca="false">J1950*EXP((mc_mu-mc_vol^2/2)*(mc_t2-mc_t1)+mc_vol*SQRT(mc_t2-mc_t1)*I1950)</f>
        <v>1195.82113635797</v>
      </c>
      <c r="L1950" s="31" t="n">
        <f aca="false">(t1_usd*J1950+t2_usd*K1950)/1000</f>
        <v>9673.65069168325</v>
      </c>
    </row>
    <row r="1951" customFormat="false" ht="15" hidden="false" customHeight="false" outlineLevel="0" collapsed="false">
      <c r="E1951" s="54" t="n">
        <v>1947</v>
      </c>
      <c r="F1951" s="61" t="n">
        <v>0.413695</v>
      </c>
      <c r="G1951" s="61" t="n">
        <v>0.695916</v>
      </c>
      <c r="H1951" s="34" t="n">
        <f aca="false">NORMSINV(F1951)</f>
        <v>-0.218050197913746</v>
      </c>
      <c r="I1951" s="34" t="n">
        <f aca="false">NORMSINV(G1951)</f>
        <v>0.51269026569933</v>
      </c>
      <c r="J1951" s="59" t="n">
        <f aca="false">mc_s0*EXP((mc_mu-mc_vol^2/2)*mc_t1+mc_vol*SQRT(mc_t1)*H1951)</f>
        <v>1122.63847519146</v>
      </c>
      <c r="K1951" s="59" t="n">
        <f aca="false">J1951*EXP((mc_mu-mc_vol^2/2)*(mc_t2-mc_t1)+mc_vol*SQRT(mc_t2-mc_t1)*I1951)</f>
        <v>1239.3969074332</v>
      </c>
      <c r="L1951" s="31" t="n">
        <f aca="false">(t1_usd*J1951+t2_usd*K1951)/1000</f>
        <v>10213.3234504633</v>
      </c>
    </row>
    <row r="1952" customFormat="false" ht="15" hidden="false" customHeight="false" outlineLevel="0" collapsed="false">
      <c r="E1952" s="54" t="n">
        <v>1948</v>
      </c>
      <c r="F1952" s="61" t="n">
        <v>0.706885</v>
      </c>
      <c r="G1952" s="61" t="n">
        <v>0.413816</v>
      </c>
      <c r="H1952" s="34" t="n">
        <f aca="false">NORMSINV(F1952)</f>
        <v>0.544307335373489</v>
      </c>
      <c r="I1952" s="34" t="n">
        <f aca="false">NORMSINV(G1952)</f>
        <v>-0.217739609633563</v>
      </c>
      <c r="J1952" s="59" t="n">
        <f aca="false">mc_s0*EXP((mc_mu-mc_vol^2/2)*mc_t1+mc_vol*SQRT(mc_t1)*H1952)</f>
        <v>1207.44202034782</v>
      </c>
      <c r="K1952" s="59" t="n">
        <f aca="false">J1952*EXP((mc_mu-mc_vol^2/2)*(mc_t2-mc_t1)+mc_vol*SQRT(mc_t2-mc_t1)*I1952)</f>
        <v>1188.07756399416</v>
      </c>
      <c r="L1952" s="31" t="n">
        <f aca="false">(t1_usd*J1952+t2_usd*K1952)/1000</f>
        <v>10709.4415140237</v>
      </c>
    </row>
    <row r="1953" customFormat="false" ht="15" hidden="false" customHeight="false" outlineLevel="0" collapsed="false">
      <c r="E1953" s="54" t="n">
        <v>1949</v>
      </c>
      <c r="F1953" s="61" t="n">
        <v>0.798958</v>
      </c>
      <c r="G1953" s="61" t="n">
        <v>0.177474</v>
      </c>
      <c r="H1953" s="34" t="n">
        <f aca="false">NORMSINV(F1953)</f>
        <v>0.837905107536984</v>
      </c>
      <c r="I1953" s="34" t="n">
        <f aca="false">NORMSINV(G1953)</f>
        <v>-0.925034426836986</v>
      </c>
      <c r="J1953" s="59" t="n">
        <f aca="false">mc_s0*EXP((mc_mu-mc_vol^2/2)*mc_t1+mc_vol*SQRT(mc_t1)*H1953)</f>
        <v>1241.78432747366</v>
      </c>
      <c r="K1953" s="59" t="n">
        <f aca="false">J1953*EXP((mc_mu-mc_vol^2/2)*(mc_t2-mc_t1)+mc_vol*SQRT(mc_t2-mc_t1)*I1953)</f>
        <v>1092.98980900365</v>
      </c>
      <c r="L1953" s="31" t="n">
        <f aca="false">(t1_usd*J1953+t2_usd*K1953)/1000</f>
        <v>10769.1709294225</v>
      </c>
    </row>
    <row r="1954" customFormat="false" ht="15" hidden="false" customHeight="false" outlineLevel="0" collapsed="false">
      <c r="E1954" s="54" t="n">
        <v>1950</v>
      </c>
      <c r="F1954" s="61" t="n">
        <v>0.86873</v>
      </c>
      <c r="G1954" s="61" t="n">
        <v>0.457087</v>
      </c>
      <c r="H1954" s="34" t="n">
        <f aca="false">NORMSINV(F1954)</f>
        <v>1.12040785299699</v>
      </c>
      <c r="I1954" s="34" t="n">
        <f aca="false">NORMSINV(G1954)</f>
        <v>-0.107775219935269</v>
      </c>
      <c r="J1954" s="59" t="n">
        <f aca="false">mc_s0*EXP((mc_mu-mc_vol^2/2)*mc_t1+mc_vol*SQRT(mc_t1)*H1954)</f>
        <v>1275.75061485452</v>
      </c>
      <c r="K1954" s="59" t="n">
        <f aca="false">J1954*EXP((mc_mu-mc_vol^2/2)*(mc_t2-mc_t1)+mc_vol*SQRT(mc_t2-mc_t1)*I1954)</f>
        <v>1277.23397433034</v>
      </c>
      <c r="L1954" s="31" t="n">
        <f aca="false">(t1_usd*J1954+t2_usd*K1954)/1000</f>
        <v>11356.9988552093</v>
      </c>
    </row>
    <row r="1955" customFormat="false" ht="15" hidden="false" customHeight="false" outlineLevel="0" collapsed="false">
      <c r="E1955" s="54" t="n">
        <v>1951</v>
      </c>
      <c r="F1955" s="61" t="n">
        <v>0.255188</v>
      </c>
      <c r="G1955" s="61" t="n">
        <v>0.021204</v>
      </c>
      <c r="H1955" s="34" t="n">
        <f aca="false">NORMSINV(F1955)</f>
        <v>-0.658252336113965</v>
      </c>
      <c r="I1955" s="34" t="n">
        <f aca="false">NORMSINV(G1955)</f>
        <v>-2.02949399505059</v>
      </c>
      <c r="J1955" s="59" t="n">
        <f aca="false">mc_s0*EXP((mc_mu-mc_vol^2/2)*mc_t1+mc_vol*SQRT(mc_t1)*H1955)</f>
        <v>1076.41107891675</v>
      </c>
      <c r="K1955" s="59" t="n">
        <f aca="false">J1955*EXP((mc_mu-mc_vol^2/2)*(mc_t2-mc_t1)+mc_vol*SQRT(mc_t2-mc_t1)*I1955)</f>
        <v>796.080220928581</v>
      </c>
      <c r="L1955" s="31" t="n">
        <f aca="false">(t1_usd*J1955+t2_usd*K1955)/1000</f>
        <v>9047.42997218154</v>
      </c>
    </row>
    <row r="1956" customFormat="false" ht="15" hidden="false" customHeight="false" outlineLevel="0" collapsed="false">
      <c r="E1956" s="54" t="n">
        <v>1952</v>
      </c>
      <c r="F1956" s="61" t="n">
        <v>0.763197</v>
      </c>
      <c r="G1956" s="61" t="n">
        <v>0.868459</v>
      </c>
      <c r="H1956" s="34" t="n">
        <f aca="false">NORMSINV(F1956)</f>
        <v>0.716624213259484</v>
      </c>
      <c r="I1956" s="34" t="n">
        <f aca="false">NORMSINV(G1956)</f>
        <v>1.11913629005847</v>
      </c>
      <c r="J1956" s="59" t="n">
        <f aca="false">mc_s0*EXP((mc_mu-mc_vol^2/2)*mc_t1+mc_vol*SQRT(mc_t1)*H1956)</f>
        <v>1227.48118129941</v>
      </c>
      <c r="K1956" s="59" t="n">
        <f aca="false">J1956*EXP((mc_mu-mc_vol^2/2)*(mc_t2-mc_t1)+mc_vol*SQRT(mc_t2-mc_t1)*I1956)</f>
        <v>1491.04798577911</v>
      </c>
      <c r="L1956" s="31" t="n">
        <f aca="false">(t1_usd*J1956+t2_usd*K1956)/1000</f>
        <v>11425.3594420762</v>
      </c>
    </row>
    <row r="1957" customFormat="false" ht="15" hidden="false" customHeight="false" outlineLevel="0" collapsed="false">
      <c r="E1957" s="54" t="n">
        <v>1953</v>
      </c>
      <c r="F1957" s="61" t="n">
        <v>0.578816</v>
      </c>
      <c r="G1957" s="61" t="n">
        <v>0.543465</v>
      </c>
      <c r="H1957" s="34" t="n">
        <f aca="false">NORMSINV(F1957)</f>
        <v>0.198865445636039</v>
      </c>
      <c r="I1957" s="34" t="n">
        <f aca="false">NORMSINV(G1957)</f>
        <v>0.109167042900176</v>
      </c>
      <c r="J1957" s="59" t="n">
        <f aca="false">mc_s0*EXP((mc_mu-mc_vol^2/2)*mc_t1+mc_vol*SQRT(mc_t1)*H1957)</f>
        <v>1168.24961490946</v>
      </c>
      <c r="K1957" s="59" t="n">
        <f aca="false">J1957*EXP((mc_mu-mc_vol^2/2)*(mc_t2-mc_t1)+mc_vol*SQRT(mc_t2-mc_t1)*I1957)</f>
        <v>1210.28668032546</v>
      </c>
      <c r="L1957" s="31" t="n">
        <f aca="false">(t1_usd*J1957+t2_usd*K1957)/1000</f>
        <v>10477.2919969846</v>
      </c>
    </row>
    <row r="1958" customFormat="false" ht="15" hidden="false" customHeight="false" outlineLevel="0" collapsed="false">
      <c r="E1958" s="54" t="n">
        <v>1954</v>
      </c>
      <c r="F1958" s="61" t="n">
        <v>0.568681</v>
      </c>
      <c r="G1958" s="61" t="n">
        <v>0.749863</v>
      </c>
      <c r="H1958" s="34" t="n">
        <f aca="false">NORMSINV(F1958)</f>
        <v>0.173017082786213</v>
      </c>
      <c r="I1958" s="34" t="n">
        <f aca="false">NORMSINV(G1958)</f>
        <v>0.674058692336533</v>
      </c>
      <c r="J1958" s="59" t="n">
        <f aca="false">mc_s0*EXP((mc_mu-mc_vol^2/2)*mc_t1+mc_vol*SQRT(mc_t1)*H1958)</f>
        <v>1165.36864389639</v>
      </c>
      <c r="K1958" s="59" t="n">
        <f aca="false">J1958*EXP((mc_mu-mc_vol^2/2)*(mc_t2-mc_t1)+mc_vol*SQRT(mc_t2-mc_t1)*I1958)</f>
        <v>1319.70897156546</v>
      </c>
      <c r="L1958" s="31" t="n">
        <f aca="false">(t1_usd*J1958+t2_usd*K1958)/1000</f>
        <v>10665.0275532491</v>
      </c>
    </row>
    <row r="1959" customFormat="false" ht="15" hidden="false" customHeight="false" outlineLevel="0" collapsed="false">
      <c r="E1959" s="54" t="n">
        <v>1955</v>
      </c>
      <c r="F1959" s="61" t="n">
        <v>0.97449</v>
      </c>
      <c r="G1959" s="61" t="n">
        <v>0.689829</v>
      </c>
      <c r="H1959" s="34" t="n">
        <f aca="false">NORMSINV(F1959)</f>
        <v>1.95131151588166</v>
      </c>
      <c r="I1959" s="34" t="n">
        <f aca="false">NORMSINV(G1959)</f>
        <v>0.495365702788391</v>
      </c>
      <c r="J1959" s="59" t="n">
        <f aca="false">mc_s0*EXP((mc_mu-mc_vol^2/2)*mc_t1+mc_vol*SQRT(mc_t1)*H1959)</f>
        <v>1381.1338911607</v>
      </c>
      <c r="K1959" s="59" t="n">
        <f aca="false">J1959*EXP((mc_mu-mc_vol^2/2)*(mc_t2-mc_t1)+mc_vol*SQRT(mc_t2-mc_t1)*I1959)</f>
        <v>1520.61945627889</v>
      </c>
      <c r="L1959" s="31" t="n">
        <f aca="false">(t1_usd*J1959+t2_usd*K1959)/1000</f>
        <v>12557.1142050548</v>
      </c>
    </row>
    <row r="1960" customFormat="false" ht="15" hidden="false" customHeight="false" outlineLevel="0" collapsed="false">
      <c r="E1960" s="54" t="n">
        <v>1956</v>
      </c>
      <c r="F1960" s="61" t="n">
        <v>0.094662</v>
      </c>
      <c r="G1960" s="61" t="n">
        <v>0.757845</v>
      </c>
      <c r="H1960" s="34" t="n">
        <f aca="false">NORMSINV(F1960)</f>
        <v>-1.31258152024015</v>
      </c>
      <c r="I1960" s="34" t="n">
        <f aca="false">NORMSINV(G1960)</f>
        <v>0.699387335946101</v>
      </c>
      <c r="J1960" s="59" t="n">
        <f aca="false">mc_s0*EXP((mc_mu-mc_vol^2/2)*mc_t1+mc_vol*SQRT(mc_t1)*H1960)</f>
        <v>1011.19135082299</v>
      </c>
      <c r="K1960" s="59" t="n">
        <f aca="false">J1960*EXP((mc_mu-mc_vol^2/2)*(mc_t2-mc_t1)+mc_vol*SQRT(mc_t2-mc_t1)*I1960)</f>
        <v>1149.69257400346</v>
      </c>
      <c r="L1960" s="31" t="n">
        <f aca="false">(t1_usd*J1960+t2_usd*K1960)/1000</f>
        <v>9262.75534636747</v>
      </c>
    </row>
    <row r="1961" customFormat="false" ht="15" hidden="false" customHeight="false" outlineLevel="0" collapsed="false">
      <c r="E1961" s="54" t="n">
        <v>1957</v>
      </c>
      <c r="F1961" s="61" t="n">
        <v>0.75121</v>
      </c>
      <c r="G1961" s="61" t="n">
        <v>0.108416</v>
      </c>
      <c r="H1961" s="34" t="n">
        <f aca="false">NORMSINV(F1961)</f>
        <v>0.678302364163062</v>
      </c>
      <c r="I1961" s="34" t="n">
        <f aca="false">NORMSINV(G1961)</f>
        <v>-1.23499598071943</v>
      </c>
      <c r="J1961" s="59" t="n">
        <f aca="false">mc_s0*EXP((mc_mu-mc_vol^2/2)*mc_t1+mc_vol*SQRT(mc_t1)*H1961)</f>
        <v>1222.99607334498</v>
      </c>
      <c r="K1961" s="59" t="n">
        <f aca="false">J1961*EXP((mc_mu-mc_vol^2/2)*(mc_t2-mc_t1)+mc_vol*SQRT(mc_t2-mc_t1)*I1961)</f>
        <v>1025.13404467776</v>
      </c>
      <c r="L1961" s="31" t="n">
        <f aca="false">(t1_usd*J1961+t2_usd*K1961)/1000</f>
        <v>10508.7271983026</v>
      </c>
    </row>
    <row r="1962" customFormat="false" ht="15" hidden="false" customHeight="false" outlineLevel="0" collapsed="false">
      <c r="E1962" s="54" t="n">
        <v>1958</v>
      </c>
      <c r="F1962" s="61" t="n">
        <v>0.484774</v>
      </c>
      <c r="G1962" s="61" t="n">
        <v>0.223733</v>
      </c>
      <c r="H1962" s="34" t="n">
        <f aca="false">NORMSINV(F1962)</f>
        <v>-0.0381751924892811</v>
      </c>
      <c r="I1962" s="34" t="n">
        <f aca="false">NORMSINV(G1962)</f>
        <v>-0.759646359590713</v>
      </c>
      <c r="J1962" s="59" t="n">
        <f aca="false">mc_s0*EXP((mc_mu-mc_vol^2/2)*mc_t1+mc_vol*SQRT(mc_t1)*H1962)</f>
        <v>1142.09446753241</v>
      </c>
      <c r="K1962" s="59" t="n">
        <f aca="false">J1962*EXP((mc_mu-mc_vol^2/2)*(mc_t2-mc_t1)+mc_vol*SQRT(mc_t2-mc_t1)*I1962)</f>
        <v>1031.79028045329</v>
      </c>
      <c r="L1962" s="31" t="n">
        <f aca="false">(t1_usd*J1962+t2_usd*K1962)/1000</f>
        <v>9955.06280558815</v>
      </c>
    </row>
    <row r="1963" customFormat="false" ht="15" hidden="false" customHeight="false" outlineLevel="0" collapsed="false">
      <c r="E1963" s="54" t="n">
        <v>1959</v>
      </c>
      <c r="F1963" s="61" t="n">
        <v>0.151364</v>
      </c>
      <c r="G1963" s="61" t="n">
        <v>0.530998</v>
      </c>
      <c r="H1963" s="34" t="n">
        <f aca="false">NORMSINV(F1963)</f>
        <v>-1.03060092955928</v>
      </c>
      <c r="I1963" s="34" t="n">
        <f aca="false">NORMSINV(G1963)</f>
        <v>0.0777788132024681</v>
      </c>
      <c r="J1963" s="59" t="n">
        <f aca="false">mc_s0*EXP((mc_mu-mc_vol^2/2)*mc_t1+mc_vol*SQRT(mc_t1)*H1963)</f>
        <v>1038.79845889436</v>
      </c>
      <c r="K1963" s="59" t="n">
        <f aca="false">J1963*EXP((mc_mu-mc_vol^2/2)*(mc_t2-mc_t1)+mc_vol*SQRT(mc_t2-mc_t1)*I1963)</f>
        <v>1070.86724570473</v>
      </c>
      <c r="L1963" s="31" t="n">
        <f aca="false">(t1_usd*J1963+t2_usd*K1963)/1000</f>
        <v>9306.23697909953</v>
      </c>
    </row>
    <row r="1964" customFormat="false" ht="15" hidden="false" customHeight="false" outlineLevel="0" collapsed="false">
      <c r="E1964" s="54" t="n">
        <v>1960</v>
      </c>
      <c r="F1964" s="61" t="n">
        <v>0.843479</v>
      </c>
      <c r="G1964" s="61" t="n">
        <v>0.804032</v>
      </c>
      <c r="H1964" s="34" t="n">
        <f aca="false">NORMSINV(F1964)</f>
        <v>1.00885954338217</v>
      </c>
      <c r="I1964" s="34" t="n">
        <f aca="false">NORMSINV(G1964)</f>
        <v>0.85611169566211</v>
      </c>
      <c r="J1964" s="59" t="n">
        <f aca="false">mc_s0*EXP((mc_mu-mc_vol^2/2)*mc_t1+mc_vol*SQRT(mc_t1)*H1964)</f>
        <v>1262.22916395057</v>
      </c>
      <c r="K1964" s="59" t="n">
        <f aca="false">J1964*EXP((mc_mu-mc_vol^2/2)*(mc_t2-mc_t1)+mc_vol*SQRT(mc_t2-mc_t1)*I1964)</f>
        <v>1471.00143549392</v>
      </c>
      <c r="L1964" s="31" t="n">
        <f aca="false">(t1_usd*J1964+t2_usd*K1964)/1000</f>
        <v>11630.5068750925</v>
      </c>
    </row>
    <row r="1965" customFormat="false" ht="15" hidden="false" customHeight="false" outlineLevel="0" collapsed="false">
      <c r="E1965" s="54" t="n">
        <v>1961</v>
      </c>
      <c r="F1965" s="61" t="n">
        <v>0.218435</v>
      </c>
      <c r="G1965" s="61" t="n">
        <v>0.601263</v>
      </c>
      <c r="H1965" s="34" t="n">
        <f aca="false">NORMSINV(F1965)</f>
        <v>-0.777489545663309</v>
      </c>
      <c r="I1965" s="34" t="n">
        <f aca="false">NORMSINV(G1965)</f>
        <v>0.256617583226737</v>
      </c>
      <c r="J1965" s="59" t="n">
        <f aca="false">mc_s0*EXP((mc_mu-mc_vol^2/2)*mc_t1+mc_vol*SQRT(mc_t1)*H1965)</f>
        <v>1064.22047320117</v>
      </c>
      <c r="K1965" s="59" t="n">
        <f aca="false">J1965*EXP((mc_mu-mc_vol^2/2)*(mc_t2-mc_t1)+mc_vol*SQRT(mc_t2-mc_t1)*I1965)</f>
        <v>1128.43359049258</v>
      </c>
      <c r="L1965" s="31" t="n">
        <f aca="false">(t1_usd*J1965+t2_usd*K1965)/1000</f>
        <v>9593.5671343441</v>
      </c>
    </row>
    <row r="1966" customFormat="false" ht="15" hidden="false" customHeight="false" outlineLevel="0" collapsed="false">
      <c r="E1966" s="54" t="n">
        <v>1962</v>
      </c>
      <c r="F1966" s="61" t="n">
        <v>0.588812</v>
      </c>
      <c r="G1966" s="61" t="n">
        <v>0.834469</v>
      </c>
      <c r="H1966" s="34" t="n">
        <f aca="false">NORMSINV(F1966)</f>
        <v>0.224490060683401</v>
      </c>
      <c r="I1966" s="34" t="n">
        <f aca="false">NORMSINV(G1966)</f>
        <v>0.971976981741783</v>
      </c>
      <c r="J1966" s="59" t="n">
        <f aca="false">mc_s0*EXP((mc_mu-mc_vol^2/2)*mc_t1+mc_vol*SQRT(mc_t1)*H1966)</f>
        <v>1171.11267769482</v>
      </c>
      <c r="K1966" s="59" t="n">
        <f aca="false">J1966*EXP((mc_mu-mc_vol^2/2)*(mc_t2-mc_t1)+mc_vol*SQRT(mc_t2-mc_t1)*I1966)</f>
        <v>1389.96416538027</v>
      </c>
      <c r="L1966" s="31" t="n">
        <f aca="false">(t1_usd*J1966+t2_usd*K1966)/1000</f>
        <v>10838.7206580863</v>
      </c>
    </row>
    <row r="1967" customFormat="false" ht="15" hidden="false" customHeight="false" outlineLevel="0" collapsed="false">
      <c r="E1967" s="54" t="n">
        <v>1963</v>
      </c>
      <c r="F1967" s="61" t="n">
        <v>0.13964</v>
      </c>
      <c r="G1967" s="61" t="n">
        <v>0.951902</v>
      </c>
      <c r="H1967" s="34" t="n">
        <f aca="false">NORMSINV(F1967)</f>
        <v>-1.08193817615282</v>
      </c>
      <c r="I1967" s="34" t="n">
        <f aca="false">NORMSINV(G1967)</f>
        <v>1.66358195736244</v>
      </c>
      <c r="J1967" s="59" t="n">
        <f aca="false">mc_s0*EXP((mc_mu-mc_vol^2/2)*mc_t1+mc_vol*SQRT(mc_t1)*H1967)</f>
        <v>1033.71679787078</v>
      </c>
      <c r="K1967" s="59" t="n">
        <f aca="false">J1967*EXP((mc_mu-mc_vol^2/2)*(mc_t2-mc_t1)+mc_vol*SQRT(mc_t2-mc_t1)*I1967)</f>
        <v>1368.17365569325</v>
      </c>
      <c r="L1967" s="31" t="n">
        <f aca="false">(t1_usd*J1967+t2_usd*K1967)/1000</f>
        <v>9835.54753091264</v>
      </c>
    </row>
    <row r="1968" customFormat="false" ht="15" hidden="false" customHeight="false" outlineLevel="0" collapsed="false">
      <c r="E1968" s="54" t="n">
        <v>1964</v>
      </c>
      <c r="F1968" s="61" t="n">
        <v>0.60949</v>
      </c>
      <c r="G1968" s="61" t="n">
        <v>0.109367</v>
      </c>
      <c r="H1968" s="34" t="n">
        <f aca="false">NORMSINV(F1968)</f>
        <v>0.277990045817724</v>
      </c>
      <c r="I1968" s="34" t="n">
        <f aca="false">NORMSINV(G1968)</f>
        <v>-1.22990147987595</v>
      </c>
      <c r="J1968" s="59" t="n">
        <f aca="false">mc_s0*EXP((mc_mu-mc_vol^2/2)*mc_t1+mc_vol*SQRT(mc_t1)*H1968)</f>
        <v>1177.11291998646</v>
      </c>
      <c r="K1968" s="59" t="n">
        <f aca="false">J1968*EXP((mc_mu-mc_vol^2/2)*(mc_t2-mc_t1)+mc_vol*SQRT(mc_t2-mc_t1)*I1968)</f>
        <v>987.466560553109</v>
      </c>
      <c r="L1968" s="31" t="n">
        <f aca="false">(t1_usd*J1968+t2_usd*K1968)/1000</f>
        <v>10115.9769049561</v>
      </c>
    </row>
    <row r="1969" customFormat="false" ht="15" hidden="false" customHeight="false" outlineLevel="0" collapsed="false">
      <c r="E1969" s="54" t="n">
        <v>1965</v>
      </c>
      <c r="F1969" s="61" t="n">
        <v>0.578802</v>
      </c>
      <c r="G1969" s="61" t="n">
        <v>0.235516</v>
      </c>
      <c r="H1969" s="34" t="n">
        <f aca="false">NORMSINV(F1969)</f>
        <v>0.198829652145917</v>
      </c>
      <c r="I1969" s="34" t="n">
        <f aca="false">NORMSINV(G1969)</f>
        <v>-0.720800935121743</v>
      </c>
      <c r="J1969" s="59" t="n">
        <f aca="false">mc_s0*EXP((mc_mu-mc_vol^2/2)*mc_t1+mc_vol*SQRT(mc_t1)*H1969)</f>
        <v>1168.24562056788</v>
      </c>
      <c r="K1969" s="59" t="n">
        <f aca="false">J1969*EXP((mc_mu-mc_vol^2/2)*(mc_t2-mc_t1)+mc_vol*SQRT(mc_t2-mc_t1)*I1969)</f>
        <v>1061.89657327322</v>
      </c>
      <c r="L1969" s="31" t="n">
        <f aca="false">(t1_usd*J1969+t2_usd*K1969)/1000</f>
        <v>10195.3228331943</v>
      </c>
    </row>
    <row r="1970" customFormat="false" ht="15" hidden="false" customHeight="false" outlineLevel="0" collapsed="false">
      <c r="E1970" s="54" t="n">
        <v>1966</v>
      </c>
      <c r="F1970" s="61" t="n">
        <v>0.339104</v>
      </c>
      <c r="G1970" s="61" t="n">
        <v>0.282699</v>
      </c>
      <c r="H1970" s="34" t="n">
        <f aca="false">NORMSINV(F1970)</f>
        <v>-0.414909711815176</v>
      </c>
      <c r="I1970" s="34" t="n">
        <f aca="false">NORMSINV(G1970)</f>
        <v>-0.574842234804136</v>
      </c>
      <c r="J1970" s="59" t="n">
        <f aca="false">mc_s0*EXP((mc_mu-mc_vol^2/2)*mc_t1+mc_vol*SQRT(mc_t1)*H1970)</f>
        <v>1101.72502793959</v>
      </c>
      <c r="K1970" s="59" t="n">
        <f aca="false">J1970*EXP((mc_mu-mc_vol^2/2)*(mc_t2-mc_t1)+mc_vol*SQRT(mc_t2-mc_t1)*I1970)</f>
        <v>1024.7335553217</v>
      </c>
      <c r="L1970" s="31" t="n">
        <f aca="false">(t1_usd*J1970+t2_usd*K1970)/1000</f>
        <v>9659.06895068834</v>
      </c>
    </row>
    <row r="1971" customFormat="false" ht="15" hidden="false" customHeight="false" outlineLevel="0" collapsed="false">
      <c r="E1971" s="54" t="n">
        <v>1967</v>
      </c>
      <c r="F1971" s="61" t="n">
        <v>0.477874</v>
      </c>
      <c r="G1971" s="61" t="n">
        <v>0.750153</v>
      </c>
      <c r="H1971" s="34" t="n">
        <f aca="false">NORMSINV(F1971)</f>
        <v>-0.0554901211570556</v>
      </c>
      <c r="I1971" s="34" t="n">
        <f aca="false">NORMSINV(G1971)</f>
        <v>0.674971298766933</v>
      </c>
      <c r="J1971" s="59" t="n">
        <f aca="false">mc_s0*EXP((mc_mu-mc_vol^2/2)*mc_t1+mc_vol*SQRT(mc_t1)*H1971)</f>
        <v>1140.20704176941</v>
      </c>
      <c r="K1971" s="59" t="n">
        <f aca="false">J1971*EXP((mc_mu-mc_vol^2/2)*(mc_t2-mc_t1)+mc_vol*SQRT(mc_t2-mc_t1)*I1971)</f>
        <v>1291.40070713312</v>
      </c>
      <c r="L1971" s="31" t="n">
        <f aca="false">(t1_usd*J1971+t2_usd*K1971)/1000</f>
        <v>10435.1106359388</v>
      </c>
    </row>
    <row r="1972" customFormat="false" ht="15" hidden="false" customHeight="false" outlineLevel="0" collapsed="false">
      <c r="E1972" s="54" t="n">
        <v>1968</v>
      </c>
      <c r="F1972" s="61" t="n">
        <v>0.439575</v>
      </c>
      <c r="G1972" s="61" t="n">
        <v>0.920904</v>
      </c>
      <c r="H1972" s="34" t="n">
        <f aca="false">NORMSINV(F1972)</f>
        <v>-0.152046830006529</v>
      </c>
      <c r="I1972" s="34" t="n">
        <f aca="false">NORMSINV(G1972)</f>
        <v>1.41117845926864</v>
      </c>
      <c r="J1972" s="59" t="n">
        <f aca="false">mc_s0*EXP((mc_mu-mc_vol^2/2)*mc_t1+mc_vol*SQRT(mc_t1)*H1972)</f>
        <v>1129.73886285281</v>
      </c>
      <c r="K1972" s="59" t="n">
        <f aca="false">J1972*EXP((mc_mu-mc_vol^2/2)*(mc_t2-mc_t1)+mc_vol*SQRT(mc_t2-mc_t1)*I1972)</f>
        <v>1436.95363319152</v>
      </c>
      <c r="L1972" s="31" t="n">
        <f aca="false">(t1_usd*J1972+t2_usd*K1972)/1000</f>
        <v>10638.3839430335</v>
      </c>
    </row>
    <row r="1973" customFormat="false" ht="15" hidden="false" customHeight="false" outlineLevel="0" collapsed="false">
      <c r="E1973" s="54" t="n">
        <v>1969</v>
      </c>
      <c r="F1973" s="61" t="n">
        <v>0.733294</v>
      </c>
      <c r="G1973" s="61" t="n">
        <v>0.555379</v>
      </c>
      <c r="H1973" s="34" t="n">
        <f aca="false">NORMSINV(F1973)</f>
        <v>0.622806022826486</v>
      </c>
      <c r="I1973" s="34" t="n">
        <f aca="false">NORMSINV(G1973)</f>
        <v>0.139263413376318</v>
      </c>
      <c r="J1973" s="59" t="n">
        <f aca="false">mc_s0*EXP((mc_mu-mc_vol^2/2)*mc_t1+mc_vol*SQRT(mc_t1)*H1973)</f>
        <v>1216.52993426374</v>
      </c>
      <c r="K1973" s="59" t="n">
        <f aca="false">J1973*EXP((mc_mu-mc_vol^2/2)*(mc_t2-mc_t1)+mc_vol*SQRT(mc_t2-mc_t1)*I1973)</f>
        <v>1266.29606828951</v>
      </c>
      <c r="L1973" s="31" t="n">
        <f aca="false">(t1_usd*J1973+t2_usd*K1973)/1000</f>
        <v>10921.6720695963</v>
      </c>
    </row>
    <row r="1974" customFormat="false" ht="15" hidden="false" customHeight="false" outlineLevel="0" collapsed="false">
      <c r="E1974" s="54" t="n">
        <v>1970</v>
      </c>
      <c r="F1974" s="61" t="n">
        <v>0.874595</v>
      </c>
      <c r="G1974" s="61" t="n">
        <v>0.026323</v>
      </c>
      <c r="H1974" s="34" t="n">
        <f aca="false">NORMSINV(F1974)</f>
        <v>1.14838418381854</v>
      </c>
      <c r="I1974" s="34" t="n">
        <f aca="false">NORMSINV(G1974)</f>
        <v>-1.93781333719204</v>
      </c>
      <c r="J1974" s="59" t="n">
        <f aca="false">mc_s0*EXP((mc_mu-mc_vol^2/2)*mc_t1+mc_vol*SQRT(mc_t1)*H1974)</f>
        <v>1279.16445528929</v>
      </c>
      <c r="K1974" s="59" t="n">
        <f aca="false">J1974*EXP((mc_mu-mc_vol^2/2)*(mc_t2-mc_t1)+mc_vol*SQRT(mc_t2-mc_t1)*I1974)</f>
        <v>959.79802538478</v>
      </c>
      <c r="L1974" s="31" t="n">
        <f aca="false">(t1_usd*J1974+t2_usd*K1974)/1000</f>
        <v>10777.7674352561</v>
      </c>
    </row>
    <row r="1975" customFormat="false" ht="15" hidden="false" customHeight="false" outlineLevel="0" collapsed="false">
      <c r="E1975" s="54" t="n">
        <v>1971</v>
      </c>
      <c r="F1975" s="61" t="n">
        <v>0.789596</v>
      </c>
      <c r="G1975" s="61" t="n">
        <v>0.091196</v>
      </c>
      <c r="H1975" s="34" t="n">
        <f aca="false">NORMSINV(F1975)</f>
        <v>0.805020240220755</v>
      </c>
      <c r="I1975" s="34" t="n">
        <f aca="false">NORMSINV(G1975)</f>
        <v>-1.33342613658073</v>
      </c>
      <c r="J1975" s="59" t="n">
        <f aca="false">mc_s0*EXP((mc_mu-mc_vol^2/2)*mc_t1+mc_vol*SQRT(mc_t1)*H1975)</f>
        <v>1237.88969408672</v>
      </c>
      <c r="K1975" s="59" t="n">
        <f aca="false">J1975*EXP((mc_mu-mc_vol^2/2)*(mc_t2-mc_t1)+mc_vol*SQRT(mc_t2-mc_t1)*I1975)</f>
        <v>1021.64684614761</v>
      </c>
      <c r="L1975" s="31" t="n">
        <f aca="false">(t1_usd*J1975+t2_usd*K1975)/1000</f>
        <v>10606.3568662875</v>
      </c>
    </row>
    <row r="1976" customFormat="false" ht="15" hidden="false" customHeight="false" outlineLevel="0" collapsed="false">
      <c r="E1976" s="54" t="n">
        <v>1972</v>
      </c>
      <c r="F1976" s="61" t="n">
        <v>0.376657</v>
      </c>
      <c r="G1976" s="61" t="n">
        <v>0.030485</v>
      </c>
      <c r="H1976" s="34" t="n">
        <f aca="false">NORMSINV(F1976)</f>
        <v>-0.31427260891224</v>
      </c>
      <c r="I1976" s="34" t="n">
        <f aca="false">NORMSINV(G1976)</f>
        <v>-1.87371295037486</v>
      </c>
      <c r="J1976" s="59" t="n">
        <f aca="false">mc_s0*EXP((mc_mu-mc_vol^2/2)*mc_t1+mc_vol*SQRT(mc_t1)*H1976)</f>
        <v>1112.36711299144</v>
      </c>
      <c r="K1976" s="59" t="n">
        <f aca="false">J1976*EXP((mc_mu-mc_vol^2/2)*(mc_t2-mc_t1)+mc_vol*SQRT(mc_t2-mc_t1)*I1976)</f>
        <v>843.11877237922</v>
      </c>
      <c r="L1976" s="31" t="n">
        <f aca="false">(t1_usd*J1976+t2_usd*K1976)/1000</f>
        <v>9388.49545846062</v>
      </c>
    </row>
    <row r="1977" customFormat="false" ht="15" hidden="false" customHeight="false" outlineLevel="0" collapsed="false">
      <c r="E1977" s="54" t="n">
        <v>1973</v>
      </c>
      <c r="F1977" s="61" t="n">
        <v>0.031503</v>
      </c>
      <c r="G1977" s="61" t="n">
        <v>0.973277</v>
      </c>
      <c r="H1977" s="34" t="n">
        <f aca="false">NORMSINV(F1977)</f>
        <v>-1.85914915126658</v>
      </c>
      <c r="I1977" s="34" t="n">
        <f aca="false">NORMSINV(G1977)</f>
        <v>1.93129970384306</v>
      </c>
      <c r="J1977" s="59" t="n">
        <f aca="false">mc_s0*EXP((mc_mu-mc_vol^2/2)*mc_t1+mc_vol*SQRT(mc_t1)*H1977)</f>
        <v>959.751978192488</v>
      </c>
      <c r="K1977" s="59" t="n">
        <f aca="false">J1977*EXP((mc_mu-mc_vol^2/2)*(mc_t2-mc_t1)+mc_vol*SQRT(mc_t2-mc_t1)*I1977)</f>
        <v>1325.01796249579</v>
      </c>
      <c r="L1977" s="31" t="n">
        <f aca="false">(t1_usd*J1977+t2_usd*K1977)/1000</f>
        <v>9235.79797608943</v>
      </c>
    </row>
    <row r="1978" customFormat="false" ht="15" hidden="false" customHeight="false" outlineLevel="0" collapsed="false">
      <c r="E1978" s="54" t="n">
        <v>1974</v>
      </c>
      <c r="F1978" s="61" t="n">
        <v>0.747102</v>
      </c>
      <c r="G1978" s="61" t="n">
        <v>0.971896</v>
      </c>
      <c r="H1978" s="34" t="n">
        <f aca="false">NORMSINV(F1978)</f>
        <v>0.665397943413486</v>
      </c>
      <c r="I1978" s="34" t="n">
        <f aca="false">NORMSINV(G1978)</f>
        <v>1.90941947854501</v>
      </c>
      <c r="J1978" s="59" t="n">
        <f aca="false">mc_s0*EXP((mc_mu-mc_vol^2/2)*mc_t1+mc_vol*SQRT(mc_t1)*H1978)</f>
        <v>1221.48945870013</v>
      </c>
      <c r="K1978" s="59" t="n">
        <f aca="false">J1978*EXP((mc_mu-mc_vol^2/2)*(mc_t2-mc_t1)+mc_vol*SQRT(mc_t2-mc_t1)*I1978)</f>
        <v>1680.56358945462</v>
      </c>
      <c r="L1978" s="31" t="n">
        <f aca="false">(t1_usd*J1978+t2_usd*K1978)/1000</f>
        <v>11743.4970308647</v>
      </c>
    </row>
    <row r="1979" customFormat="false" ht="15" hidden="false" customHeight="false" outlineLevel="0" collapsed="false">
      <c r="E1979" s="54" t="n">
        <v>1975</v>
      </c>
      <c r="F1979" s="61" t="n">
        <v>0.855497</v>
      </c>
      <c r="G1979" s="61" t="n">
        <v>0.149543</v>
      </c>
      <c r="H1979" s="34" t="n">
        <f aca="false">NORMSINV(F1979)</f>
        <v>1.06030470378066</v>
      </c>
      <c r="I1979" s="34" t="n">
        <f aca="false">NORMSINV(G1979)</f>
        <v>-1.0383954220562</v>
      </c>
      <c r="J1979" s="59" t="n">
        <f aca="false">mc_s0*EXP((mc_mu-mc_vol^2/2)*mc_t1+mc_vol*SQRT(mc_t1)*H1979)</f>
        <v>1268.44724705678</v>
      </c>
      <c r="K1979" s="59" t="n">
        <f aca="false">J1979*EXP((mc_mu-mc_vol^2/2)*(mc_t2-mc_t1)+mc_vol*SQRT(mc_t2-mc_t1)*I1979)</f>
        <v>1096.68956588848</v>
      </c>
      <c r="L1979" s="31" t="n">
        <f aca="false">(t1_usd*J1979+t2_usd*K1979)/1000</f>
        <v>10962.8409045856</v>
      </c>
    </row>
    <row r="1980" customFormat="false" ht="15" hidden="false" customHeight="false" outlineLevel="0" collapsed="false">
      <c r="E1980" s="54" t="n">
        <v>1976</v>
      </c>
      <c r="F1980" s="61" t="n">
        <v>0.137093</v>
      </c>
      <c r="G1980" s="61" t="n">
        <v>0.039898</v>
      </c>
      <c r="H1980" s="34" t="n">
        <f aca="false">NORMSINV(F1980)</f>
        <v>-1.09347340414891</v>
      </c>
      <c r="I1980" s="34" t="n">
        <f aca="false">NORMSINV(G1980)</f>
        <v>-1.75187095440123</v>
      </c>
      <c r="J1980" s="59" t="n">
        <f aca="false">mc_s0*EXP((mc_mu-mc_vol^2/2)*mc_t1+mc_vol*SQRT(mc_t1)*H1980)</f>
        <v>1032.57839820772</v>
      </c>
      <c r="K1980" s="59" t="n">
        <f aca="false">J1980*EXP((mc_mu-mc_vol^2/2)*(mc_t2-mc_t1)+mc_vol*SQRT(mc_t2-mc_t1)*I1980)</f>
        <v>797.816008466789</v>
      </c>
      <c r="L1980" s="31" t="n">
        <f aca="false">(t1_usd*J1980+t2_usd*K1980)/1000</f>
        <v>8743.89920354097</v>
      </c>
    </row>
    <row r="1981" customFormat="false" ht="15" hidden="false" customHeight="false" outlineLevel="0" collapsed="false">
      <c r="E1981" s="54" t="n">
        <v>1977</v>
      </c>
      <c r="F1981" s="61" t="n">
        <v>0.911331</v>
      </c>
      <c r="G1981" s="61" t="n">
        <v>0.14898</v>
      </c>
      <c r="H1981" s="34" t="n">
        <f aca="false">NORMSINV(F1981)</f>
        <v>1.34899678111021</v>
      </c>
      <c r="I1981" s="34" t="n">
        <f aca="false">NORMSINV(G1981)</f>
        <v>-1.04081805258878</v>
      </c>
      <c r="J1981" s="59" t="n">
        <f aca="false">mc_s0*EXP((mc_mu-mc_vol^2/2)*mc_t1+mc_vol*SQRT(mc_t1)*H1981)</f>
        <v>1303.91351364553</v>
      </c>
      <c r="K1981" s="59" t="n">
        <f aca="false">J1981*EXP((mc_mu-mc_vol^2/2)*(mc_t2-mc_t1)+mc_vol*SQRT(mc_t2-mc_t1)*I1981)</f>
        <v>1126.9230922862</v>
      </c>
      <c r="L1981" s="31" t="n">
        <f aca="false">(t1_usd*J1981+t2_usd*K1981)/1000</f>
        <v>11268.5484708625</v>
      </c>
    </row>
    <row r="1982" customFormat="false" ht="15" hidden="false" customHeight="false" outlineLevel="0" collapsed="false">
      <c r="E1982" s="54" t="n">
        <v>1978</v>
      </c>
      <c r="F1982" s="61" t="n">
        <v>0.38258</v>
      </c>
      <c r="G1982" s="61" t="n">
        <v>0.602497</v>
      </c>
      <c r="H1982" s="34" t="n">
        <f aca="false">NORMSINV(F1982)</f>
        <v>-0.298711738159952</v>
      </c>
      <c r="I1982" s="34" t="n">
        <f aca="false">NORMSINV(G1982)</f>
        <v>0.259815622079312</v>
      </c>
      <c r="J1982" s="59" t="n">
        <f aca="false">mc_s0*EXP((mc_mu-mc_vol^2/2)*mc_t1+mc_vol*SQRT(mc_t1)*H1982)</f>
        <v>1114.02178186078</v>
      </c>
      <c r="K1982" s="59" t="n">
        <f aca="false">J1982*EXP((mc_mu-mc_vol^2/2)*(mc_t2-mc_t1)+mc_vol*SQRT(mc_t2-mc_t1)*I1982)</f>
        <v>1181.83530117509</v>
      </c>
      <c r="L1982" s="31" t="n">
        <f aca="false">(t1_usd*J1982+t2_usd*K1982)/1000</f>
        <v>10043.6395452581</v>
      </c>
    </row>
    <row r="1983" customFormat="false" ht="15" hidden="false" customHeight="false" outlineLevel="0" collapsed="false">
      <c r="E1983" s="54" t="n">
        <v>1979</v>
      </c>
      <c r="F1983" s="61" t="n">
        <v>0.668849</v>
      </c>
      <c r="G1983" s="61" t="n">
        <v>0.686169</v>
      </c>
      <c r="H1983" s="34" t="n">
        <f aca="false">NORMSINV(F1983)</f>
        <v>0.436737127795276</v>
      </c>
      <c r="I1983" s="34" t="n">
        <f aca="false">NORMSINV(G1983)</f>
        <v>0.485020223514765</v>
      </c>
      <c r="J1983" s="59" t="n">
        <f aca="false">mc_s0*EXP((mc_mu-mc_vol^2/2)*mc_t1+mc_vol*SQRT(mc_t1)*H1983)</f>
        <v>1195.09860963211</v>
      </c>
      <c r="K1983" s="59" t="n">
        <f aca="false">J1983*EXP((mc_mu-mc_vol^2/2)*(mc_t2-mc_t1)+mc_vol*SQRT(mc_t2-mc_t1)*I1983)</f>
        <v>1313.65232227918</v>
      </c>
      <c r="L1983" s="31" t="n">
        <f aca="false">(t1_usd*J1983+t2_usd*K1983)/1000</f>
        <v>10861.6296797552</v>
      </c>
    </row>
    <row r="1984" customFormat="false" ht="15" hidden="false" customHeight="false" outlineLevel="0" collapsed="false">
      <c r="E1984" s="54" t="n">
        <v>1980</v>
      </c>
      <c r="F1984" s="61" t="n">
        <v>0.406605</v>
      </c>
      <c r="G1984" s="61" t="n">
        <v>0.678427</v>
      </c>
      <c r="H1984" s="34" t="n">
        <f aca="false">NORMSINV(F1984)</f>
        <v>-0.236286966322842</v>
      </c>
      <c r="I1984" s="34" t="n">
        <f aca="false">NORMSINV(G1984)</f>
        <v>0.463304668410529</v>
      </c>
      <c r="J1984" s="59" t="n">
        <f aca="false">mc_s0*EXP((mc_mu-mc_vol^2/2)*mc_t1+mc_vol*SQRT(mc_t1)*H1984)</f>
        <v>1120.6845144497</v>
      </c>
      <c r="K1984" s="59" t="n">
        <f aca="false">J1984*EXP((mc_mu-mc_vol^2/2)*(mc_t2-mc_t1)+mc_vol*SQRT(mc_t2-mc_t1)*I1984)</f>
        <v>1227.64787033816</v>
      </c>
      <c r="L1984" s="31" t="n">
        <f aca="false">(t1_usd*J1984+t2_usd*K1984)/1000</f>
        <v>10177.3225547904</v>
      </c>
    </row>
    <row r="1985" customFormat="false" ht="15" hidden="false" customHeight="false" outlineLevel="0" collapsed="false">
      <c r="E1985" s="54" t="n">
        <v>1981</v>
      </c>
      <c r="F1985" s="61" t="n">
        <v>0.703241</v>
      </c>
      <c r="G1985" s="61" t="n">
        <v>0.228754</v>
      </c>
      <c r="H1985" s="34" t="n">
        <f aca="false">NORMSINV(F1985)</f>
        <v>0.533744957780121</v>
      </c>
      <c r="I1985" s="34" t="n">
        <f aca="false">NORMSINV(G1985)</f>
        <v>-0.74295652820117</v>
      </c>
      <c r="J1985" s="59" t="n">
        <f aca="false">mc_s0*EXP((mc_mu-mc_vol^2/2)*mc_t1+mc_vol*SQRT(mc_t1)*H1985)</f>
        <v>1206.2243908726</v>
      </c>
      <c r="K1985" s="59" t="n">
        <f aca="false">J1985*EXP((mc_mu-mc_vol^2/2)*(mc_t2-mc_t1)+mc_vol*SQRT(mc_t2-mc_t1)*I1985)</f>
        <v>1092.59647186183</v>
      </c>
      <c r="L1985" s="31" t="n">
        <f aca="false">(t1_usd*J1985+t2_usd*K1985)/1000</f>
        <v>10519.5040326457</v>
      </c>
    </row>
    <row r="1986" customFormat="false" ht="15" hidden="false" customHeight="false" outlineLevel="0" collapsed="false">
      <c r="E1986" s="54" t="n">
        <v>1982</v>
      </c>
      <c r="F1986" s="61" t="n">
        <v>0.352783</v>
      </c>
      <c r="G1986" s="61" t="n">
        <v>0.117717</v>
      </c>
      <c r="H1986" s="34" t="n">
        <f aca="false">NORMSINV(F1986)</f>
        <v>-0.377817732249629</v>
      </c>
      <c r="I1986" s="34" t="n">
        <f aca="false">NORMSINV(G1986)</f>
        <v>-1.18647694735343</v>
      </c>
      <c r="J1986" s="59" t="n">
        <f aca="false">mc_s0*EXP((mc_mu-mc_vol^2/2)*mc_t1+mc_vol*SQRT(mc_t1)*H1986)</f>
        <v>1105.6354990625</v>
      </c>
      <c r="K1986" s="59" t="n">
        <f aca="false">J1986*EXP((mc_mu-mc_vol^2/2)*(mc_t2-mc_t1)+mc_vol*SQRT(mc_t2-mc_t1)*I1986)</f>
        <v>933.874035883787</v>
      </c>
      <c r="L1986" s="31" t="n">
        <f aca="false">(t1_usd*J1986+t2_usd*K1986)/1000</f>
        <v>9513.80916161666</v>
      </c>
    </row>
    <row r="1987" customFormat="false" ht="15" hidden="false" customHeight="false" outlineLevel="0" collapsed="false">
      <c r="E1987" s="54" t="n">
        <v>1983</v>
      </c>
      <c r="F1987" s="61" t="n">
        <v>0.362792</v>
      </c>
      <c r="G1987" s="61" t="n">
        <v>0.263551</v>
      </c>
      <c r="H1987" s="34" t="n">
        <f aca="false">NORMSINV(F1987)</f>
        <v>-0.351005796188519</v>
      </c>
      <c r="I1987" s="34" t="n">
        <f aca="false">NORMSINV(G1987)</f>
        <v>-0.632436024946645</v>
      </c>
      <c r="J1987" s="59" t="n">
        <f aca="false">mc_s0*EXP((mc_mu-mc_vol^2/2)*mc_t1+mc_vol*SQRT(mc_t1)*H1987)</f>
        <v>1108.47082286134</v>
      </c>
      <c r="K1987" s="59" t="n">
        <f aca="false">J1987*EXP((mc_mu-mc_vol^2/2)*(mc_t2-mc_t1)+mc_vol*SQRT(mc_t2-mc_t1)*I1987)</f>
        <v>1021.69244587552</v>
      </c>
      <c r="L1987" s="31" t="n">
        <f aca="false">(t1_usd*J1987+t2_usd*K1987)/1000</f>
        <v>9700.51140719284</v>
      </c>
    </row>
    <row r="1988" customFormat="false" ht="15" hidden="false" customHeight="false" outlineLevel="0" collapsed="false">
      <c r="E1988" s="54" t="n">
        <v>1984</v>
      </c>
      <c r="F1988" s="61" t="n">
        <v>0.902386</v>
      </c>
      <c r="G1988" s="61" t="n">
        <v>0.859163</v>
      </c>
      <c r="H1988" s="34" t="n">
        <f aca="false">NORMSINV(F1988)</f>
        <v>1.29526740299092</v>
      </c>
      <c r="I1988" s="34" t="n">
        <f aca="false">NORMSINV(G1988)</f>
        <v>1.07656644872147</v>
      </c>
      <c r="J1988" s="59" t="n">
        <f aca="false">mc_s0*EXP((mc_mu-mc_vol^2/2)*mc_t1+mc_vol*SQRT(mc_t1)*H1988)</f>
        <v>1297.23848942403</v>
      </c>
      <c r="K1988" s="59" t="n">
        <f aca="false">J1988*EXP((mc_mu-mc_vol^2/2)*(mc_t2-mc_t1)+mc_vol*SQRT(mc_t2-mc_t1)*I1988)</f>
        <v>1565.2475930722</v>
      </c>
      <c r="L1988" s="31" t="n">
        <f aca="false">(t1_usd*J1988+t2_usd*K1988)/1000</f>
        <v>12054.6398528054</v>
      </c>
    </row>
    <row r="1989" customFormat="false" ht="15" hidden="false" customHeight="false" outlineLevel="0" collapsed="false">
      <c r="E1989" s="54" t="n">
        <v>1985</v>
      </c>
      <c r="F1989" s="61" t="n">
        <v>0.281171</v>
      </c>
      <c r="G1989" s="61" t="n">
        <v>0.123436</v>
      </c>
      <c r="H1989" s="34" t="n">
        <f aca="false">NORMSINV(F1989)</f>
        <v>-0.579366356585244</v>
      </c>
      <c r="I1989" s="34" t="n">
        <f aca="false">NORMSINV(G1989)</f>
        <v>-1.157980485819</v>
      </c>
      <c r="J1989" s="59" t="n">
        <f aca="false">mc_s0*EXP((mc_mu-mc_vol^2/2)*mc_t1+mc_vol*SQRT(mc_t1)*H1989)</f>
        <v>1084.55289989317</v>
      </c>
      <c r="K1989" s="59" t="n">
        <f aca="false">J1989*EXP((mc_mu-mc_vol^2/2)*(mc_t2-mc_t1)+mc_vol*SQRT(mc_t2-mc_t1)*I1989)</f>
        <v>920.189805194483</v>
      </c>
      <c r="L1989" s="31" t="n">
        <f aca="false">(t1_usd*J1989+t2_usd*K1989)/1000</f>
        <v>9340.2309291217</v>
      </c>
    </row>
    <row r="1990" customFormat="false" ht="15" hidden="false" customHeight="false" outlineLevel="0" collapsed="false">
      <c r="E1990" s="54" t="n">
        <v>1986</v>
      </c>
      <c r="F1990" s="61" t="n">
        <v>0.536392</v>
      </c>
      <c r="G1990" s="61" t="n">
        <v>0.0681</v>
      </c>
      <c r="H1990" s="34" t="n">
        <f aca="false">NORMSINV(F1990)</f>
        <v>0.091348099305642</v>
      </c>
      <c r="I1990" s="34" t="n">
        <f aca="false">NORMSINV(G1990)</f>
        <v>-1.49009218029733</v>
      </c>
      <c r="J1990" s="59" t="n">
        <f aca="false">mc_s0*EXP((mc_mu-mc_vol^2/2)*mc_t1+mc_vol*SQRT(mc_t1)*H1990)</f>
        <v>1156.31269814399</v>
      </c>
      <c r="K1990" s="59" t="n">
        <f aca="false">J1990*EXP((mc_mu-mc_vol^2/2)*(mc_t2-mc_t1)+mc_vol*SQRT(mc_t2-mc_t1)*I1990)</f>
        <v>931.047056361555</v>
      </c>
      <c r="L1990" s="31" t="n">
        <f aca="false">(t1_usd*J1990+t2_usd*K1990)/1000</f>
        <v>9863.17829409485</v>
      </c>
    </row>
    <row r="1991" customFormat="false" ht="15" hidden="false" customHeight="false" outlineLevel="0" collapsed="false">
      <c r="E1991" s="54" t="n">
        <v>1987</v>
      </c>
      <c r="F1991" s="61" t="n">
        <v>0.090097</v>
      </c>
      <c r="G1991" s="61" t="n">
        <v>0.560679</v>
      </c>
      <c r="H1991" s="34" t="n">
        <f aca="false">NORMSINV(F1991)</f>
        <v>-1.34015794760369</v>
      </c>
      <c r="I1991" s="34" t="n">
        <f aca="false">NORMSINV(G1991)</f>
        <v>0.152690947373423</v>
      </c>
      <c r="J1991" s="59" t="n">
        <f aca="false">mc_s0*EXP((mc_mu-mc_vol^2/2)*mc_t1+mc_vol*SQRT(mc_t1)*H1991)</f>
        <v>1008.53120331965</v>
      </c>
      <c r="K1991" s="59" t="n">
        <f aca="false">J1991*EXP((mc_mu-mc_vol^2/2)*(mc_t2-mc_t1)+mc_vol*SQRT(mc_t2-mc_t1)*I1991)</f>
        <v>1052.01226613893</v>
      </c>
      <c r="L1991" s="31" t="n">
        <f aca="false">(t1_usd*J1991+t2_usd*K1991)/1000</f>
        <v>9058.54172890151</v>
      </c>
    </row>
    <row r="1992" customFormat="false" ht="15" hidden="false" customHeight="false" outlineLevel="0" collapsed="false">
      <c r="E1992" s="54" t="n">
        <v>1988</v>
      </c>
      <c r="F1992" s="61" t="n">
        <v>0.499997</v>
      </c>
      <c r="G1992" s="61" t="n">
        <v>0.987674</v>
      </c>
      <c r="H1992" s="34" t="n">
        <f aca="false">NORMSINV(F1992)</f>
        <v>-7.51988482390182E-006</v>
      </c>
      <c r="I1992" s="34" t="n">
        <f aca="false">NORMSINV(G1992)</f>
        <v>2.24681269649944</v>
      </c>
      <c r="J1992" s="59" t="n">
        <f aca="false">mc_s0*EXP((mc_mu-mc_vol^2/2)*mc_t1+mc_vol*SQRT(mc_t1)*H1992)</f>
        <v>1146.26600249448</v>
      </c>
      <c r="K1992" s="59" t="n">
        <f aca="false">J1992*EXP((mc_mu-mc_vol^2/2)*(mc_t2-mc_t1)+mc_vol*SQRT(mc_t2-mc_t1)*I1992)</f>
        <v>1663.1922652542</v>
      </c>
      <c r="L1992" s="31" t="n">
        <f aca="false">(t1_usd*J1992+t2_usd*K1992)/1000</f>
        <v>11183.9273214443</v>
      </c>
    </row>
    <row r="1993" customFormat="false" ht="15" hidden="false" customHeight="false" outlineLevel="0" collapsed="false">
      <c r="E1993" s="54" t="n">
        <v>1989</v>
      </c>
      <c r="F1993" s="61" t="n">
        <v>0.268491</v>
      </c>
      <c r="G1993" s="61" t="n">
        <v>0.187465</v>
      </c>
      <c r="H1993" s="34" t="n">
        <f aca="false">NORMSINV(F1993)</f>
        <v>-0.617383200706137</v>
      </c>
      <c r="I1993" s="34" t="n">
        <f aca="false">NORMSINV(G1993)</f>
        <v>-0.887276601189697</v>
      </c>
      <c r="J1993" s="59" t="n">
        <f aca="false">mc_s0*EXP((mc_mu-mc_vol^2/2)*mc_t1+mc_vol*SQRT(mc_t1)*H1993)</f>
        <v>1080.62152258598</v>
      </c>
      <c r="K1993" s="59" t="n">
        <f aca="false">J1993*EXP((mc_mu-mc_vol^2/2)*(mc_t2-mc_t1)+mc_vol*SQRT(mc_t2-mc_t1)*I1993)</f>
        <v>956.814541584848</v>
      </c>
      <c r="L1993" s="31" t="n">
        <f aca="false">(t1_usd*J1993+t2_usd*K1993)/1000</f>
        <v>9382.29828711308</v>
      </c>
    </row>
    <row r="1994" customFormat="false" ht="15" hidden="false" customHeight="false" outlineLevel="0" collapsed="false">
      <c r="E1994" s="54" t="n">
        <v>1990</v>
      </c>
      <c r="F1994" s="61" t="n">
        <v>0.630339</v>
      </c>
      <c r="G1994" s="61" t="n">
        <v>0.476954</v>
      </c>
      <c r="H1994" s="34" t="n">
        <f aca="false">NORMSINV(F1994)</f>
        <v>0.332751329396588</v>
      </c>
      <c r="I1994" s="34" t="n">
        <f aca="false">NORMSINV(G1994)</f>
        <v>-0.05779992239141</v>
      </c>
      <c r="J1994" s="59" t="n">
        <f aca="false">mc_s0*EXP((mc_mu-mc_vol^2/2)*mc_t1+mc_vol*SQRT(mc_t1)*H1994)</f>
        <v>1183.28646152638</v>
      </c>
      <c r="K1994" s="59" t="n">
        <f aca="false">J1994*EXP((mc_mu-mc_vol^2/2)*(mc_t2-mc_t1)+mc_vol*SQRT(mc_t2-mc_t1)*I1994)</f>
        <v>1194.02927166304</v>
      </c>
      <c r="L1994" s="31" t="n">
        <f aca="false">(t1_usd*J1994+t2_usd*K1994)/1000</f>
        <v>10551.6608468444</v>
      </c>
    </row>
    <row r="1995" customFormat="false" ht="15" hidden="false" customHeight="false" outlineLevel="0" collapsed="false">
      <c r="E1995" s="54" t="n">
        <v>1991</v>
      </c>
      <c r="F1995" s="61" t="n">
        <v>0.879448</v>
      </c>
      <c r="G1995" s="61" t="n">
        <v>0.568315</v>
      </c>
      <c r="H1995" s="34" t="n">
        <f aca="false">NORMSINV(F1995)</f>
        <v>1.17223181097947</v>
      </c>
      <c r="I1995" s="34" t="n">
        <f aca="false">NORMSINV(G1995)</f>
        <v>0.17208589690961</v>
      </c>
      <c r="J1995" s="59" t="n">
        <f aca="false">mc_s0*EXP((mc_mu-mc_vol^2/2)*mc_t1+mc_vol*SQRT(mc_t1)*H1995)</f>
        <v>1282.08169796519</v>
      </c>
      <c r="K1995" s="59" t="n">
        <f aca="false">J1995*EXP((mc_mu-mc_vol^2/2)*(mc_t2-mc_t1)+mc_vol*SQRT(mc_t2-mc_t1)*I1995)</f>
        <v>1341.45031244094</v>
      </c>
      <c r="L1995" s="31" t="n">
        <f aca="false">(t1_usd*J1995+t2_usd*K1995)/1000</f>
        <v>11523.3274793941</v>
      </c>
    </row>
    <row r="1996" customFormat="false" ht="15" hidden="false" customHeight="false" outlineLevel="0" collapsed="false">
      <c r="E1996" s="54" t="n">
        <v>1992</v>
      </c>
      <c r="F1996" s="61" t="n">
        <v>0.299864</v>
      </c>
      <c r="G1996" s="61" t="n">
        <v>0.264642</v>
      </c>
      <c r="H1996" s="34" t="n">
        <f aca="false">NORMSINV(F1996)</f>
        <v>-0.524791702937385</v>
      </c>
      <c r="I1996" s="34" t="n">
        <f aca="false">NORMSINV(G1996)</f>
        <v>-0.629099374428735</v>
      </c>
      <c r="J1996" s="59" t="n">
        <f aca="false">mc_s0*EXP((mc_mu-mc_vol^2/2)*mc_t1+mc_vol*SQRT(mc_t1)*H1996)</f>
        <v>1090.22156084915</v>
      </c>
      <c r="K1996" s="59" t="n">
        <f aca="false">J1996*EXP((mc_mu-mc_vol^2/2)*(mc_t2-mc_t1)+mc_vol*SQRT(mc_t2-mc_t1)*I1996)</f>
        <v>1005.40039012642</v>
      </c>
      <c r="L1996" s="31" t="n">
        <f aca="false">(t1_usd*J1996+t2_usd*K1996)/1000</f>
        <v>9541.81166718424</v>
      </c>
    </row>
    <row r="1997" customFormat="false" ht="15" hidden="false" customHeight="false" outlineLevel="0" collapsed="false">
      <c r="E1997" s="54" t="n">
        <v>1993</v>
      </c>
      <c r="F1997" s="61" t="n">
        <v>0.561924</v>
      </c>
      <c r="G1997" s="61" t="n">
        <v>0.560087</v>
      </c>
      <c r="H1997" s="34" t="n">
        <f aca="false">NORMSINV(F1997)</f>
        <v>0.155849058441812</v>
      </c>
      <c r="I1997" s="34" t="n">
        <f aca="false">NORMSINV(G1997)</f>
        <v>0.151189795214751</v>
      </c>
      <c r="J1997" s="59" t="n">
        <f aca="false">mc_s0*EXP((mc_mu-mc_vol^2/2)*mc_t1+mc_vol*SQRT(mc_t1)*H1997)</f>
        <v>1163.45908156257</v>
      </c>
      <c r="K1997" s="59" t="n">
        <f aca="false">J1997*EXP((mc_mu-mc_vol^2/2)*(mc_t2-mc_t1)+mc_vol*SQRT(mc_t2-mc_t1)*I1997)</f>
        <v>1213.33251579161</v>
      </c>
      <c r="L1997" s="31" t="n">
        <f aca="false">(t1_usd*J1997+t2_usd*K1997)/1000</f>
        <v>10449.545350942</v>
      </c>
    </row>
    <row r="1998" customFormat="false" ht="15" hidden="false" customHeight="false" outlineLevel="0" collapsed="false">
      <c r="E1998" s="54" t="n">
        <v>1994</v>
      </c>
      <c r="F1998" s="61" t="n">
        <v>0.036389</v>
      </c>
      <c r="G1998" s="61" t="n">
        <v>0.773503</v>
      </c>
      <c r="H1998" s="34" t="n">
        <f aca="false">NORMSINV(F1998)</f>
        <v>-1.79422038307579</v>
      </c>
      <c r="I1998" s="34" t="n">
        <f aca="false">NORMSINV(G1998)</f>
        <v>0.75043293702826</v>
      </c>
      <c r="J1998" s="59" t="n">
        <f aca="false">mc_s0*EXP((mc_mu-mc_vol^2/2)*mc_t1+mc_vol*SQRT(mc_t1)*H1998)</f>
        <v>965.723017198757</v>
      </c>
      <c r="K1998" s="59" t="n">
        <f aca="false">J1998*EXP((mc_mu-mc_vol^2/2)*(mc_t2-mc_t1)+mc_vol*SQRT(mc_t2-mc_t1)*I1998)</f>
        <v>1106.86490661976</v>
      </c>
      <c r="L1998" s="31" t="n">
        <f aca="false">(t1_usd*J1998+t2_usd*K1998)/1000</f>
        <v>8863.10444296885</v>
      </c>
    </row>
    <row r="1999" customFormat="false" ht="15" hidden="false" customHeight="false" outlineLevel="0" collapsed="false">
      <c r="E1999" s="54" t="n">
        <v>1995</v>
      </c>
      <c r="F1999" s="61" t="n">
        <v>0.549271</v>
      </c>
      <c r="G1999" s="61" t="n">
        <v>0.095622</v>
      </c>
      <c r="H1999" s="34" t="n">
        <f aca="false">NORMSINV(F1999)</f>
        <v>0.123819742309832</v>
      </c>
      <c r="I1999" s="34" t="n">
        <f aca="false">NORMSINV(G1999)</f>
        <v>-1.30690787864644</v>
      </c>
      <c r="J1999" s="59" t="n">
        <f aca="false">mc_s0*EXP((mc_mu-mc_vol^2/2)*mc_t1+mc_vol*SQRT(mc_t1)*H1999)</f>
        <v>1159.90489000205</v>
      </c>
      <c r="K1999" s="59" t="n">
        <f aca="false">J1999*EXP((mc_mu-mc_vol^2/2)*(mc_t2-mc_t1)+mc_vol*SQRT(mc_t2-mc_t1)*I1999)</f>
        <v>961.29390686146</v>
      </c>
      <c r="L1999" s="31" t="n">
        <f aca="false">(t1_usd*J1999+t2_usd*K1999)/1000</f>
        <v>9945.79265305115</v>
      </c>
    </row>
    <row r="2000" customFormat="false" ht="15" hidden="false" customHeight="false" outlineLevel="0" collapsed="false">
      <c r="E2000" s="54" t="n">
        <v>1996</v>
      </c>
      <c r="F2000" s="61" t="n">
        <v>0.638329</v>
      </c>
      <c r="G2000" s="61" t="n">
        <v>0.332162</v>
      </c>
      <c r="H2000" s="34" t="n">
        <f aca="false">NORMSINV(F2000)</f>
        <v>0.353995841127652</v>
      </c>
      <c r="I2000" s="34" t="n">
        <f aca="false">NORMSINV(G2000)</f>
        <v>-0.43395103280737</v>
      </c>
      <c r="J2000" s="59" t="n">
        <f aca="false">mc_s0*EXP((mc_mu-mc_vol^2/2)*mc_t1+mc_vol*SQRT(mc_t1)*H2000)</f>
        <v>1185.6901801989</v>
      </c>
      <c r="K2000" s="59" t="n">
        <f aca="false">J2000*EXP((mc_mu-mc_vol^2/2)*(mc_t2-mc_t1)+mc_vol*SQRT(mc_t2-mc_t1)*I2000)</f>
        <v>1127.59157087807</v>
      </c>
      <c r="L2000" s="31" t="n">
        <f aca="false">(t1_usd*J2000+t2_usd*K2000)/1000</f>
        <v>10442.2552460606</v>
      </c>
    </row>
    <row r="2001" customFormat="false" ht="15" hidden="false" customHeight="false" outlineLevel="0" collapsed="false">
      <c r="E2001" s="54" t="n">
        <v>1997</v>
      </c>
      <c r="F2001" s="61" t="n">
        <v>0.931435</v>
      </c>
      <c r="G2001" s="61" t="n">
        <v>0.818658</v>
      </c>
      <c r="H2001" s="34" t="n">
        <f aca="false">NORMSINV(F2001)</f>
        <v>1.48656400689709</v>
      </c>
      <c r="I2001" s="34" t="n">
        <f aca="false">NORMSINV(G2001)</f>
        <v>0.910262670879513</v>
      </c>
      <c r="J2001" s="59" t="n">
        <f aca="false">mc_s0*EXP((mc_mu-mc_vol^2/2)*mc_t1+mc_vol*SQRT(mc_t1)*H2001)</f>
        <v>1321.1610323387</v>
      </c>
      <c r="K2001" s="59" t="n">
        <f aca="false">J2001*EXP((mc_mu-mc_vol^2/2)*(mc_t2-mc_t1)+mc_vol*SQRT(mc_t2-mc_t1)*I2001)</f>
        <v>1552.87620466073</v>
      </c>
      <c r="L2001" s="31" t="n">
        <f aca="false">(t1_usd*J2001+t2_usd*K2001)/1000</f>
        <v>12198.5920152263</v>
      </c>
    </row>
    <row r="2002" customFormat="false" ht="15" hidden="false" customHeight="false" outlineLevel="0" collapsed="false">
      <c r="E2002" s="54" t="n">
        <v>1998</v>
      </c>
      <c r="F2002" s="61" t="n">
        <v>0.041736</v>
      </c>
      <c r="G2002" s="61" t="n">
        <v>0.817317</v>
      </c>
      <c r="H2002" s="34" t="n">
        <f aca="false">NORMSINV(F2002)</f>
        <v>-1.7308865554899</v>
      </c>
      <c r="I2002" s="34" t="n">
        <f aca="false">NORMSINV(G2002)</f>
        <v>0.90518761875514</v>
      </c>
      <c r="J2002" s="59" t="n">
        <f aca="false">mc_s0*EXP((mc_mu-mc_vol^2/2)*mc_t1+mc_vol*SQRT(mc_t1)*H2002)</f>
        <v>971.583169860648</v>
      </c>
      <c r="K2002" s="59" t="n">
        <f aca="false">J2002*EXP((mc_mu-mc_vol^2/2)*(mc_t2-mc_t1)+mc_vol*SQRT(mc_t2-mc_t1)*I2002)</f>
        <v>1141.07375512321</v>
      </c>
      <c r="L2002" s="31" t="n">
        <f aca="false">(t1_usd*J2002+t2_usd*K2002)/1000</f>
        <v>8969.12232375864</v>
      </c>
    </row>
    <row r="2003" customFormat="false" ht="15" hidden="false" customHeight="false" outlineLevel="0" collapsed="false">
      <c r="E2003" s="54" t="n">
        <v>1999</v>
      </c>
      <c r="F2003" s="61" t="n">
        <v>0.709843</v>
      </c>
      <c r="G2003" s="61" t="n">
        <v>0.311327</v>
      </c>
      <c r="H2003" s="34" t="n">
        <f aca="false">NORMSINV(F2003)</f>
        <v>0.55292612119115</v>
      </c>
      <c r="I2003" s="34" t="n">
        <f aca="false">NORMSINV(G2003)</f>
        <v>-0.492092434907739</v>
      </c>
      <c r="J2003" s="59" t="n">
        <f aca="false">mc_s0*EXP((mc_mu-mc_vol^2/2)*mc_t1+mc_vol*SQRT(mc_t1)*H2003)</f>
        <v>1208.43650345543</v>
      </c>
      <c r="K2003" s="59" t="n">
        <f aca="false">J2003*EXP((mc_mu-mc_vol^2/2)*(mc_t2-mc_t1)+mc_vol*SQRT(mc_t2-mc_t1)*I2003)</f>
        <v>1138.74144616723</v>
      </c>
      <c r="L2003" s="31" t="n">
        <f aca="false">(t1_usd*J2003+t2_usd*K2003)/1000</f>
        <v>10622.6642719057</v>
      </c>
    </row>
    <row r="2004" customFormat="false" ht="15" hidden="false" customHeight="false" outlineLevel="0" collapsed="false">
      <c r="E2004" s="54" t="n">
        <v>2000</v>
      </c>
      <c r="F2004" s="61" t="n">
        <v>0.519577</v>
      </c>
      <c r="G2004" s="61" t="n">
        <v>0.96583</v>
      </c>
      <c r="H2004" s="34" t="n">
        <f aca="false">NORMSINV(F2004)</f>
        <v>0.0490919733941933</v>
      </c>
      <c r="I2004" s="34" t="n">
        <f aca="false">NORMSINV(G2004)</f>
        <v>1.82275833979174</v>
      </c>
      <c r="J2004" s="59" t="n">
        <f aca="false">mc_s0*EXP((mc_mu-mc_vol^2/2)*mc_t1+mc_vol*SQRT(mc_t1)*H2004)</f>
        <v>1151.65474602066</v>
      </c>
      <c r="K2004" s="59" t="n">
        <f aca="false">J2004*EXP((mc_mu-mc_vol^2/2)*(mc_t2-mc_t1)+mc_vol*SQRT(mc_t2-mc_t1)*I2004)</f>
        <v>1562.99028656205</v>
      </c>
      <c r="L2004" s="31" t="n">
        <f aca="false">(t1_usd*J2004+t2_usd*K2004)/1000</f>
        <v>11031.2647666125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9" min="3" style="1" width="11"/>
  </cols>
  <sheetData>
    <row r="1" customFormat="false" ht="16.15" hidden="false" customHeight="false" outlineLevel="0" collapsed="false">
      <c r="B1" s="2" t="s">
        <v>467</v>
      </c>
    </row>
    <row r="2" customFormat="false" ht="15" hidden="false" customHeight="false" outlineLevel="0" collapsed="false">
      <c r="B2" s="3" t="s">
        <v>468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469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46" t="s">
        <v>470</v>
      </c>
      <c r="C5" s="63" t="n">
        <v>0</v>
      </c>
      <c r="D5" s="63" t="n">
        <v>0.25</v>
      </c>
      <c r="E5" s="63" t="n">
        <v>0.5</v>
      </c>
      <c r="F5" s="63" t="n">
        <v>0.75</v>
      </c>
      <c r="G5" s="63" t="n">
        <v>1</v>
      </c>
    </row>
    <row r="6" customFormat="false" ht="15" hidden="false" customHeight="false" outlineLevel="0" collapsed="false">
      <c r="B6" s="18" t="n">
        <v>0</v>
      </c>
      <c r="C6" s="37" t="n">
        <f aca="false">((tgt_ebit+$B6)*fx_earn/1000-(price_usd*fx_ann/1000)*intang_pct/amort_yrs-ppe_step*fx_ann/1000/ppe_life-(price_usd*fx_ann/1000)*C$5*kd-(price_usd*fx_ann/1000)*(1-C$5)*ri)*(1-tax)/buyer_ni</f>
        <v>0.102075256602641</v>
      </c>
      <c r="D6" s="37" t="n">
        <f aca="false">((tgt_ebit+$B6)*fx_earn/1000-(price_usd*fx_ann/1000)*intang_pct/amort_yrs-ppe_step*fx_ann/1000/ppe_life-(price_usd*fx_ann/1000)*D$5*kd-(price_usd*fx_ann/1000)*(1-D$5)*ri)*(1-tax)/buyer_ni</f>
        <v>0.098953537590036</v>
      </c>
      <c r="E6" s="37" t="n">
        <f aca="false">((tgt_ebit+$B6)*fx_earn/1000-(price_usd*fx_ann/1000)*intang_pct/amort_yrs-ppe_step*fx_ann/1000/ppe_life-(price_usd*fx_ann/1000)*E$5*kd-(price_usd*fx_ann/1000)*(1-E$5)*ri)*(1-tax)/buyer_ni</f>
        <v>0.095831818577431</v>
      </c>
      <c r="F6" s="37" t="n">
        <f aca="false">((tgt_ebit+$B6)*fx_earn/1000-(price_usd*fx_ann/1000)*intang_pct/amort_yrs-ppe_step*fx_ann/1000/ppe_life-(price_usd*fx_ann/1000)*F$5*kd-(price_usd*fx_ann/1000)*(1-F$5)*ri)*(1-tax)/buyer_ni</f>
        <v>0.0927100995648259</v>
      </c>
      <c r="G6" s="37" t="n">
        <f aca="false">((tgt_ebit+$B6)*fx_earn/1000-(price_usd*fx_ann/1000)*intang_pct/amort_yrs-ppe_step*fx_ann/1000/ppe_life-(price_usd*fx_ann/1000)*G$5*kd-(price_usd*fx_ann/1000)*(1-G$5)*ri)*(1-tax)/buyer_ni</f>
        <v>0.0895883805522209</v>
      </c>
    </row>
    <row r="7" customFormat="false" ht="15" hidden="false" customHeight="false" outlineLevel="0" collapsed="false">
      <c r="B7" s="18" t="n">
        <v>100</v>
      </c>
      <c r="C7" s="37" t="n">
        <f aca="false">((tgt_ebit+$B7)*fx_earn/1000-(price_usd*fx_ann/1000)*intang_pct/amort_yrs-ppe_step*fx_ann/1000/ppe_life-(price_usd*fx_ann/1000)*C$5*kd-(price_usd*fx_ann/1000)*(1-C$5)*ri)*(1-tax)/buyer_ni</f>
        <v>0.119418140006002</v>
      </c>
      <c r="D7" s="37" t="n">
        <f aca="false">((tgt_ebit+$B7)*fx_earn/1000-(price_usd*fx_ann/1000)*intang_pct/amort_yrs-ppe_step*fx_ann/1000/ppe_life-(price_usd*fx_ann/1000)*D$5*kd-(price_usd*fx_ann/1000)*(1-D$5)*ri)*(1-tax)/buyer_ni</f>
        <v>0.116296420993397</v>
      </c>
      <c r="E7" s="37" t="n">
        <f aca="false">((tgt_ebit+$B7)*fx_earn/1000-(price_usd*fx_ann/1000)*intang_pct/amort_yrs-ppe_step*fx_ann/1000/ppe_life-(price_usd*fx_ann/1000)*E$5*kd-(price_usd*fx_ann/1000)*(1-E$5)*ri)*(1-tax)/buyer_ni</f>
        <v>0.113174701980792</v>
      </c>
      <c r="F7" s="37" t="n">
        <f aca="false">((tgt_ebit+$B7)*fx_earn/1000-(price_usd*fx_ann/1000)*intang_pct/amort_yrs-ppe_step*fx_ann/1000/ppe_life-(price_usd*fx_ann/1000)*F$5*kd-(price_usd*fx_ann/1000)*(1-F$5)*ri)*(1-tax)/buyer_ni</f>
        <v>0.110052982968187</v>
      </c>
      <c r="G7" s="37" t="n">
        <f aca="false">((tgt_ebit+$B7)*fx_earn/1000-(price_usd*fx_ann/1000)*intang_pct/amort_yrs-ppe_step*fx_ann/1000/ppe_life-(price_usd*fx_ann/1000)*G$5*kd-(price_usd*fx_ann/1000)*(1-G$5)*ri)*(1-tax)/buyer_ni</f>
        <v>0.106931263955582</v>
      </c>
    </row>
    <row r="8" customFormat="false" ht="15" hidden="false" customHeight="false" outlineLevel="0" collapsed="false">
      <c r="B8" s="18" t="n">
        <v>200</v>
      </c>
      <c r="C8" s="37" t="n">
        <f aca="false">((tgt_ebit+$B8)*fx_earn/1000-(price_usd*fx_ann/1000)*intang_pct/amort_yrs-ppe_step*fx_ann/1000/ppe_life-(price_usd*fx_ann/1000)*C$5*kd-(price_usd*fx_ann/1000)*(1-C$5)*ri)*(1-tax)/buyer_ni</f>
        <v>0.136761023409364</v>
      </c>
      <c r="D8" s="37" t="n">
        <f aca="false">((tgt_ebit+$B8)*fx_earn/1000-(price_usd*fx_ann/1000)*intang_pct/amort_yrs-ppe_step*fx_ann/1000/ppe_life-(price_usd*fx_ann/1000)*D$5*kd-(price_usd*fx_ann/1000)*(1-D$5)*ri)*(1-tax)/buyer_ni</f>
        <v>0.133639304396759</v>
      </c>
      <c r="E8" s="37" t="n">
        <f aca="false">((tgt_ebit+$B8)*fx_earn/1000-(price_usd*fx_ann/1000)*intang_pct/amort_yrs-ppe_step*fx_ann/1000/ppe_life-(price_usd*fx_ann/1000)*E$5*kd-(price_usd*fx_ann/1000)*(1-E$5)*ri)*(1-tax)/buyer_ni</f>
        <v>0.130517585384154</v>
      </c>
      <c r="F8" s="37" t="n">
        <f aca="false">((tgt_ebit+$B8)*fx_earn/1000-(price_usd*fx_ann/1000)*intang_pct/amort_yrs-ppe_step*fx_ann/1000/ppe_life-(price_usd*fx_ann/1000)*F$5*kd-(price_usd*fx_ann/1000)*(1-F$5)*ri)*(1-tax)/buyer_ni</f>
        <v>0.127395866371549</v>
      </c>
      <c r="G8" s="37" t="n">
        <f aca="false">((tgt_ebit+$B8)*fx_earn/1000-(price_usd*fx_ann/1000)*intang_pct/amort_yrs-ppe_step*fx_ann/1000/ppe_life-(price_usd*fx_ann/1000)*G$5*kd-(price_usd*fx_ann/1000)*(1-G$5)*ri)*(1-tax)/buyer_ni</f>
        <v>0.124274147358944</v>
      </c>
    </row>
    <row r="9" customFormat="false" ht="15" hidden="false" customHeight="false" outlineLevel="0" collapsed="false">
      <c r="B9" s="18" t="n">
        <v>300</v>
      </c>
      <c r="C9" s="37" t="n">
        <f aca="false">((tgt_ebit+$B9)*fx_earn/1000-(price_usd*fx_ann/1000)*intang_pct/amort_yrs-ppe_step*fx_ann/1000/ppe_life-(price_usd*fx_ann/1000)*C$5*kd-(price_usd*fx_ann/1000)*(1-C$5)*ri)*(1-tax)/buyer_ni</f>
        <v>0.154103906812725</v>
      </c>
      <c r="D9" s="37" t="n">
        <f aca="false">((tgt_ebit+$B9)*fx_earn/1000-(price_usd*fx_ann/1000)*intang_pct/amort_yrs-ppe_step*fx_ann/1000/ppe_life-(price_usd*fx_ann/1000)*D$5*kd-(price_usd*fx_ann/1000)*(1-D$5)*ri)*(1-tax)/buyer_ni</f>
        <v>0.15098218780012</v>
      </c>
      <c r="E9" s="37" t="n">
        <f aca="false">((tgt_ebit+$B9)*fx_earn/1000-(price_usd*fx_ann/1000)*intang_pct/amort_yrs-ppe_step*fx_ann/1000/ppe_life-(price_usd*fx_ann/1000)*E$5*kd-(price_usd*fx_ann/1000)*(1-E$5)*ri)*(1-tax)/buyer_ni</f>
        <v>0.147860468787515</v>
      </c>
      <c r="F9" s="37" t="n">
        <f aca="false">((tgt_ebit+$B9)*fx_earn/1000-(price_usd*fx_ann/1000)*intang_pct/amort_yrs-ppe_step*fx_ann/1000/ppe_life-(price_usd*fx_ann/1000)*F$5*kd-(price_usd*fx_ann/1000)*(1-F$5)*ri)*(1-tax)/buyer_ni</f>
        <v>0.14473874977491</v>
      </c>
      <c r="G9" s="37" t="n">
        <f aca="false">((tgt_ebit+$B9)*fx_earn/1000-(price_usd*fx_ann/1000)*intang_pct/amort_yrs-ppe_step*fx_ann/1000/ppe_life-(price_usd*fx_ann/1000)*G$5*kd-(price_usd*fx_ann/1000)*(1-G$5)*ri)*(1-tax)/buyer_ni</f>
        <v>0.141617030762305</v>
      </c>
    </row>
    <row r="10" customFormat="false" ht="15" hidden="false" customHeight="false" outlineLevel="0" collapsed="false">
      <c r="B10" s="18" t="n">
        <v>400</v>
      </c>
      <c r="C10" s="37" t="n">
        <f aca="false">((tgt_ebit+$B10)*fx_earn/1000-(price_usd*fx_ann/1000)*intang_pct/amort_yrs-ppe_step*fx_ann/1000/ppe_life-(price_usd*fx_ann/1000)*C$5*kd-(price_usd*fx_ann/1000)*(1-C$5)*ri)*(1-tax)/buyer_ni</f>
        <v>0.171446790216086</v>
      </c>
      <c r="D10" s="37" t="n">
        <f aca="false">((tgt_ebit+$B10)*fx_earn/1000-(price_usd*fx_ann/1000)*intang_pct/amort_yrs-ppe_step*fx_ann/1000/ppe_life-(price_usd*fx_ann/1000)*D$5*kd-(price_usd*fx_ann/1000)*(1-D$5)*ri)*(1-tax)/buyer_ni</f>
        <v>0.168325071203481</v>
      </c>
      <c r="E10" s="37" t="n">
        <f aca="false">((tgt_ebit+$B10)*fx_earn/1000-(price_usd*fx_ann/1000)*intang_pct/amort_yrs-ppe_step*fx_ann/1000/ppe_life-(price_usd*fx_ann/1000)*E$5*kd-(price_usd*fx_ann/1000)*(1-E$5)*ri)*(1-tax)/buyer_ni</f>
        <v>0.165203352190876</v>
      </c>
      <c r="F10" s="37" t="n">
        <f aca="false">((tgt_ebit+$B10)*fx_earn/1000-(price_usd*fx_ann/1000)*intang_pct/amort_yrs-ppe_step*fx_ann/1000/ppe_life-(price_usd*fx_ann/1000)*F$5*kd-(price_usd*fx_ann/1000)*(1-F$5)*ri)*(1-tax)/buyer_ni</f>
        <v>0.162081633178271</v>
      </c>
      <c r="G10" s="37" t="n">
        <f aca="false">((tgt_ebit+$B10)*fx_earn/1000-(price_usd*fx_ann/1000)*intang_pct/amort_yrs-ppe_step*fx_ann/1000/ppe_life-(price_usd*fx_ann/1000)*G$5*kd-(price_usd*fx_ann/1000)*(1-G$5)*ri)*(1-tax)/buyer_ni</f>
        <v>0.158959914165666</v>
      </c>
    </row>
    <row r="11" customFormat="false" ht="15" hidden="false" customHeight="false" outlineLevel="0" collapsed="false">
      <c r="B11" s="18" t="n">
        <v>500</v>
      </c>
      <c r="C11" s="37" t="n">
        <f aca="false">((tgt_ebit+$B11)*fx_earn/1000-(price_usd*fx_ann/1000)*intang_pct/amort_yrs-ppe_step*fx_ann/1000/ppe_life-(price_usd*fx_ann/1000)*C$5*kd-(price_usd*fx_ann/1000)*(1-C$5)*ri)*(1-tax)/buyer_ni</f>
        <v>0.188789673619448</v>
      </c>
      <c r="D11" s="37" t="n">
        <f aca="false">((tgt_ebit+$B11)*fx_earn/1000-(price_usd*fx_ann/1000)*intang_pct/amort_yrs-ppe_step*fx_ann/1000/ppe_life-(price_usd*fx_ann/1000)*D$5*kd-(price_usd*fx_ann/1000)*(1-D$5)*ri)*(1-tax)/buyer_ni</f>
        <v>0.185667954606843</v>
      </c>
      <c r="E11" s="37" t="n">
        <f aca="false">((tgt_ebit+$B11)*fx_earn/1000-(price_usd*fx_ann/1000)*intang_pct/amort_yrs-ppe_step*fx_ann/1000/ppe_life-(price_usd*fx_ann/1000)*E$5*kd-(price_usd*fx_ann/1000)*(1-E$5)*ri)*(1-tax)/buyer_ni</f>
        <v>0.182546235594238</v>
      </c>
      <c r="F11" s="37" t="n">
        <f aca="false">((tgt_ebit+$B11)*fx_earn/1000-(price_usd*fx_ann/1000)*intang_pct/amort_yrs-ppe_step*fx_ann/1000/ppe_life-(price_usd*fx_ann/1000)*F$5*kd-(price_usd*fx_ann/1000)*(1-F$5)*ri)*(1-tax)/buyer_ni</f>
        <v>0.179424516581633</v>
      </c>
      <c r="G11" s="37" t="n">
        <f aca="false">((tgt_ebit+$B11)*fx_earn/1000-(price_usd*fx_ann/1000)*intang_pct/amort_yrs-ppe_step*fx_ann/1000/ppe_life-(price_usd*fx_ann/1000)*G$5*kd-(price_usd*fx_ann/1000)*(1-G$5)*ri)*(1-tax)/buyer_ni</f>
        <v>0.176302797569028</v>
      </c>
    </row>
    <row r="12" customFormat="false" ht="15" hidden="false" customHeight="false" outlineLevel="0" collapsed="false">
      <c r="B12" s="17" t="s">
        <v>471</v>
      </c>
    </row>
    <row r="14" customFormat="false" ht="15" hidden="false" customHeight="false" outlineLevel="0" collapsed="false">
      <c r="B14" s="5" t="s">
        <v>472</v>
      </c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B15" s="46" t="s">
        <v>473</v>
      </c>
      <c r="C15" s="64" t="n">
        <v>1000</v>
      </c>
      <c r="D15" s="64" t="n">
        <v>1100</v>
      </c>
      <c r="E15" s="64" t="n">
        <v>1200</v>
      </c>
      <c r="F15" s="64" t="n">
        <v>1300</v>
      </c>
      <c r="G15" s="64" t="n">
        <v>1400</v>
      </c>
      <c r="H15" s="64" t="n">
        <v>1500</v>
      </c>
      <c r="I15" s="64" t="n">
        <v>1600</v>
      </c>
    </row>
    <row r="16" customFormat="false" ht="15" hidden="false" customHeight="false" outlineLevel="0" collapsed="false">
      <c r="B16" s="60" t="n">
        <v>1000</v>
      </c>
      <c r="C16" s="37" t="n">
        <f aca="false">((buyer_ni+((tgt_ebit+syn_usd)*$B16/1000-(price_usd*C$15/1000)*intang_pct/amort_yrs-ppe_step*C$15/1000/ppe_life-(price_usd*C$15/1000)*pct_debt*kd-(price_usd*C$15/1000)*pct_cash*ri)*(1-tax))/(buyer_sh+(price_usd*C$15/1000)*pct_stock*1000/buyer_px))/(buyer_ni/buyer_sh)-1</f>
        <v>0.0841626650660265</v>
      </c>
      <c r="D16" s="37" t="n">
        <f aca="false">((buyer_ni+((tgt_ebit+syn_usd)*$B16/1000-(price_usd*D$15/1000)*intang_pct/amort_yrs-ppe_step*D$15/1000/ppe_life-(price_usd*D$15/1000)*pct_debt*kd-(price_usd*D$15/1000)*pct_cash*ri)*(1-tax))/(buyer_sh+(price_usd*D$15/1000)*pct_stock*1000/buyer_px))/(buyer_ni/buyer_sh)-1</f>
        <v>0.0743016206482592</v>
      </c>
      <c r="E16" s="37" t="n">
        <f aca="false">((buyer_ni+((tgt_ebit+syn_usd)*$B16/1000-(price_usd*E$15/1000)*intang_pct/amort_yrs-ppe_step*E$15/1000/ppe_life-(price_usd*E$15/1000)*pct_debt*kd-(price_usd*E$15/1000)*pct_cash*ri)*(1-tax))/(buyer_sh+(price_usd*E$15/1000)*pct_stock*1000/buyer_px))/(buyer_ni/buyer_sh)-1</f>
        <v>0.0644405762304923</v>
      </c>
      <c r="F16" s="37" t="n">
        <f aca="false">((buyer_ni+((tgt_ebit+syn_usd)*$B16/1000-(price_usd*F$15/1000)*intang_pct/amort_yrs-ppe_step*F$15/1000/ppe_life-(price_usd*F$15/1000)*pct_debt*kd-(price_usd*F$15/1000)*pct_cash*ri)*(1-tax))/(buyer_sh+(price_usd*F$15/1000)*pct_stock*1000/buyer_px))/(buyer_ni/buyer_sh)-1</f>
        <v>0.0545795318127251</v>
      </c>
      <c r="G16" s="37" t="n">
        <f aca="false">((buyer_ni+((tgt_ebit+syn_usd)*$B16/1000-(price_usd*G$15/1000)*intang_pct/amort_yrs-ppe_step*G$15/1000/ppe_life-(price_usd*G$15/1000)*pct_debt*kd-(price_usd*G$15/1000)*pct_cash*ri)*(1-tax))/(buyer_sh+(price_usd*G$15/1000)*pct_stock*1000/buyer_px))/(buyer_ni/buyer_sh)-1</f>
        <v>0.044718487394958</v>
      </c>
      <c r="H16" s="37" t="n">
        <f aca="false">((buyer_ni+((tgt_ebit+syn_usd)*$B16/1000-(price_usd*H$15/1000)*intang_pct/amort_yrs-ppe_step*H$15/1000/ppe_life-(price_usd*H$15/1000)*pct_debt*kd-(price_usd*H$15/1000)*pct_cash*ri)*(1-tax))/(buyer_sh+(price_usd*H$15/1000)*pct_stock*1000/buyer_px))/(buyer_ni/buyer_sh)-1</f>
        <v>0.0348574429771908</v>
      </c>
      <c r="I16" s="37" t="n">
        <f aca="false">((buyer_ni+((tgt_ebit+syn_usd)*$B16/1000-(price_usd*I$15/1000)*intang_pct/amort_yrs-ppe_step*I$15/1000/ppe_life-(price_usd*I$15/1000)*pct_debt*kd-(price_usd*I$15/1000)*pct_cash*ri)*(1-tax))/(buyer_sh+(price_usd*I$15/1000)*pct_stock*1000/buyer_px))/(buyer_ni/buyer_sh)-1</f>
        <v>0.0249963985594237</v>
      </c>
    </row>
    <row r="17" customFormat="false" ht="15" hidden="false" customHeight="false" outlineLevel="0" collapsed="false">
      <c r="B17" s="60" t="n">
        <v>1100</v>
      </c>
      <c r="C17" s="37" t="n">
        <f aca="false">((buyer_ni+((tgt_ebit+syn_usd)*$B17/1000-(price_usd*C$15/1000)*intang_pct/amort_yrs-ppe_step*C$15/1000/ppe_life-(price_usd*C$15/1000)*pct_debt*kd-(price_usd*C$15/1000)*pct_cash*ri)*(1-tax))/(buyer_sh+(price_usd*C$15/1000)*pct_stock*1000/buyer_px))/(buyer_ni/buyer_sh)-1</f>
        <v>0.102439975990396</v>
      </c>
      <c r="D17" s="37" t="n">
        <f aca="false">((buyer_ni+((tgt_ebit+syn_usd)*$B17/1000-(price_usd*D$15/1000)*intang_pct/amort_yrs-ppe_step*D$15/1000/ppe_life-(price_usd*D$15/1000)*pct_debt*kd-(price_usd*D$15/1000)*pct_cash*ri)*(1-tax))/(buyer_sh+(price_usd*D$15/1000)*pct_stock*1000/buyer_px))/(buyer_ni/buyer_sh)-1</f>
        <v>0.0925789315726291</v>
      </c>
      <c r="E17" s="37" t="n">
        <f aca="false">((buyer_ni+((tgt_ebit+syn_usd)*$B17/1000-(price_usd*E$15/1000)*intang_pct/amort_yrs-ppe_step*E$15/1000/ppe_life-(price_usd*E$15/1000)*pct_debt*kd-(price_usd*E$15/1000)*pct_cash*ri)*(1-tax))/(buyer_sh+(price_usd*E$15/1000)*pct_stock*1000/buyer_px))/(buyer_ni/buyer_sh)-1</f>
        <v>0.082717887154862</v>
      </c>
      <c r="F17" s="37" t="n">
        <f aca="false">((buyer_ni+((tgt_ebit+syn_usd)*$B17/1000-(price_usd*F$15/1000)*intang_pct/amort_yrs-ppe_step*F$15/1000/ppe_life-(price_usd*F$15/1000)*pct_debt*kd-(price_usd*F$15/1000)*pct_cash*ri)*(1-tax))/(buyer_sh+(price_usd*F$15/1000)*pct_stock*1000/buyer_px))/(buyer_ni/buyer_sh)-1</f>
        <v>0.0728568427370948</v>
      </c>
      <c r="G17" s="37" t="n">
        <f aca="false">((buyer_ni+((tgt_ebit+syn_usd)*$B17/1000-(price_usd*G$15/1000)*intang_pct/amort_yrs-ppe_step*G$15/1000/ppe_life-(price_usd*G$15/1000)*pct_debt*kd-(price_usd*G$15/1000)*pct_cash*ri)*(1-tax))/(buyer_sh+(price_usd*G$15/1000)*pct_stock*1000/buyer_px))/(buyer_ni/buyer_sh)-1</f>
        <v>0.0629957983193277</v>
      </c>
      <c r="H17" s="37" t="n">
        <f aca="false">((buyer_ni+((tgt_ebit+syn_usd)*$B17/1000-(price_usd*H$15/1000)*intang_pct/amort_yrs-ppe_step*H$15/1000/ppe_life-(price_usd*H$15/1000)*pct_debt*kd-(price_usd*H$15/1000)*pct_cash*ri)*(1-tax))/(buyer_sh+(price_usd*H$15/1000)*pct_stock*1000/buyer_px))/(buyer_ni/buyer_sh)-1</f>
        <v>0.0531347539015608</v>
      </c>
      <c r="I17" s="37" t="n">
        <f aca="false">((buyer_ni+((tgt_ebit+syn_usd)*$B17/1000-(price_usd*I$15/1000)*intang_pct/amort_yrs-ppe_step*I$15/1000/ppe_life-(price_usd*I$15/1000)*pct_debt*kd-(price_usd*I$15/1000)*pct_cash*ri)*(1-tax))/(buyer_sh+(price_usd*I$15/1000)*pct_stock*1000/buyer_px))/(buyer_ni/buyer_sh)-1</f>
        <v>0.0432737094837936</v>
      </c>
    </row>
    <row r="18" customFormat="false" ht="15" hidden="false" customHeight="false" outlineLevel="0" collapsed="false">
      <c r="B18" s="60" t="n">
        <v>1200</v>
      </c>
      <c r="C18" s="37" t="n">
        <f aca="false">((buyer_ni+((tgt_ebit+syn_usd)*$B18/1000-(price_usd*C$15/1000)*intang_pct/amort_yrs-ppe_step*C$15/1000/ppe_life-(price_usd*C$15/1000)*pct_debt*kd-(price_usd*C$15/1000)*pct_cash*ri)*(1-tax))/(buyer_sh+(price_usd*C$15/1000)*pct_stock*1000/buyer_px))/(buyer_ni/buyer_sh)-1</f>
        <v>0.120717286914766</v>
      </c>
      <c r="D18" s="37" t="n">
        <f aca="false">((buyer_ni+((tgt_ebit+syn_usd)*$B18/1000-(price_usd*D$15/1000)*intang_pct/amort_yrs-ppe_step*D$15/1000/ppe_life-(price_usd*D$15/1000)*pct_debt*kd-(price_usd*D$15/1000)*pct_cash*ri)*(1-tax))/(buyer_sh+(price_usd*D$15/1000)*pct_stock*1000/buyer_px))/(buyer_ni/buyer_sh)-1</f>
        <v>0.110856242496999</v>
      </c>
      <c r="E18" s="37" t="n">
        <f aca="false">((buyer_ni+((tgt_ebit+syn_usd)*$B18/1000-(price_usd*E$15/1000)*intang_pct/amort_yrs-ppe_step*E$15/1000/ppe_life-(price_usd*E$15/1000)*pct_debt*kd-(price_usd*E$15/1000)*pct_cash*ri)*(1-tax))/(buyer_sh+(price_usd*E$15/1000)*pct_stock*1000/buyer_px))/(buyer_ni/buyer_sh)-1</f>
        <v>0.100995198079232</v>
      </c>
      <c r="F18" s="37" t="n">
        <f aca="false">((buyer_ni+((tgt_ebit+syn_usd)*$B18/1000-(price_usd*F$15/1000)*intang_pct/amort_yrs-ppe_step*F$15/1000/ppe_life-(price_usd*F$15/1000)*pct_debt*kd-(price_usd*F$15/1000)*pct_cash*ri)*(1-tax))/(buyer_sh+(price_usd*F$15/1000)*pct_stock*1000/buyer_px))/(buyer_ni/buyer_sh)-1</f>
        <v>0.0911341536614647</v>
      </c>
      <c r="G18" s="37" t="n">
        <f aca="false">((buyer_ni+((tgt_ebit+syn_usd)*$B18/1000-(price_usd*G$15/1000)*intang_pct/amort_yrs-ppe_step*G$15/1000/ppe_life-(price_usd*G$15/1000)*pct_debt*kd-(price_usd*G$15/1000)*pct_cash*ri)*(1-tax))/(buyer_sh+(price_usd*G$15/1000)*pct_stock*1000/buyer_px))/(buyer_ni/buyer_sh)-1</f>
        <v>0.0812731092436974</v>
      </c>
      <c r="H18" s="37" t="n">
        <f aca="false">((buyer_ni+((tgt_ebit+syn_usd)*$B18/1000-(price_usd*H$15/1000)*intang_pct/amort_yrs-ppe_step*H$15/1000/ppe_life-(price_usd*H$15/1000)*pct_debt*kd-(price_usd*H$15/1000)*pct_cash*ri)*(1-tax))/(buyer_sh+(price_usd*H$15/1000)*pct_stock*1000/buyer_px))/(buyer_ni/buyer_sh)-1</f>
        <v>0.0714120648259304</v>
      </c>
      <c r="I18" s="37" t="n">
        <f aca="false">((buyer_ni+((tgt_ebit+syn_usd)*$B18/1000-(price_usd*I$15/1000)*intang_pct/amort_yrs-ppe_step*I$15/1000/ppe_life-(price_usd*I$15/1000)*pct_debt*kd-(price_usd*I$15/1000)*pct_cash*ri)*(1-tax))/(buyer_sh+(price_usd*I$15/1000)*pct_stock*1000/buyer_px))/(buyer_ni/buyer_sh)-1</f>
        <v>0.0615510204081633</v>
      </c>
    </row>
    <row r="19" customFormat="false" ht="15" hidden="false" customHeight="false" outlineLevel="0" collapsed="false">
      <c r="B19" s="60" t="n">
        <v>1300</v>
      </c>
      <c r="C19" s="37" t="n">
        <f aca="false">((buyer_ni+((tgt_ebit+syn_usd)*$B19/1000-(price_usd*C$15/1000)*intang_pct/amort_yrs-ppe_step*C$15/1000/ppe_life-(price_usd*C$15/1000)*pct_debt*kd-(price_usd*C$15/1000)*pct_cash*ri)*(1-tax))/(buyer_sh+(price_usd*C$15/1000)*pct_stock*1000/buyer_px))/(buyer_ni/buyer_sh)-1</f>
        <v>0.138994597839136</v>
      </c>
      <c r="D19" s="37" t="n">
        <f aca="false">((buyer_ni+((tgt_ebit+syn_usd)*$B19/1000-(price_usd*D$15/1000)*intang_pct/amort_yrs-ppe_step*D$15/1000/ppe_life-(price_usd*D$15/1000)*pct_debt*kd-(price_usd*D$15/1000)*pct_cash*ri)*(1-tax))/(buyer_sh+(price_usd*D$15/1000)*pct_stock*1000/buyer_px))/(buyer_ni/buyer_sh)-1</f>
        <v>0.129133553421368</v>
      </c>
      <c r="E19" s="37" t="n">
        <f aca="false">((buyer_ni+((tgt_ebit+syn_usd)*$B19/1000-(price_usd*E$15/1000)*intang_pct/amort_yrs-ppe_step*E$15/1000/ppe_life-(price_usd*E$15/1000)*pct_debt*kd-(price_usd*E$15/1000)*pct_cash*ri)*(1-tax))/(buyer_sh+(price_usd*E$15/1000)*pct_stock*1000/buyer_px))/(buyer_ni/buyer_sh)-1</f>
        <v>0.119272509003601</v>
      </c>
      <c r="F19" s="37" t="n">
        <f aca="false">((buyer_ni+((tgt_ebit+syn_usd)*$B19/1000-(price_usd*F$15/1000)*intang_pct/amort_yrs-ppe_step*F$15/1000/ppe_life-(price_usd*F$15/1000)*pct_debt*kd-(price_usd*F$15/1000)*pct_cash*ri)*(1-tax))/(buyer_sh+(price_usd*F$15/1000)*pct_stock*1000/buyer_px))/(buyer_ni/buyer_sh)-1</f>
        <v>0.109411464585834</v>
      </c>
      <c r="G19" s="37" t="n">
        <f aca="false">((buyer_ni+((tgt_ebit+syn_usd)*$B19/1000-(price_usd*G$15/1000)*intang_pct/amort_yrs-ppe_step*G$15/1000/ppe_life-(price_usd*G$15/1000)*pct_debt*kd-(price_usd*G$15/1000)*pct_cash*ri)*(1-tax))/(buyer_sh+(price_usd*G$15/1000)*pct_stock*1000/buyer_px))/(buyer_ni/buyer_sh)-1</f>
        <v>0.0995504201680673</v>
      </c>
      <c r="H19" s="37" t="n">
        <f aca="false">((buyer_ni+((tgt_ebit+syn_usd)*$B19/1000-(price_usd*H$15/1000)*intang_pct/amort_yrs-ppe_step*H$15/1000/ppe_life-(price_usd*H$15/1000)*pct_debt*kd-(price_usd*H$15/1000)*pct_cash*ri)*(1-tax))/(buyer_sh+(price_usd*H$15/1000)*pct_stock*1000/buyer_px))/(buyer_ni/buyer_sh)-1</f>
        <v>0.0896893757503001</v>
      </c>
      <c r="I19" s="37" t="n">
        <f aca="false">((buyer_ni+((tgt_ebit+syn_usd)*$B19/1000-(price_usd*I$15/1000)*intang_pct/amort_yrs-ppe_step*I$15/1000/ppe_life-(price_usd*I$15/1000)*pct_debt*kd-(price_usd*I$15/1000)*pct_cash*ri)*(1-tax))/(buyer_sh+(price_usd*I$15/1000)*pct_stock*1000/buyer_px))/(buyer_ni/buyer_sh)-1</f>
        <v>0.079828331332533</v>
      </c>
    </row>
    <row r="20" customFormat="false" ht="15" hidden="false" customHeight="false" outlineLevel="0" collapsed="false">
      <c r="B20" s="60" t="n">
        <v>1400</v>
      </c>
      <c r="C20" s="37" t="n">
        <f aca="false">((buyer_ni+((tgt_ebit+syn_usd)*$B20/1000-(price_usd*C$15/1000)*intang_pct/amort_yrs-ppe_step*C$15/1000/ppe_life-(price_usd*C$15/1000)*pct_debt*kd-(price_usd*C$15/1000)*pct_cash*ri)*(1-tax))/(buyer_sh+(price_usd*C$15/1000)*pct_stock*1000/buyer_px))/(buyer_ni/buyer_sh)-1</f>
        <v>0.157271908763506</v>
      </c>
      <c r="D20" s="37" t="n">
        <f aca="false">((buyer_ni+((tgt_ebit+syn_usd)*$B20/1000-(price_usd*D$15/1000)*intang_pct/amort_yrs-ppe_step*D$15/1000/ppe_life-(price_usd*D$15/1000)*pct_debt*kd-(price_usd*D$15/1000)*pct_cash*ri)*(1-tax))/(buyer_sh+(price_usd*D$15/1000)*pct_stock*1000/buyer_px))/(buyer_ni/buyer_sh)-1</f>
        <v>0.147410864345738</v>
      </c>
      <c r="E20" s="37" t="n">
        <f aca="false">((buyer_ni+((tgt_ebit+syn_usd)*$B20/1000-(price_usd*E$15/1000)*intang_pct/amort_yrs-ppe_step*E$15/1000/ppe_life-(price_usd*E$15/1000)*pct_debt*kd-(price_usd*E$15/1000)*pct_cash*ri)*(1-tax))/(buyer_sh+(price_usd*E$15/1000)*pct_stock*1000/buyer_px))/(buyer_ni/buyer_sh)-1</f>
        <v>0.137549819927971</v>
      </c>
      <c r="F20" s="37" t="n">
        <f aca="false">((buyer_ni+((tgt_ebit+syn_usd)*$B20/1000-(price_usd*F$15/1000)*intang_pct/amort_yrs-ppe_step*F$15/1000/ppe_life-(price_usd*F$15/1000)*pct_debt*kd-(price_usd*F$15/1000)*pct_cash*ri)*(1-tax))/(buyer_sh+(price_usd*F$15/1000)*pct_stock*1000/buyer_px))/(buyer_ni/buyer_sh)-1</f>
        <v>0.127688775510204</v>
      </c>
      <c r="G20" s="37" t="n">
        <f aca="false">((buyer_ni+((tgt_ebit+syn_usd)*$B20/1000-(price_usd*G$15/1000)*intang_pct/amort_yrs-ppe_step*G$15/1000/ppe_life-(price_usd*G$15/1000)*pct_debt*kd-(price_usd*G$15/1000)*pct_cash*ri)*(1-tax))/(buyer_sh+(price_usd*G$15/1000)*pct_stock*1000/buyer_px))/(buyer_ni/buyer_sh)-1</f>
        <v>0.117827731092437</v>
      </c>
      <c r="H20" s="37" t="n">
        <f aca="false">((buyer_ni+((tgt_ebit+syn_usd)*$B20/1000-(price_usd*H$15/1000)*intang_pct/amort_yrs-ppe_step*H$15/1000/ppe_life-(price_usd*H$15/1000)*pct_debt*kd-(price_usd*H$15/1000)*pct_cash*ri)*(1-tax))/(buyer_sh+(price_usd*H$15/1000)*pct_stock*1000/buyer_px))/(buyer_ni/buyer_sh)-1</f>
        <v>0.10796668667467</v>
      </c>
      <c r="I20" s="37" t="n">
        <f aca="false">((buyer_ni+((tgt_ebit+syn_usd)*$B20/1000-(price_usd*I$15/1000)*intang_pct/amort_yrs-ppe_step*I$15/1000/ppe_life-(price_usd*I$15/1000)*pct_debt*kd-(price_usd*I$15/1000)*pct_cash*ri)*(1-tax))/(buyer_sh+(price_usd*I$15/1000)*pct_stock*1000/buyer_px))/(buyer_ni/buyer_sh)-1</f>
        <v>0.0981056422569027</v>
      </c>
    </row>
    <row r="21" customFormat="false" ht="15" hidden="false" customHeight="false" outlineLevel="0" collapsed="false">
      <c r="B21" s="60" t="n">
        <v>1500</v>
      </c>
      <c r="C21" s="37" t="n">
        <f aca="false">((buyer_ni+((tgt_ebit+syn_usd)*$B21/1000-(price_usd*C$15/1000)*intang_pct/amort_yrs-ppe_step*C$15/1000/ppe_life-(price_usd*C$15/1000)*pct_debt*kd-(price_usd*C$15/1000)*pct_cash*ri)*(1-tax))/(buyer_sh+(price_usd*C$15/1000)*pct_stock*1000/buyer_px))/(buyer_ni/buyer_sh)-1</f>
        <v>0.175549219687875</v>
      </c>
      <c r="D21" s="37" t="n">
        <f aca="false">((buyer_ni+((tgt_ebit+syn_usd)*$B21/1000-(price_usd*D$15/1000)*intang_pct/amort_yrs-ppe_step*D$15/1000/ppe_life-(price_usd*D$15/1000)*pct_debt*kd-(price_usd*D$15/1000)*pct_cash*ri)*(1-tax))/(buyer_sh+(price_usd*D$15/1000)*pct_stock*1000/buyer_px))/(buyer_ni/buyer_sh)-1</f>
        <v>0.165688175270108</v>
      </c>
      <c r="E21" s="37" t="n">
        <f aca="false">((buyer_ni+((tgt_ebit+syn_usd)*$B21/1000-(price_usd*E$15/1000)*intang_pct/amort_yrs-ppe_step*E$15/1000/ppe_life-(price_usd*E$15/1000)*pct_debt*kd-(price_usd*E$15/1000)*pct_cash*ri)*(1-tax))/(buyer_sh+(price_usd*E$15/1000)*pct_stock*1000/buyer_px))/(buyer_ni/buyer_sh)-1</f>
        <v>0.155827130852341</v>
      </c>
      <c r="F21" s="37" t="n">
        <f aca="false">((buyer_ni+((tgt_ebit+syn_usd)*$B21/1000-(price_usd*F$15/1000)*intang_pct/amort_yrs-ppe_step*F$15/1000/ppe_life-(price_usd*F$15/1000)*pct_debt*kd-(price_usd*F$15/1000)*pct_cash*ri)*(1-tax))/(buyer_sh+(price_usd*F$15/1000)*pct_stock*1000/buyer_px))/(buyer_ni/buyer_sh)-1</f>
        <v>0.145966086434574</v>
      </c>
      <c r="G21" s="37" t="n">
        <f aca="false">((buyer_ni+((tgt_ebit+syn_usd)*$B21/1000-(price_usd*G$15/1000)*intang_pct/amort_yrs-ppe_step*G$15/1000/ppe_life-(price_usd*G$15/1000)*pct_debt*kd-(price_usd*G$15/1000)*pct_cash*ri)*(1-tax))/(buyer_sh+(price_usd*G$15/1000)*pct_stock*1000/buyer_px))/(buyer_ni/buyer_sh)-1</f>
        <v>0.136105042016807</v>
      </c>
      <c r="H21" s="37" t="n">
        <f aca="false">((buyer_ni+((tgt_ebit+syn_usd)*$B21/1000-(price_usd*H$15/1000)*intang_pct/amort_yrs-ppe_step*H$15/1000/ppe_life-(price_usd*H$15/1000)*pct_debt*kd-(price_usd*H$15/1000)*pct_cash*ri)*(1-tax))/(buyer_sh+(price_usd*H$15/1000)*pct_stock*1000/buyer_px))/(buyer_ni/buyer_sh)-1</f>
        <v>0.12624399759904</v>
      </c>
      <c r="I21" s="37" t="n">
        <f aca="false">((buyer_ni+((tgt_ebit+syn_usd)*$B21/1000-(price_usd*I$15/1000)*intang_pct/amort_yrs-ppe_step*I$15/1000/ppe_life-(price_usd*I$15/1000)*pct_debt*kd-(price_usd*I$15/1000)*pct_cash*ri)*(1-tax))/(buyer_sh+(price_usd*I$15/1000)*pct_stock*1000/buyer_px))/(buyer_ni/buyer_sh)-1</f>
        <v>0.116382953181273</v>
      </c>
    </row>
    <row r="22" customFormat="false" ht="15" hidden="false" customHeight="false" outlineLevel="0" collapsed="false">
      <c r="B22" s="60" t="n">
        <v>1600</v>
      </c>
      <c r="C22" s="37" t="n">
        <f aca="false">((buyer_ni+((tgt_ebit+syn_usd)*$B22/1000-(price_usd*C$15/1000)*intang_pct/amort_yrs-ppe_step*C$15/1000/ppe_life-(price_usd*C$15/1000)*pct_debt*kd-(price_usd*C$15/1000)*pct_cash*ri)*(1-tax))/(buyer_sh+(price_usd*C$15/1000)*pct_stock*1000/buyer_px))/(buyer_ni/buyer_sh)-1</f>
        <v>0.193826530612245</v>
      </c>
      <c r="D22" s="37" t="n">
        <f aca="false">((buyer_ni+((tgt_ebit+syn_usd)*$B22/1000-(price_usd*D$15/1000)*intang_pct/amort_yrs-ppe_step*D$15/1000/ppe_life-(price_usd*D$15/1000)*pct_debt*kd-(price_usd*D$15/1000)*pct_cash*ri)*(1-tax))/(buyer_sh+(price_usd*D$15/1000)*pct_stock*1000/buyer_px))/(buyer_ni/buyer_sh)-1</f>
        <v>0.183965486194478</v>
      </c>
      <c r="E22" s="37" t="n">
        <f aca="false">((buyer_ni+((tgt_ebit+syn_usd)*$B22/1000-(price_usd*E$15/1000)*intang_pct/amort_yrs-ppe_step*E$15/1000/ppe_life-(price_usd*E$15/1000)*pct_debt*kd-(price_usd*E$15/1000)*pct_cash*ri)*(1-tax))/(buyer_sh+(price_usd*E$15/1000)*pct_stock*1000/buyer_px))/(buyer_ni/buyer_sh)-1</f>
        <v>0.174104441776711</v>
      </c>
      <c r="F22" s="37" t="n">
        <f aca="false">((buyer_ni+((tgt_ebit+syn_usd)*$B22/1000-(price_usd*F$15/1000)*intang_pct/amort_yrs-ppe_step*F$15/1000/ppe_life-(price_usd*F$15/1000)*pct_debt*kd-(price_usd*F$15/1000)*pct_cash*ri)*(1-tax))/(buyer_sh+(price_usd*F$15/1000)*pct_stock*1000/buyer_px))/(buyer_ni/buyer_sh)-1</f>
        <v>0.164243397358944</v>
      </c>
      <c r="G22" s="37" t="n">
        <f aca="false">((buyer_ni+((tgt_ebit+syn_usd)*$B22/1000-(price_usd*G$15/1000)*intang_pct/amort_yrs-ppe_step*G$15/1000/ppe_life-(price_usd*G$15/1000)*pct_debt*kd-(price_usd*G$15/1000)*pct_cash*ri)*(1-tax))/(buyer_sh+(price_usd*G$15/1000)*pct_stock*1000/buyer_px))/(buyer_ni/buyer_sh)-1</f>
        <v>0.154382352941177</v>
      </c>
      <c r="H22" s="37" t="n">
        <f aca="false">((buyer_ni+((tgt_ebit+syn_usd)*$B22/1000-(price_usd*H$15/1000)*intang_pct/amort_yrs-ppe_step*H$15/1000/ppe_life-(price_usd*H$15/1000)*pct_debt*kd-(price_usd*H$15/1000)*pct_cash*ri)*(1-tax))/(buyer_sh+(price_usd*H$15/1000)*pct_stock*1000/buyer_px))/(buyer_ni/buyer_sh)-1</f>
        <v>0.144521308523409</v>
      </c>
      <c r="I22" s="37" t="n">
        <f aca="false">((buyer_ni+((tgt_ebit+syn_usd)*$B22/1000-(price_usd*I$15/1000)*intang_pct/amort_yrs-ppe_step*I$15/1000/ppe_life-(price_usd*I$15/1000)*pct_debt*kd-(price_usd*I$15/1000)*pct_cash*ri)*(1-tax))/(buyer_sh+(price_usd*I$15/1000)*pct_stock*1000/buyer_px))/(buyer_ni/buyer_sh)-1</f>
        <v>0.134660264105642</v>
      </c>
    </row>
    <row r="23" customFormat="false" ht="15" hidden="false" customHeight="false" outlineLevel="0" collapsed="false">
      <c r="B23" s="17" t="s">
        <v>474</v>
      </c>
    </row>
    <row r="26" customFormat="false" ht="15" hidden="false" customHeight="false" outlineLevel="0" collapsed="false">
      <c r="B26" s="5" t="s">
        <v>475</v>
      </c>
      <c r="C26" s="4"/>
      <c r="D26" s="4"/>
      <c r="E26" s="4"/>
      <c r="F26" s="4"/>
      <c r="G26" s="4"/>
    </row>
    <row r="27" customFormat="false" ht="15" hidden="false" customHeight="false" outlineLevel="0" collapsed="false">
      <c r="B27" s="46" t="s">
        <v>476</v>
      </c>
      <c r="C27" s="64" t="n">
        <v>60000</v>
      </c>
      <c r="D27" s="64" t="n">
        <v>70000</v>
      </c>
      <c r="E27" s="64" t="n">
        <v>83000</v>
      </c>
      <c r="F27" s="64" t="n">
        <v>100000</v>
      </c>
      <c r="G27" s="64" t="n">
        <v>120000</v>
      </c>
    </row>
    <row r="28" customFormat="false" ht="15" hidden="false" customHeight="false" outlineLevel="0" collapsed="false">
      <c r="B28" s="65" t="n">
        <v>0</v>
      </c>
      <c r="C28" s="37" t="n">
        <f aca="false">((buyer_ni+((tgt_ebit+syn_usd)*fx_earn/1000-(price_usd*fx_ann/1000)*intang_pct/amort_yrs-ppe_step*fx_ann/1000/ppe_life-(price_usd*fx_ann/1000)*(1-$B28)*kd)*(1-tax))/(buyer_sh+(price_usd*fx_ann/1000)*$B28*1000/C$27))/(buyer_ni/buyer_sh)-1</f>
        <v>0.0895883805522211</v>
      </c>
      <c r="D28" s="37" t="n">
        <f aca="false">((buyer_ni+((tgt_ebit+syn_usd)*fx_earn/1000-(price_usd*fx_ann/1000)*intang_pct/amort_yrs-ppe_step*fx_ann/1000/ppe_life-(price_usd*fx_ann/1000)*(1-$B28)*kd)*(1-tax))/(buyer_sh+(price_usd*fx_ann/1000)*$B28*1000/D$27))/(buyer_ni/buyer_sh)-1</f>
        <v>0.0895883805522211</v>
      </c>
      <c r="E28" s="37" t="n">
        <f aca="false">((buyer_ni+((tgt_ebit+syn_usd)*fx_earn/1000-(price_usd*fx_ann/1000)*intang_pct/amort_yrs-ppe_step*fx_ann/1000/ppe_life-(price_usd*fx_ann/1000)*(1-$B28)*kd)*(1-tax))/(buyer_sh+(price_usd*fx_ann/1000)*$B28*1000/E$27))/(buyer_ni/buyer_sh)-1</f>
        <v>0.0895883805522211</v>
      </c>
      <c r="F28" s="37" t="n">
        <f aca="false">((buyer_ni+((tgt_ebit+syn_usd)*fx_earn/1000-(price_usd*fx_ann/1000)*intang_pct/amort_yrs-ppe_step*fx_ann/1000/ppe_life-(price_usd*fx_ann/1000)*(1-$B28)*kd)*(1-tax))/(buyer_sh+(price_usd*fx_ann/1000)*$B28*1000/F$27))/(buyer_ni/buyer_sh)-1</f>
        <v>0.0895883805522211</v>
      </c>
      <c r="G28" s="37" t="n">
        <f aca="false">((buyer_ni+((tgt_ebit+syn_usd)*fx_earn/1000-(price_usd*fx_ann/1000)*intang_pct/amort_yrs-ppe_step*fx_ann/1000/ppe_life-(price_usd*fx_ann/1000)*(1-$B28)*kd)*(1-tax))/(buyer_sh+(price_usd*fx_ann/1000)*$B28*1000/G$27))/(buyer_ni/buyer_sh)-1</f>
        <v>0.0895883805522211</v>
      </c>
    </row>
    <row r="29" customFormat="false" ht="15" hidden="false" customHeight="false" outlineLevel="0" collapsed="false">
      <c r="B29" s="65" t="n">
        <v>0.25</v>
      </c>
      <c r="C29" s="37" t="n">
        <f aca="false">((buyer_ni+((tgt_ebit+syn_usd)*fx_earn/1000-(price_usd*fx_ann/1000)*intang_pct/amort_yrs-ppe_step*fx_ann/1000/ppe_life-(price_usd*fx_ann/1000)*(1-$B29)*kd)*(1-tax))/(buyer_sh+(price_usd*fx_ann/1000)*$B29*1000/C$27))/(buyer_ni/buyer_sh)-1</f>
        <v>0.0358561881338801</v>
      </c>
      <c r="D29" s="37" t="n">
        <f aca="false">((buyer_ni+((tgt_ebit+syn_usd)*fx_earn/1000-(price_usd*fx_ann/1000)*intang_pct/amort_yrs-ppe_step*fx_ann/1000/ppe_life-(price_usd*fx_ann/1000)*(1-$B29)*kd)*(1-tax))/(buyer_sh+(price_usd*fx_ann/1000)*$B29*1000/D$27))/(buyer_ni/buyer_sh)-1</f>
        <v>0.0441201623525385</v>
      </c>
      <c r="E29" s="37" t="n">
        <f aca="false">((buyer_ni+((tgt_ebit+syn_usd)*fx_earn/1000-(price_usd*fx_ann/1000)*intang_pct/amort_yrs-ppe_step*fx_ann/1000/ppe_life-(price_usd*fx_ann/1000)*(1-$B29)*kd)*(1-tax))/(buyer_sh+(price_usd*fx_ann/1000)*$B29*1000/E$27))/(buyer_ni/buyer_sh)-1</f>
        <v>0.0520073975709603</v>
      </c>
      <c r="F29" s="37" t="n">
        <f aca="false">((buyer_ni+((tgt_ebit+syn_usd)*fx_earn/1000-(price_usd*fx_ann/1000)*intang_pct/amort_yrs-ppe_step*fx_ann/1000/ppe_life-(price_usd*fx_ann/1000)*(1-$B29)*kd)*(1-tax))/(buyer_sh+(price_usd*fx_ann/1000)*$B29*1000/F$27))/(buyer_ni/buyer_sh)-1</f>
        <v>0.0593324407981861</v>
      </c>
      <c r="G29" s="37" t="n">
        <f aca="false">((buyer_ni+((tgt_ebit+syn_usd)*fx_earn/1000-(price_usd*fx_ann/1000)*intang_pct/amort_yrs-ppe_step*fx_ann/1000/ppe_life-(price_usd*fx_ann/1000)*(1-$B29)*kd)*(1-tax))/(buyer_sh+(price_usd*fx_ann/1000)*$B29*1000/G$27))/(buyer_ni/buyer_sh)-1</f>
        <v>0.0653687191731349</v>
      </c>
    </row>
    <row r="30" customFormat="false" ht="15" hidden="false" customHeight="false" outlineLevel="0" collapsed="false">
      <c r="B30" s="65" t="n">
        <v>0.5</v>
      </c>
      <c r="C30" s="37" t="n">
        <f aca="false">((buyer_ni+((tgt_ebit+syn_usd)*fx_earn/1000-(price_usd*fx_ann/1000)*intang_pct/amort_yrs-ppe_step*fx_ann/1000/ppe_life-(price_usd*fx_ann/1000)*(1-$B30)*kd)*(1-tax))/(buyer_sh+(price_usd*fx_ann/1000)*$B30*1000/C$27))/(buyer_ni/buyer_sh)-1</f>
        <v>-0.0122346603958872</v>
      </c>
      <c r="D30" s="37" t="n">
        <f aca="false">((buyer_ni+((tgt_ebit+syn_usd)*fx_earn/1000-(price_usd*fx_ann/1000)*intang_pct/amort_yrs-ppe_step*fx_ann/1000/ppe_life-(price_usd*fx_ann/1000)*(1-$B30)*kd)*(1-tax))/(buyer_sh+(price_usd*fx_ann/1000)*$B30*1000/D$27))/(buyer_ni/buyer_sh)-1</f>
        <v>0.0028059997033334</v>
      </c>
      <c r="E30" s="37" t="n">
        <f aca="false">((buyer_ni+((tgt_ebit+syn_usd)*fx_earn/1000-(price_usd*fx_ann/1000)*intang_pct/amort_yrs-ppe_step*fx_ann/1000/ppe_life-(price_usd*fx_ann/1000)*(1-$B30)*kd)*(1-tax))/(buyer_sh+(price_usd*fx_ann/1000)*$B30*1000/E$27))/(buyer_ni/buyer_sh)-1</f>
        <v>0.0173641450857034</v>
      </c>
      <c r="F30" s="37" t="n">
        <f aca="false">((buyer_ni+((tgt_ebit+syn_usd)*fx_earn/1000-(price_usd*fx_ann/1000)*intang_pct/amort_yrs-ppe_step*fx_ann/1000/ppe_life-(price_usd*fx_ann/1000)*(1-$B30)*kd)*(1-tax))/(buyer_sh+(price_usd*fx_ann/1000)*$B30*1000/F$27))/(buyer_ni/buyer_sh)-1</f>
        <v>0.0310659948498628</v>
      </c>
      <c r="G30" s="37" t="n">
        <f aca="false">((buyer_ni+((tgt_ebit+syn_usd)*fx_earn/1000-(price_usd*fx_ann/1000)*intang_pct/amort_yrs-ppe_step*fx_ann/1000/ppe_life-(price_usd*fx_ann/1000)*(1-$B30)*kd)*(1-tax))/(buyer_sh+(price_usd*fx_ann/1000)*$B30*1000/G$27))/(buyer_ni/buyer_sh)-1</f>
        <v>0.0424909096718951</v>
      </c>
    </row>
    <row r="31" customFormat="false" ht="15" hidden="false" customHeight="false" outlineLevel="0" collapsed="false">
      <c r="B31" s="65" t="n">
        <v>0.75</v>
      </c>
      <c r="C31" s="37" t="n">
        <f aca="false">((buyer_ni+((tgt_ebit+syn_usd)*fx_earn/1000-(price_usd*fx_ann/1000)*intang_pct/amort_yrs-ppe_step*fx_ann/1000/ppe_life-(price_usd*fx_ann/1000)*(1-$B31)*kd)*(1-tax))/(buyer_sh+(price_usd*fx_ann/1000)*$B31*1000/C$27))/(buyer_ni/buyer_sh)-1</f>
        <v>-0.0555282803943087</v>
      </c>
      <c r="D31" s="37" t="n">
        <f aca="false">((buyer_ni+((tgt_ebit+syn_usd)*fx_earn/1000-(price_usd*fx_ann/1000)*intang_pct/amort_yrs-ppe_step*fx_ann/1000/ppe_life-(price_usd*fx_ann/1000)*(1-$B31)*kd)*(1-tax))/(buyer_sh+(price_usd*fx_ann/1000)*$B31*1000/D$27))/(buyer_ni/buyer_sh)-1</f>
        <v>-0.0348985207377575</v>
      </c>
      <c r="E31" s="37" t="n">
        <f aca="false">((buyer_ni+((tgt_ebit+syn_usd)*fx_earn/1000-(price_usd*fx_ann/1000)*intang_pct/amort_yrs-ppe_step*fx_ann/1000/ppe_life-(price_usd*fx_ann/1000)*(1-$B31)*kd)*(1-tax))/(buyer_sh+(price_usd*fx_ann/1000)*$B31*1000/E$27))/(buyer_ni/buyer_sh)-1</f>
        <v>-0.0146728862765114</v>
      </c>
      <c r="F31" s="37" t="n">
        <f aca="false">((buyer_ni+((tgt_ebit+syn_usd)*fx_earn/1000-(price_usd*fx_ann/1000)*intang_pct/amort_yrs-ppe_step*fx_ann/1000/ppe_life-(price_usd*fx_ann/1000)*(1-$B31)*kd)*(1-tax))/(buyer_sh+(price_usd*fx_ann/1000)*$B31*1000/F$27))/(buyer_ni/buyer_sh)-1</f>
        <v>0.00459905877282907</v>
      </c>
      <c r="G31" s="37" t="n">
        <f aca="false">((buyer_ni+((tgt_ebit+syn_usd)*fx_earn/1000-(price_usd*fx_ann/1000)*intang_pct/amort_yrs-ppe_step*fx_ann/1000/ppe_life-(price_usd*fx_ann/1000)*(1-$B31)*kd)*(1-tax))/(buyer_sh+(price_usd*fx_ann/1000)*$B31*1000/G$27))/(buyer_ni/buyer_sh)-1</f>
        <v>0.0208464431708839</v>
      </c>
    </row>
    <row r="32" customFormat="false" ht="15" hidden="false" customHeight="false" outlineLevel="0" collapsed="false">
      <c r="B32" s="65" t="n">
        <v>1</v>
      </c>
      <c r="C32" s="37" t="n">
        <f aca="false">((buyer_ni+((tgt_ebit+syn_usd)*fx_earn/1000-(price_usd*fx_ann/1000)*intang_pct/amort_yrs-ppe_step*fx_ann/1000/ppe_life-(price_usd*fx_ann/1000)*(1-$B32)*kd)*(1-tax))/(buyer_sh+(price_usd*fx_ann/1000)*$B32*1000/C$27))/(buyer_ni/buyer_sh)-1</f>
        <v>-0.0947083809060383</v>
      </c>
      <c r="D32" s="37" t="n">
        <f aca="false">((buyer_ni+((tgt_ebit+syn_usd)*fx_earn/1000-(price_usd*fx_ann/1000)*intang_pct/amort_yrs-ppe_step*fx_ann/1000/ppe_life-(price_usd*fx_ann/1000)*(1-$B32)*kd)*(1-tax))/(buyer_sh+(price_usd*fx_ann/1000)*$B32*1000/D$27))/(buyer_ni/buyer_sh)-1</f>
        <v>-0.0694466627910905</v>
      </c>
      <c r="E32" s="37" t="n">
        <f aca="false">((buyer_ni+((tgt_ebit+syn_usd)*fx_earn/1000-(price_usd*fx_ann/1000)*intang_pct/amort_yrs-ppe_step*fx_ann/1000/ppe_life-(price_usd*fx_ann/1000)*(1-$B32)*kd)*(1-tax))/(buyer_sh+(price_usd*fx_ann/1000)*$B32*1000/E$27))/(buyer_ni/buyer_sh)-1</f>
        <v>-0.0443871350043021</v>
      </c>
      <c r="F32" s="37" t="n">
        <f aca="false">((buyer_ni+((tgt_ebit+syn_usd)*fx_earn/1000-(price_usd*fx_ann/1000)*intang_pct/amort_yrs-ppe_step*fx_ann/1000/ppe_life-(price_usd*fx_ann/1000)*(1-$B32)*kd)*(1-tax))/(buyer_sh+(price_usd*fx_ann/1000)*$B32*1000/F$27))/(buyer_ni/buyer_sh)-1</f>
        <v>-0.020234907932469</v>
      </c>
      <c r="G32" s="37" t="n">
        <f aca="false">((buyer_ni+((tgt_ebit+syn_usd)*fx_earn/1000-(price_usd*fx_ann/1000)*intang_pct/amort_yrs-ppe_step*fx_ann/1000/ppe_life-(price_usd*fx_ann/1000)*(1-$B32)*kd)*(1-tax))/(buyer_sh+(price_usd*fx_ann/1000)*$B32*1000/G$27))/(buyer_ni/buyer_sh)-1</f>
        <v>0.000338203141577065</v>
      </c>
    </row>
    <row r="33" customFormat="false" ht="15" hidden="false" customHeight="false" outlineLevel="0" collapsed="false">
      <c r="B33" s="17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4" min="3" style="1" width="14"/>
    <col collapsed="false" customWidth="true" hidden="false" outlineLevel="0" max="5" min="5" style="1" width="66"/>
  </cols>
  <sheetData>
    <row r="1" customFormat="false" ht="16.15" hidden="false" customHeight="false" outlineLevel="0" collapsed="false">
      <c r="B1" s="2" t="s">
        <v>478</v>
      </c>
    </row>
    <row r="2" customFormat="false" ht="15" hidden="false" customHeight="false" outlineLevel="0" collapsed="false">
      <c r="B2" s="3" t="s">
        <v>479</v>
      </c>
      <c r="C2" s="4"/>
      <c r="D2" s="4"/>
      <c r="E2" s="4"/>
      <c r="F2" s="4"/>
      <c r="G2" s="4"/>
      <c r="H2" s="4"/>
      <c r="I2" s="4"/>
      <c r="J2" s="4"/>
    </row>
    <row r="4" customFormat="false" ht="22.35" hidden="false" customHeight="false" outlineLevel="0" collapsed="false">
      <c r="B4" s="12" t="s">
        <v>480</v>
      </c>
      <c r="C4" s="13" t="s">
        <v>481</v>
      </c>
      <c r="D4" s="13" t="s">
        <v>482</v>
      </c>
      <c r="E4" s="13" t="s">
        <v>73</v>
      </c>
    </row>
    <row r="5" customFormat="false" ht="15" hidden="false" customHeight="false" outlineLevel="0" collapsed="false">
      <c r="B5" s="54" t="s">
        <v>483</v>
      </c>
      <c r="C5" s="18" t="n">
        <v>-3300</v>
      </c>
      <c r="D5" s="7" t="n">
        <f aca="false">(m_ebit+m_amort+m_stepdep)*(1-tax)</f>
        <v>560.175133928571</v>
      </c>
      <c r="E5" s="17" t="s">
        <v>484</v>
      </c>
    </row>
    <row r="6" customFormat="false" ht="15" hidden="false" customHeight="false" outlineLevel="0" collapsed="false">
      <c r="B6" s="54" t="s">
        <v>485</v>
      </c>
      <c r="C6" s="18" t="n">
        <v>-4000</v>
      </c>
      <c r="D6" s="7" t="n">
        <f aca="false">(m_ebit+m_amort+m_stepdep)*(1-tax)</f>
        <v>560.175133928571</v>
      </c>
      <c r="E6" s="17" t="s">
        <v>486</v>
      </c>
    </row>
    <row r="7" customFormat="false" ht="15" hidden="false" customHeight="false" outlineLevel="0" collapsed="false">
      <c r="B7" s="54" t="s">
        <v>487</v>
      </c>
      <c r="C7" s="18"/>
      <c r="D7" s="7" t="n">
        <f aca="false">(m_ebit+m_amort+m_stepdep)*(1-tax)</f>
        <v>560.175133928571</v>
      </c>
      <c r="E7" s="17" t="s">
        <v>488</v>
      </c>
    </row>
    <row r="8" customFormat="false" ht="15" hidden="false" customHeight="false" outlineLevel="0" collapsed="false">
      <c r="B8" s="54" t="s">
        <v>489</v>
      </c>
      <c r="C8" s="18" t="n">
        <f aca="false">132+1260</f>
        <v>1392</v>
      </c>
      <c r="D8" s="7" t="n">
        <f aca="false">(m_ebit+m_amort+m_stepdep)*(1-tax)</f>
        <v>560.175133928571</v>
      </c>
      <c r="E8" s="17" t="s">
        <v>490</v>
      </c>
    </row>
    <row r="9" customFormat="false" ht="15" hidden="false" customHeight="false" outlineLevel="0" collapsed="false">
      <c r="B9" s="54" t="s">
        <v>491</v>
      </c>
      <c r="C9" s="18" t="n">
        <v>5840</v>
      </c>
      <c r="D9" s="7" t="n">
        <f aca="false">(m_ebit+m_amort+m_stepdep)*(1-tax)/2</f>
        <v>280.087566964286</v>
      </c>
      <c r="E9" s="17" t="s">
        <v>492</v>
      </c>
    </row>
    <row r="10" customFormat="false" ht="15" hidden="false" customHeight="false" outlineLevel="0" collapsed="false">
      <c r="B10" s="32" t="s">
        <v>493</v>
      </c>
      <c r="C10" s="33" t="n">
        <f aca="false">SUM(C5:C9)</f>
        <v>-68</v>
      </c>
      <c r="D10" s="66"/>
      <c r="E10" s="17" t="s">
        <v>494</v>
      </c>
    </row>
    <row r="11" customFormat="false" ht="15" hidden="false" customHeight="false" outlineLevel="0" collapsed="false">
      <c r="B11" s="30" t="s">
        <v>495</v>
      </c>
      <c r="C11" s="7" t="n">
        <f aca="false">h_krw_actual</f>
        <v>11079.98</v>
      </c>
    </row>
    <row r="13" customFormat="false" ht="15" hidden="false" customHeight="false" outlineLevel="0" collapsed="false">
      <c r="B13" s="30" t="s">
        <v>496</v>
      </c>
    </row>
    <row r="14" customFormat="false" ht="15" hidden="false" customHeight="false" outlineLevel="0" collapsed="false">
      <c r="B14" s="6" t="s">
        <v>497</v>
      </c>
    </row>
    <row r="15" customFormat="false" ht="15" hidden="false" customHeight="false" outlineLevel="0" collapsed="false">
      <c r="B15" s="6" t="s">
        <v>498</v>
      </c>
    </row>
    <row r="16" customFormat="false" ht="15" hidden="false" customHeight="false" outlineLevel="0" collapsed="false">
      <c r="B16" s="6" t="s">
        <v>499</v>
      </c>
    </row>
    <row r="17" customFormat="false" ht="15" hidden="false" customHeight="false" outlineLevel="0" collapsed="false">
      <c r="B17" s="6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4" min="3" style="1" width="70"/>
  </cols>
  <sheetData>
    <row r="1" customFormat="false" ht="16.15" hidden="false" customHeight="false" outlineLevel="0" collapsed="false">
      <c r="B1" s="2" t="s">
        <v>501</v>
      </c>
    </row>
    <row r="2" customFormat="false" ht="15" hidden="false" customHeight="false" outlineLevel="0" collapsed="false">
      <c r="B2" s="3" t="s">
        <v>502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12" t="s">
        <v>438</v>
      </c>
      <c r="C4" s="13" t="s">
        <v>503</v>
      </c>
      <c r="D4" s="13" t="s">
        <v>504</v>
      </c>
    </row>
    <row r="5" customFormat="false" ht="25.5" hidden="false" customHeight="true" outlineLevel="0" collapsed="false">
      <c r="B5" s="67" t="n">
        <v>1</v>
      </c>
      <c r="C5" s="68" t="s">
        <v>505</v>
      </c>
      <c r="D5" s="69" t="str">
        <f aca="false">"EV/revenue "&amp;TEXT(m_ev_rev,"0.0")&amp;"x, EV/EBIT "&amp;TEXT(m_ev_ebit,"0.0")&amp;"x (run-rate)"</f>
        <v>EV/revenue 1.6x, EV/EBIT 7.5x (run-rate)</v>
      </c>
    </row>
    <row r="6" customFormat="false" ht="25.5" hidden="false" customHeight="true" outlineLevel="0" collapsed="false">
      <c r="B6" s="67" t="n">
        <v>2</v>
      </c>
      <c r="C6" s="68" t="s">
        <v>506</v>
      </c>
      <c r="D6" s="69" t="str">
        <f aca="false">"Accretion "&amp;TEXT(m_acc,"0.0%")&amp;"; pre-tax cushion KRW "&amp;TEXT(m_cushion,"#,##0")&amp;"bn"</f>
        <v>Accretion 9.6%; pre-tax cushion KRW 629bn</v>
      </c>
    </row>
    <row r="7" customFormat="false" ht="25.5" hidden="false" customHeight="true" outlineLevel="0" collapsed="false">
      <c r="B7" s="67" t="n">
        <v>3</v>
      </c>
      <c r="C7" s="68" t="s">
        <v>507</v>
      </c>
      <c r="D7" s="69" t="str">
        <f aca="false">"Target after-tax yield "&amp;TEXT(m_yield_at,"0.0%")&amp;" vs. blended after-tax funding cost "&amp;TEXT(m_c_blend,"0.00%")</f>
        <v>Target after-tax yield 5.5% vs. blended after-tax funding cost 1.02%</v>
      </c>
    </row>
    <row r="8" customFormat="false" ht="25.5" hidden="false" customHeight="true" outlineLevel="0" collapsed="false">
      <c r="B8" s="67" t="n">
        <v>4</v>
      </c>
      <c r="C8" s="68" t="s">
        <v>508</v>
      </c>
      <c r="D8" s="69" t="str">
        <f aca="false">"See Sensitivity grid C, row 100%: "&amp;TEXT(Sensitivity!E32,"0.0%")</f>
        <v>See Sensitivity grid C, row 100%: -4.4%</v>
      </c>
    </row>
    <row r="9" customFormat="false" ht="25.5" hidden="false" customHeight="true" outlineLevel="0" collapsed="false">
      <c r="B9" s="67" t="n">
        <v>5</v>
      </c>
      <c r="C9" s="68" t="s">
        <v>509</v>
      </c>
      <c r="D9" s="69" t="str">
        <f aca="false">"KRW "&amp;TEXT(h_fxcost,"#,##0")&amp;"bn ("&amp;TEXT(h_fxcost_pct,"0.0%")&amp;" of the price)"</f>
        <v>KRW 946bn (9.3% of the price)</v>
      </c>
    </row>
    <row r="10" customFormat="false" ht="25.5" hidden="false" customHeight="true" outlineLevel="0" collapsed="false">
      <c r="B10" s="67" t="n">
        <v>6</v>
      </c>
      <c r="C10" s="68" t="s">
        <v>510</v>
      </c>
      <c r="D10" s="69" t="str">
        <f aca="false">"KRW "&amp;TEXT(h_saving,"#,##0")&amp;"bn (assumed rates; see FX_Hedge)"</f>
        <v>KRW 764bn (assumed rates; see FX_Hedge)</v>
      </c>
    </row>
    <row r="11" customFormat="false" ht="25.5" hidden="false" customHeight="true" outlineLevel="0" collapsed="false">
      <c r="B11" s="67" t="n">
        <v>7</v>
      </c>
      <c r="C11" s="68" t="s">
        <v>511</v>
      </c>
      <c r="D11" s="69" t="s">
        <v>512</v>
      </c>
    </row>
    <row r="12" customFormat="false" ht="25.5" hidden="false" customHeight="true" outlineLevel="0" collapsed="false">
      <c r="B12" s="67" t="n">
        <v>8</v>
      </c>
      <c r="C12" s="68" t="s">
        <v>513</v>
      </c>
      <c r="D12" s="69" t="s">
        <v>514</v>
      </c>
    </row>
    <row r="13" customFormat="false" ht="25.5" hidden="false" customHeight="true" outlineLevel="0" collapsed="false">
      <c r="B13" s="67" t="n">
        <v>9</v>
      </c>
      <c r="C13" s="68" t="s">
        <v>515</v>
      </c>
      <c r="D13" s="69" t="s">
        <v>516</v>
      </c>
    </row>
    <row r="14" customFormat="false" ht="25.5" hidden="false" customHeight="true" outlineLevel="0" collapsed="false">
      <c r="B14" s="67" t="n">
        <v>10</v>
      </c>
      <c r="C14" s="68" t="s">
        <v>517</v>
      </c>
      <c r="D14" s="69" t="s">
        <v>518</v>
      </c>
    </row>
    <row r="15" customFormat="false" ht="25.5" hidden="false" customHeight="true" outlineLevel="0" collapsed="false">
      <c r="B15" s="67" t="n">
        <v>11</v>
      </c>
      <c r="C15" s="68" t="s">
        <v>519</v>
      </c>
      <c r="D15" s="69" t="str">
        <f aca="false">"Probability-weighted NPV US$"&amp;TEXT(npv_exp,"#,##0")&amp;"mn; downturn NPV US$"&amp;TEXT(npv_bear,"#,##0")&amp;"mn"</f>
        <v>Probability-weighted NPV US$7,630mn; downturn NPV US$-5,644mn</v>
      </c>
    </row>
    <row r="16" customFormat="false" ht="25.5" hidden="false" customHeight="true" outlineLevel="0" collapsed="false">
      <c r="B16" s="67" t="n">
        <v>12</v>
      </c>
      <c r="C16" s="68" t="s">
        <v>520</v>
      </c>
      <c r="D16" s="69" t="str">
        <f aca="false">"ROIC "&amp;TEXT(roic_y1,"0.0%")&amp;" vs. WACC "&amp;TEXT(wacc,"0.0%")</f>
        <v>ROIC 8.8% vs. WACC 7.0%</v>
      </c>
    </row>
    <row r="17" customFormat="false" ht="25.5" hidden="false" customHeight="true" outlineLevel="0" collapsed="false">
      <c r="B17" s="67" t="n">
        <v>13</v>
      </c>
      <c r="C17" s="68" t="s">
        <v>521</v>
      </c>
      <c r="D17" s="69" t="str">
        <f aca="false">"US$"&amp;TEXT(ds_pv_gain,"#,##0")&amp;"mn vs. headline (incl. ~US$100mn closing adjustment)"</f>
        <v>US$348mn vs. headline (incl. ~US$100mn closing adjustment)</v>
      </c>
    </row>
    <row r="18" customFormat="false" ht="25.5" hidden="false" customHeight="true" outlineLevel="0" collapsed="false">
      <c r="B18" s="67" t="n">
        <v>14</v>
      </c>
      <c r="C18" s="68" t="s">
        <v>522</v>
      </c>
      <c r="D18" s="69" t="str">
        <f aca="false">"KRW "&amp;TEXT(mc_p95,"#,##0")&amp;"bn vs. KRW "&amp;TEXT(mc_hedged,"#,##0")&amp;"bn hedged"</f>
        <v>KRW 12,104bn vs. KRW 10,316bn hedged</v>
      </c>
    </row>
    <row r="19" customFormat="false" ht="25.5" hidden="false" customHeight="true" outlineLevel="0" collapsed="false">
      <c r="B19" s="67" t="n">
        <v>15</v>
      </c>
      <c r="C19" s="68" t="s">
        <v>523</v>
      </c>
      <c r="D19" s="69" t="str">
        <f aca="false">"Option premium ~"&amp;TEXT(op_prem_pct,"0.0%")&amp;" of notional buys protection but keeps the upside; forward is free but locks the rate"</f>
        <v>Option premium ~7.2% of notional buys protection but keeps the upside; forward is free but locks the rate</v>
      </c>
    </row>
    <row r="20" customFormat="false" ht="25.5" hidden="false" customHeight="true" outlineLevel="0" collapsed="false">
      <c r="B20" s="67" t="n">
        <v>16</v>
      </c>
      <c r="C20" s="68" t="s">
        <v>524</v>
      </c>
      <c r="D20" s="69" t="s">
        <v>525</v>
      </c>
    </row>
    <row r="21" customFormat="false" ht="25.5" hidden="false" customHeight="true" outlineLevel="0" collapsed="false">
      <c r="B21" s="67" t="n">
        <v>17</v>
      </c>
      <c r="C21" s="68" t="s">
        <v>526</v>
      </c>
      <c r="D21" s="69" t="str">
        <f aca="false">"Net debt/EBITDA "&amp;TEXT(cr_lev,"0.0x")&amp;" to "&amp;TEXT(cr_pf_lev,"0.0x")</f>
        <v>Net debt/EBITDA 0.6x to 1.1x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00"/>
  </cols>
  <sheetData>
    <row r="1" customFormat="false" ht="16.15" hidden="false" customHeight="false" outlineLevel="0" collapsed="false">
      <c r="B1" s="2" t="s">
        <v>527</v>
      </c>
    </row>
    <row r="2" customFormat="false" ht="15" hidden="false" customHeight="false" outlineLevel="0" collapsed="false">
      <c r="B2" s="3" t="s">
        <v>528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12" t="s">
        <v>529</v>
      </c>
      <c r="C4" s="13" t="s">
        <v>530</v>
      </c>
    </row>
    <row r="5" customFormat="false" ht="15" hidden="false" customHeight="false" outlineLevel="0" collapsed="false">
      <c r="B5" s="6" t="s">
        <v>531</v>
      </c>
      <c r="C5" s="70" t="s">
        <v>532</v>
      </c>
    </row>
    <row r="6" customFormat="false" ht="15" hidden="false" customHeight="false" outlineLevel="0" collapsed="false">
      <c r="B6" s="6" t="s">
        <v>533</v>
      </c>
      <c r="C6" s="70" t="s">
        <v>534</v>
      </c>
    </row>
    <row r="7" customFormat="false" ht="15" hidden="false" customHeight="false" outlineLevel="0" collapsed="false">
      <c r="B7" s="6" t="s">
        <v>535</v>
      </c>
      <c r="C7" s="70" t="s">
        <v>536</v>
      </c>
    </row>
    <row r="8" customFormat="false" ht="15" hidden="false" customHeight="false" outlineLevel="0" collapsed="false">
      <c r="B8" s="6" t="s">
        <v>537</v>
      </c>
      <c r="C8" s="70" t="s">
        <v>538</v>
      </c>
    </row>
    <row r="9" customFormat="false" ht="15" hidden="false" customHeight="false" outlineLevel="0" collapsed="false">
      <c r="B9" s="6" t="s">
        <v>539</v>
      </c>
      <c r="C9" s="70" t="s">
        <v>540</v>
      </c>
    </row>
    <row r="10" customFormat="false" ht="15" hidden="false" customHeight="false" outlineLevel="0" collapsed="false">
      <c r="B10" s="6" t="s">
        <v>541</v>
      </c>
      <c r="C10" s="70" t="s">
        <v>542</v>
      </c>
    </row>
    <row r="11" customFormat="false" ht="15" hidden="false" customHeight="false" outlineLevel="0" collapsed="false">
      <c r="B11" s="6" t="s">
        <v>543</v>
      </c>
      <c r="C11" s="70" t="s">
        <v>544</v>
      </c>
    </row>
    <row r="12" customFormat="false" ht="15" hidden="false" customHeight="false" outlineLevel="0" collapsed="false">
      <c r="B12" s="6" t="s">
        <v>545</v>
      </c>
      <c r="C12" s="70" t="s">
        <v>546</v>
      </c>
    </row>
    <row r="13" customFormat="false" ht="15" hidden="false" customHeight="false" outlineLevel="0" collapsed="false">
      <c r="B13" s="6" t="s">
        <v>547</v>
      </c>
      <c r="C13" s="70" t="s">
        <v>548</v>
      </c>
    </row>
    <row r="14" customFormat="false" ht="15" hidden="false" customHeight="false" outlineLevel="0" collapsed="false">
      <c r="B14" s="6" t="s">
        <v>549</v>
      </c>
      <c r="C14" s="70" t="s">
        <v>550</v>
      </c>
    </row>
    <row r="15" customFormat="false" ht="15" hidden="false" customHeight="false" outlineLevel="0" collapsed="false">
      <c r="B15" s="6" t="s">
        <v>551</v>
      </c>
      <c r="C15" s="70" t="s">
        <v>552</v>
      </c>
    </row>
  </sheetData>
  <hyperlinks>
    <hyperlink ref="C5" r:id="rId1" display="https://www.sec.gov/Archives/edgar/data/50863/000119312520272580/d76122dex991.htm"/>
    <hyperlink ref="C6" r:id="rId2" display="https://www.eetasia.com/?p=34510"/>
    <hyperlink ref="C7" r:id="rId3" display="https://evertiq.com/design/2025-04-01-sk-hynix-completes-its-acquisition-of-intels-nand-business/"/>
    <hyperlink ref="C8" r:id="rId4" display="https://www.koreajoongangdaily.com/business/sk-hynixs-2020-net-profit-exceeds-expectations-growing-twofold-on-year/11673498"/>
    <hyperlink ref="C9" r:id="rId5" display="https://biz.heraldcorp.com/article/10843248"/>
    <hyperlink ref="C10" r:id="rId6" display="https://fred.stlouisfed.org/series/DEXKOUS"/>
    <hyperlink ref="C11" r:id="rId7" display="http://www.kedglobal.com/bond-issues/newsView/ked202101140004"/>
    <hyperlink ref="C12" r:id="rId8" display="https://www.sec.gov/Archives/edgar/data/0000106040/000119312515349064/d20974dex991.htm"/>
    <hyperlink ref="C13" r:id="rId9" display="https://www.storagenewsletter.com/?p=158764"/>
    <hyperlink ref="C14" r:id="rId10" display="https://www.datacenterknowledge.com/data-center-chips/bain-led-group-to-buy-toshiba-chip-unit-in-18b-deal"/>
    <hyperlink ref="C15" r:id="rId11" display="https://dealsite.co.kr/articles/6699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2026-10-18T07:11:23Z</dcterms:created>
  <dc:creator>openpyxl</dc:creator>
  <dc:description/>
  <dc:language>en-US</dc:language>
  <cp:lastModifiedBy/>
  <dcterms:modified xsi:type="dcterms:W3CDTF">2026-10-19T15:15:42Z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